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Inputs" sheetId="3" state="visible" r:id="rId5"/>
    <sheet name="Borrowing Base" sheetId="4" state="visible" r:id="rId6"/>
    <sheet name="Loan Tape" sheetId="5" state="visible" r:id="rId7"/>
    <sheet name="Base" sheetId="6" state="visible" r:id="rId8"/>
    <sheet name="Credit Stress" sheetId="7" state="visible" r:id="rId9"/>
    <sheet name="Market Freeze" sheetId="8" state="visible" r:id="rId10"/>
    <sheet name="Combined Stress" sheetId="9" state="visible" r:id="rId11"/>
    <sheet name="Benchmarks" sheetId="10" state="visible" r:id="rId12"/>
  </sheets>
  <definedNames>
    <definedName function="false" hidden="false" name="Borrowing_Base_DQ" vbProcedure="false">'Borrowing Base'!$C$58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<sst xmlns="http://schemas.openxmlformats.org/spreadsheetml/2006/main" count="2953" uniqueCount="1504">
  <si>
    <t xml:space="preserve">How to Use This Model</t>
  </si>
  <si>
    <t xml:space="preserve">Update the Inputs sheet only. Every other worksheet is formula-driven and updates automatically.</t>
  </si>
  <si>
    <t xml:space="preserve">Worksheet</t>
  </si>
  <si>
    <t xml:space="preserve">Instructions</t>
  </si>
  <si>
    <t xml:space="preserve">Inputs</t>
  </si>
  <si>
    <t xml:space="preserve">This is the only worksheet you edit: facility terms, eligibility tests, concentration limits, the lender's numbers and the four scenarios.</t>
  </si>
  <si>
    <t xml:space="preserve">Summary</t>
  </si>
  <si>
    <t xml:space="preserve">The borrowing base today, plus a side-by-side comparison of all four scenarios. Use the dropdown to look at one scenario.</t>
  </si>
  <si>
    <t xml:space="preserve">Borrowing Base</t>
  </si>
  <si>
    <t xml:space="preserve">No manual data entry needed. Walks from the total pool to the borrowing base in four steps.</t>
  </si>
  <si>
    <t xml:space="preserve">Loan Tape</t>
  </si>
  <si>
    <t xml:space="preserve">The 1,200 hypothetical loans pledged to the warehouse today. The eligibility columns are formulas.</t>
  </si>
  <si>
    <t xml:space="preserve">Base / Credit Stress / Market Freeze / Combined Stress</t>
  </si>
  <si>
    <t xml:space="preserve">No manual data entry needed. Month-by-month pool, borrowing base, warehouse balance and cash.</t>
  </si>
  <si>
    <t xml:space="preserve">Benchmarks</t>
  </si>
  <si>
    <t xml:space="preserve">The real data behind the model's pricing, credit and structure, with sources.</t>
  </si>
  <si>
    <t xml:space="preserve">What I built</t>
  </si>
  <si>
    <t xml:space="preserve">The setup</t>
  </si>
  <si>
    <t xml:space="preserve">A non-prime auto lender funds new car loans with a $40M bank warehouse line, then pays the line down every quarter by securitizing the loans.</t>
  </si>
  <si>
    <t xml:space="preserve">Borrowing base</t>
  </si>
  <si>
    <t xml:space="preserve">Eligibility tests and concentration limits applied to a 1,200-loan tape, then tiered advance rates, following the structure of a real 2025 auto warehouse agreement.</t>
  </si>
  <si>
    <t xml:space="preserve">Liquidity</t>
  </si>
  <si>
    <t xml:space="preserve">A 12-month projection of the pool, the borrowing base, the warehouse balance and the lender's cash.</t>
  </si>
  <si>
    <t xml:space="preserve">Scenarios</t>
  </si>
  <si>
    <t xml:space="preserve">Base, a credit stress, a securitization market freeze, and both at once.</t>
  </si>
  <si>
    <t xml:space="preserve">Limitations</t>
  </si>
  <si>
    <t xml:space="preserve">Pool level</t>
  </si>
  <si>
    <t xml:space="preserve">The 12-month projection works on the pool as a whole, not loan by loan, and keeps today's mix of ineligible loans and excess concentrations.</t>
  </si>
  <si>
    <t xml:space="preserve">Timing</t>
  </si>
  <si>
    <t xml:space="preserve">Defaults, recoveries and payments are monthly and recoveries arrive in the same month as the default.</t>
  </si>
  <si>
    <t xml:space="preserve">Data</t>
  </si>
  <si>
    <t xml:space="preserve">The loan tape and the facility terms are hypothetical. SOFR, the warehouse margin, recovery rates and the structure come from the real sources on the Benchmarks sheet.</t>
  </si>
  <si>
    <t xml:space="preserve">Warehouse Lending &amp; Liquidity Model</t>
  </si>
  <si>
    <t xml:space="preserve">Summary of the borrowing base today and liquidity over the next 12 months.</t>
  </si>
  <si>
    <t xml:space="preserve">Borrowing Base Today</t>
  </si>
  <si>
    <t xml:space="preserve">Metric</t>
  </si>
  <si>
    <t xml:space="preserve">Value</t>
  </si>
  <si>
    <t xml:space="preserve">Total pool</t>
  </si>
  <si>
    <t xml:space="preserve">Eligible pool</t>
  </si>
  <si>
    <t xml:space="preserve">Excess concentrations</t>
  </si>
  <si>
    <t xml:space="preserve">Amount drawn</t>
  </si>
  <si>
    <t xml:space="preserve">Available to draw</t>
  </si>
  <si>
    <t xml:space="preserve">Effective advance on the total pool</t>
  </si>
  <si>
    <t xml:space="preserve">Quick Scenario View</t>
  </si>
  <si>
    <t xml:space="preserve">Choose a scenario from the dropdown below.</t>
  </si>
  <si>
    <t xml:space="preserve">Scenario</t>
  </si>
  <si>
    <t xml:space="preserve">Market Freeze</t>
  </si>
  <si>
    <t xml:space="preserve">Lowest cash balance</t>
  </si>
  <si>
    <t xml:space="preserve">Month of lowest cash</t>
  </si>
  <si>
    <t xml:space="preserve">Months below the liquidity covenant</t>
  </si>
  <si>
    <t xml:space="preserve">First month below the covenant (0 = never)</t>
  </si>
  <si>
    <t xml:space="preserve">Cash at month 12</t>
  </si>
  <si>
    <t xml:space="preserve">Months the facility was at its limit</t>
  </si>
  <si>
    <t xml:space="preserve">Scenario Comparison (Next 12 Months)</t>
  </si>
  <si>
    <t xml:space="preserve">Base</t>
  </si>
  <si>
    <t xml:space="preserve">Credit Stress</t>
  </si>
  <si>
    <t xml:space="preserve">Combined Stress</t>
  </si>
  <si>
    <t xml:space="preserve">Peak warehouse balance</t>
  </si>
  <si>
    <t xml:space="preserve">Loans securitized over 12 months</t>
  </si>
  <si>
    <t xml:space="preserve">Retained interest in securitizations at month 12</t>
  </si>
  <si>
    <t xml:space="preserve">Inputs &amp; Assumptions</t>
  </si>
  <si>
    <t xml:space="preserve">This is the only sheet that should be updated manually. Every other worksheet is formula-driven.</t>
  </si>
  <si>
    <t xml:space="preserve">Warehouse Facility</t>
  </si>
  <si>
    <t xml:space="preserve">Units</t>
  </si>
  <si>
    <t xml:space="preserve">Source / note</t>
  </si>
  <si>
    <t xml:space="preserve">Facility commitment</t>
  </si>
  <si>
    <t xml:space="preserve">$</t>
  </si>
  <si>
    <t xml:space="preserve">My assumption. Real lines range widely (CPS had three totaling $702.5M; see Benchmarks).</t>
  </si>
  <si>
    <t xml:space="preserve">Amount drawn today</t>
  </si>
  <si>
    <t xml:space="preserve">My assumption.</t>
  </si>
  <si>
    <t xml:space="preserve">SOFR</t>
  </si>
  <si>
    <t xml:space="preserve">%</t>
  </si>
  <si>
    <t xml:space="preserve">SOFR on Oct 7, 2026 (Benchmarks).</t>
  </si>
  <si>
    <t xml:space="preserve">Margin over SOFR</t>
  </si>
  <si>
    <t xml:space="preserve">Credit Acceptance's $300M warehouse, July 2025 (Benchmarks).</t>
  </si>
  <si>
    <t xml:space="preserve">Unused commitment fee</t>
  </si>
  <si>
    <t xml:space="preserve">% / yr</t>
  </si>
  <si>
    <t xml:space="preserve">My assumption. Charged on the undrawn part of the line.</t>
  </si>
  <si>
    <t xml:space="preserve">Advance rate: near-prime loans</t>
  </si>
  <si>
    <t xml:space="preserve">My assumption. Real agreements set separate rates by credit tier but redact the numbers.</t>
  </si>
  <si>
    <t xml:space="preserve">Advance rate: non-prime loans</t>
  </si>
  <si>
    <t xml:space="preserve">Near-prime FICO cutoff</t>
  </si>
  <si>
    <t xml:space="preserve">score</t>
  </si>
  <si>
    <t xml:space="preserve">Loans at or above this FICO count as near-prime.</t>
  </si>
  <si>
    <t xml:space="preserve">Eligibility Criteria</t>
  </si>
  <si>
    <t xml:space="preserve">A loan has to pass every test to count toward the borrowing base.</t>
  </si>
  <si>
    <t xml:space="preserve">Test</t>
  </si>
  <si>
    <t xml:space="preserve">Limit</t>
  </si>
  <si>
    <t xml:space="preserve">Maximum days past due</t>
  </si>
  <si>
    <t xml:space="preserve">days</t>
  </si>
  <si>
    <t xml:space="preserve">The UACC 2025 agreement treats loans more than 61 days late as delinquent (Benchmarks).</t>
  </si>
  <si>
    <t xml:space="preserve">Maximum original term</t>
  </si>
  <si>
    <t xml:space="preserve">months</t>
  </si>
  <si>
    <t xml:space="preserve">The UACC 2025 agreement caps near-prime terms at 75 months (Benchmarks).</t>
  </si>
  <si>
    <t xml:space="preserve">Maximum loan-to-value</t>
  </si>
  <si>
    <t xml:space="preserve">Minimum FICO</t>
  </si>
  <si>
    <t xml:space="preserve">Maximum current balance</t>
  </si>
  <si>
    <t xml:space="preserve">Concentration Limits</t>
  </si>
  <si>
    <t xml:space="preserve">Any balance above these limits (as a % of the eligible pool) is an excess concentration and gets no advance.</t>
  </si>
  <si>
    <t xml:space="preserve">Max share</t>
  </si>
  <si>
    <t xml:space="preserve">Any single state</t>
  </si>
  <si>
    <t xml:space="preserve">% of eligible</t>
  </si>
  <si>
    <t xml:space="preserve">State concentration is a standard limit in the UACC 2025 agreement; the 20% level is my assumption.</t>
  </si>
  <si>
    <t xml:space="preserve">Non-prime loans</t>
  </si>
  <si>
    <t xml:space="preserve">Original term above 72 months</t>
  </si>
  <si>
    <t xml:space="preserve">The UACC agreement limits terms over 72 months; the level is my assumption.</t>
  </si>
  <si>
    <t xml:space="preserve">Loan-to-value above 125%</t>
  </si>
  <si>
    <t xml:space="preserve">Lender (the Company)</t>
  </si>
  <si>
    <t xml:space="preserve">Unrestricted cash today</t>
  </si>
  <si>
    <t xml:space="preserve">Minimum liquidity covenant</t>
  </si>
  <si>
    <t xml:space="preserve">Warehouse lenders require minimum liquidity (CPS 10-K); the $5M level is my assumption.</t>
  </si>
  <si>
    <t xml:space="preserve">New loans originated per month</t>
  </si>
  <si>
    <t xml:space="preserve">My assumption, roughly 400 loans a month at this pool's average size.</t>
  </si>
  <si>
    <t xml:space="preserve">Operating expenses per month</t>
  </si>
  <si>
    <t xml:space="preserve">Monthly principal paydown (payments + prepayments)</t>
  </si>
  <si>
    <t xml:space="preserve">% of pool</t>
  </si>
  <si>
    <t xml:space="preserve">Loss severity on defaults</t>
  </si>
  <si>
    <t xml:space="preserve">1 - 2025 subprime auto ABS recovery rate of 37.74% (Benchmarks).</t>
  </si>
  <si>
    <t xml:space="preserve">Securitization proceeds</t>
  </si>
  <si>
    <t xml:space="preserve">% of pool sold</t>
  </si>
  <si>
    <t xml:space="preserve">Bonds sold as a % of the pool, same as my Auto Loan ABS model (Classes A + B + C).</t>
  </si>
  <si>
    <t xml:space="preserve">Securitization costs</t>
  </si>
  <si>
    <t xml:space="preserve">Note</t>
  </si>
  <si>
    <t xml:space="preserve">Annual default rate</t>
  </si>
  <si>
    <t xml:space="preserve">Base is my assumption; stress doubles it.</t>
  </si>
  <si>
    <t xml:space="preserve">Share of pool more than 60 days late</t>
  </si>
  <si>
    <t xml:space="preserve">Base = today's level from the loan tape.</t>
  </si>
  <si>
    <t xml:space="preserve">Advance rate cut</t>
  </si>
  <si>
    <t xml:space="preserve">pts</t>
  </si>
  <si>
    <t xml:space="preserve">Real agreements cut advance rates when performance weakens (UACC 2025).</t>
  </si>
  <si>
    <t xml:space="preserve">Cash released from past securitizations per month</t>
  </si>
  <si>
    <t xml:space="preserve">My assumption. Older deals trap cash when losses rise, so stress cuts it in half.</t>
  </si>
  <si>
    <t xml:space="preserve">Securitization in month 3</t>
  </si>
  <si>
    <t xml:space="preserve">1 = yes</t>
  </si>
  <si>
    <t xml:space="preserve">CPS securitizes about once a quarter (Benchmarks).</t>
  </si>
  <si>
    <t xml:space="preserve">Securitization in month 6</t>
  </si>
  <si>
    <t xml:space="preserve">Market Freeze: no deals for 9 months.</t>
  </si>
  <si>
    <t xml:space="preserve">Securitization in month 9</t>
  </si>
  <si>
    <t xml:space="preserve">Securitization in month 12</t>
  </si>
  <si>
    <t xml:space="preserve">The market reopens in month 12.</t>
  </si>
  <si>
    <t xml:space="preserve">How much the bank will lend against today's loan tape. No manual data entry needed.</t>
  </si>
  <si>
    <t xml:space="preserve">Step 1: Total Pool</t>
  </si>
  <si>
    <t xml:space="preserve">Loans in the pool</t>
  </si>
  <si>
    <t xml:space="preserve">loans</t>
  </si>
  <si>
    <t xml:space="preserve">Total pool balance</t>
  </si>
  <si>
    <t xml:space="preserve">Weighted average APR</t>
  </si>
  <si>
    <t xml:space="preserve">Weighted average FICO</t>
  </si>
  <si>
    <t xml:space="preserve">Step 2: Remove Ineligible Loans</t>
  </si>
  <si>
    <t xml:space="preserve">A loan that fails more than one test is counted under each test it fails, so the reasons can add up to more than the total.</t>
  </si>
  <si>
    <t xml:space="preserve">Reason</t>
  </si>
  <si>
    <t xml:space="preserve">Balance</t>
  </si>
  <si>
    <t xml:space="preserve">More than 60 days past due</t>
  </si>
  <si>
    <t xml:space="preserve">Original term too long</t>
  </si>
  <si>
    <t xml:space="preserve">Loan-to-value too high</t>
  </si>
  <si>
    <t xml:space="preserve">FICO too low</t>
  </si>
  <si>
    <t xml:space="preserve">Balance too large</t>
  </si>
  <si>
    <t xml:space="preserve">Total ineligible</t>
  </si>
  <si>
    <t xml:space="preserve">Step 3: Concentration Limits</t>
  </si>
  <si>
    <t xml:space="preserve">Excess = balance above the limit. These are checked against the eligible pool.</t>
  </si>
  <si>
    <t xml:space="preserve">Eligible balance</t>
  </si>
  <si>
    <t xml:space="preserve">Actual share</t>
  </si>
  <si>
    <t xml:space="preserve">Excess</t>
  </si>
  <si>
    <t xml:space="preserve">State: TX</t>
  </si>
  <si>
    <t xml:space="preserve">State: CA</t>
  </si>
  <si>
    <t xml:space="preserve">State: FL</t>
  </si>
  <si>
    <t xml:space="preserve">State: GA</t>
  </si>
  <si>
    <t xml:space="preserve">State: NC</t>
  </si>
  <si>
    <t xml:space="preserve">State: AZ</t>
  </si>
  <si>
    <t xml:space="preserve">State: IL</t>
  </si>
  <si>
    <t xml:space="preserve">State: OH</t>
  </si>
  <si>
    <t xml:space="preserve">State: PA</t>
  </si>
  <si>
    <t xml:space="preserve">State: NV</t>
  </si>
  <si>
    <t xml:space="preserve">Total excess concentration</t>
  </si>
  <si>
    <t xml:space="preserve">Step 4: Borrowing Base and Availability</t>
  </si>
  <si>
    <t xml:space="preserve">How it's calculated</t>
  </si>
  <si>
    <t xml:space="preserve">From step 2</t>
  </si>
  <si>
    <t xml:space="preserve">Less: excess concentrations</t>
  </si>
  <si>
    <t xml:space="preserve">From step 3</t>
  </si>
  <si>
    <t xml:space="preserve">Adjusted eligible pool</t>
  </si>
  <si>
    <t xml:space="preserve">Eligible pool minus excess</t>
  </si>
  <si>
    <t xml:space="preserve">Near-prime share of eligible pool</t>
  </si>
  <si>
    <t xml:space="preserve">Blended advance rate</t>
  </si>
  <si>
    <t xml:space="preserve">Near-prime and non-prime rates, weighted by balance</t>
  </si>
  <si>
    <t xml:space="preserve">Advance rate x adjusted pool</t>
  </si>
  <si>
    <t xml:space="preserve">The lesser of the two, as in the UACC 2025 agreement</t>
  </si>
  <si>
    <t xml:space="preserve">Available to draw (negative = must repay)</t>
  </si>
  <si>
    <t xml:space="preserve">Borrowing base / total pool</t>
  </si>
  <si>
    <t xml:space="preserve">Pool Ratios Used in the 12-Month Projection</t>
  </si>
  <si>
    <t xml:space="preserve">Ratio</t>
  </si>
  <si>
    <t xml:space="preserve">Definition</t>
  </si>
  <si>
    <t xml:space="preserve">Share more than 60 days past due</t>
  </si>
  <si>
    <t xml:space="preserve">Ineligible for being late / total pool</t>
  </si>
  <si>
    <t xml:space="preserve">Share ineligible for other reasons</t>
  </si>
  <si>
    <t xml:space="preserve">All other ineligible balance / total pool (overlaps counted once)</t>
  </si>
  <si>
    <t xml:space="preserve">Excess concentration share</t>
  </si>
  <si>
    <t xml:space="preserve">Excess / eligible pool</t>
  </si>
  <si>
    <t xml:space="preserve">Hypothetical receivables currently pledged to the warehouse. Columns L onward are formulas.</t>
  </si>
  <si>
    <t xml:space="preserve">Loan ID</t>
  </si>
  <si>
    <t xml:space="preserve">State</t>
  </si>
  <si>
    <t xml:space="preserve">FICO</t>
  </si>
  <si>
    <t xml:space="preserve">APR</t>
  </si>
  <si>
    <t xml:space="preserve">Original term</t>
  </si>
  <si>
    <t xml:space="preserve">Months seasoned</t>
  </si>
  <si>
    <t xml:space="preserve">Original balance</t>
  </si>
  <si>
    <t xml:space="preserve">Current balance</t>
  </si>
  <si>
    <t xml:space="preserve">LTV</t>
  </si>
  <si>
    <t xml:space="preserve">Days past due</t>
  </si>
  <si>
    <t xml:space="preserve">Credit tier</t>
  </si>
  <si>
    <t xml:space="preserve">Passes days past due</t>
  </si>
  <si>
    <t xml:space="preserve">Passes term</t>
  </si>
  <si>
    <t xml:space="preserve">Passes LTV</t>
  </si>
  <si>
    <t xml:space="preserve">Passes FICO</t>
  </si>
  <si>
    <t xml:space="preserve">Passes balance</t>
  </si>
  <si>
    <t xml:space="preserve">Eligible</t>
  </si>
  <si>
    <t xml:space="preserve">Term over 72</t>
  </si>
  <si>
    <t xml:space="preserve">LTV over 125%</t>
  </si>
  <si>
    <t xml:space="preserve">WL-00001</t>
  </si>
  <si>
    <t xml:space="preserve">TX</t>
  </si>
  <si>
    <t xml:space="preserve">WL-00002</t>
  </si>
  <si>
    <t xml:space="preserve">AZ</t>
  </si>
  <si>
    <t xml:space="preserve">WL-00003</t>
  </si>
  <si>
    <t xml:space="preserve">FL</t>
  </si>
  <si>
    <t xml:space="preserve">WL-00004</t>
  </si>
  <si>
    <t xml:space="preserve">CA</t>
  </si>
  <si>
    <t xml:space="preserve">WL-00005</t>
  </si>
  <si>
    <t xml:space="preserve">WL-00006</t>
  </si>
  <si>
    <t xml:space="preserve">OH</t>
  </si>
  <si>
    <t xml:space="preserve">WL-00007</t>
  </si>
  <si>
    <t xml:space="preserve">IL</t>
  </si>
  <si>
    <t xml:space="preserve">WL-00008</t>
  </si>
  <si>
    <t xml:space="preserve">WL-00009</t>
  </si>
  <si>
    <t xml:space="preserve">WL-00010</t>
  </si>
  <si>
    <t xml:space="preserve">WL-00011</t>
  </si>
  <si>
    <t xml:space="preserve">NV</t>
  </si>
  <si>
    <t xml:space="preserve">WL-00012</t>
  </si>
  <si>
    <t xml:space="preserve">WL-00013</t>
  </si>
  <si>
    <t xml:space="preserve">WL-00014</t>
  </si>
  <si>
    <t xml:space="preserve">NC</t>
  </si>
  <si>
    <t xml:space="preserve">WL-00015</t>
  </si>
  <si>
    <t xml:space="preserve">WL-00016</t>
  </si>
  <si>
    <t xml:space="preserve">WL-00017</t>
  </si>
  <si>
    <t xml:space="preserve">WL-00018</t>
  </si>
  <si>
    <t xml:space="preserve">WL-00019</t>
  </si>
  <si>
    <t xml:space="preserve">WL-00020</t>
  </si>
  <si>
    <t xml:space="preserve">WL-00021</t>
  </si>
  <si>
    <t xml:space="preserve">WL-00022</t>
  </si>
  <si>
    <t xml:space="preserve">WL-00023</t>
  </si>
  <si>
    <t xml:space="preserve">WL-00024</t>
  </si>
  <si>
    <t xml:space="preserve">WL-00025</t>
  </si>
  <si>
    <t xml:space="preserve">WL-00026</t>
  </si>
  <si>
    <t xml:space="preserve">WL-00027</t>
  </si>
  <si>
    <t xml:space="preserve">WL-00028</t>
  </si>
  <si>
    <t xml:space="preserve">GA</t>
  </si>
  <si>
    <t xml:space="preserve">WL-00029</t>
  </si>
  <si>
    <t xml:space="preserve">WL-00030</t>
  </si>
  <si>
    <t xml:space="preserve">WL-00031</t>
  </si>
  <si>
    <t xml:space="preserve">WL-00032</t>
  </si>
  <si>
    <t xml:space="preserve">PA</t>
  </si>
  <si>
    <t xml:space="preserve">WL-00033</t>
  </si>
  <si>
    <t xml:space="preserve">WL-00034</t>
  </si>
  <si>
    <t xml:space="preserve">WL-00035</t>
  </si>
  <si>
    <t xml:space="preserve">WL-00036</t>
  </si>
  <si>
    <t xml:space="preserve">WL-00037</t>
  </si>
  <si>
    <t xml:space="preserve">WL-00038</t>
  </si>
  <si>
    <t xml:space="preserve">WL-00039</t>
  </si>
  <si>
    <t xml:space="preserve">WL-00040</t>
  </si>
  <si>
    <t xml:space="preserve">WL-00041</t>
  </si>
  <si>
    <t xml:space="preserve">WL-00042</t>
  </si>
  <si>
    <t xml:space="preserve">WL-00043</t>
  </si>
  <si>
    <t xml:space="preserve">WL-00044</t>
  </si>
  <si>
    <t xml:space="preserve">WL-00045</t>
  </si>
  <si>
    <t xml:space="preserve">WL-00046</t>
  </si>
  <si>
    <t xml:space="preserve">WL-00047</t>
  </si>
  <si>
    <t xml:space="preserve">WL-00048</t>
  </si>
  <si>
    <t xml:space="preserve">WL-00049</t>
  </si>
  <si>
    <t xml:space="preserve">WL-00050</t>
  </si>
  <si>
    <t xml:space="preserve">WL-00051</t>
  </si>
  <si>
    <t xml:space="preserve">WL-00052</t>
  </si>
  <si>
    <t xml:space="preserve">WL-00053</t>
  </si>
  <si>
    <t xml:space="preserve">WL-00054</t>
  </si>
  <si>
    <t xml:space="preserve">WL-00055</t>
  </si>
  <si>
    <t xml:space="preserve">WL-00056</t>
  </si>
  <si>
    <t xml:space="preserve">WL-00057</t>
  </si>
  <si>
    <t xml:space="preserve">WL-00058</t>
  </si>
  <si>
    <t xml:space="preserve">WL-00059</t>
  </si>
  <si>
    <t xml:space="preserve">WL-00060</t>
  </si>
  <si>
    <t xml:space="preserve">WL-00061</t>
  </si>
  <si>
    <t xml:space="preserve">WL-00062</t>
  </si>
  <si>
    <t xml:space="preserve">WL-00063</t>
  </si>
  <si>
    <t xml:space="preserve">WL-00064</t>
  </si>
  <si>
    <t xml:space="preserve">WL-00065</t>
  </si>
  <si>
    <t xml:space="preserve">WL-00066</t>
  </si>
  <si>
    <t xml:space="preserve">WL-00067</t>
  </si>
  <si>
    <t xml:space="preserve">WL-00068</t>
  </si>
  <si>
    <t xml:space="preserve">WL-00069</t>
  </si>
  <si>
    <t xml:space="preserve">WL-00070</t>
  </si>
  <si>
    <t xml:space="preserve">WL-00071</t>
  </si>
  <si>
    <t xml:space="preserve">WL-00072</t>
  </si>
  <si>
    <t xml:space="preserve">WL-00073</t>
  </si>
  <si>
    <t xml:space="preserve">WL-00074</t>
  </si>
  <si>
    <t xml:space="preserve">WL-00075</t>
  </si>
  <si>
    <t xml:space="preserve">WL-00076</t>
  </si>
  <si>
    <t xml:space="preserve">WL-00077</t>
  </si>
  <si>
    <t xml:space="preserve">WL-00078</t>
  </si>
  <si>
    <t xml:space="preserve">WL-00079</t>
  </si>
  <si>
    <t xml:space="preserve">WL-00080</t>
  </si>
  <si>
    <t xml:space="preserve">WL-00081</t>
  </si>
  <si>
    <t xml:space="preserve">WL-00082</t>
  </si>
  <si>
    <t xml:space="preserve">WL-00083</t>
  </si>
  <si>
    <t xml:space="preserve">WL-00084</t>
  </si>
  <si>
    <t xml:space="preserve">WL-00085</t>
  </si>
  <si>
    <t xml:space="preserve">WL-00086</t>
  </si>
  <si>
    <t xml:space="preserve">WL-00087</t>
  </si>
  <si>
    <t xml:space="preserve">WL-00088</t>
  </si>
  <si>
    <t xml:space="preserve">WL-00089</t>
  </si>
  <si>
    <t xml:space="preserve">WL-00090</t>
  </si>
  <si>
    <t xml:space="preserve">WL-00091</t>
  </si>
  <si>
    <t xml:space="preserve">WL-00092</t>
  </si>
  <si>
    <t xml:space="preserve">WL-00093</t>
  </si>
  <si>
    <t xml:space="preserve">WL-00094</t>
  </si>
  <si>
    <t xml:space="preserve">WL-00095</t>
  </si>
  <si>
    <t xml:space="preserve">WL-00096</t>
  </si>
  <si>
    <t xml:space="preserve">WL-00097</t>
  </si>
  <si>
    <t xml:space="preserve">WL-00098</t>
  </si>
  <si>
    <t xml:space="preserve">WL-00099</t>
  </si>
  <si>
    <t xml:space="preserve">WL-00100</t>
  </si>
  <si>
    <t xml:space="preserve">WL-00101</t>
  </si>
  <si>
    <t xml:space="preserve">WL-00102</t>
  </si>
  <si>
    <t xml:space="preserve">WL-00103</t>
  </si>
  <si>
    <t xml:space="preserve">WL-00104</t>
  </si>
  <si>
    <t xml:space="preserve">WL-00105</t>
  </si>
  <si>
    <t xml:space="preserve">WL-00106</t>
  </si>
  <si>
    <t xml:space="preserve">WL-00107</t>
  </si>
  <si>
    <t xml:space="preserve">WL-00108</t>
  </si>
  <si>
    <t xml:space="preserve">WL-00109</t>
  </si>
  <si>
    <t xml:space="preserve">WL-00110</t>
  </si>
  <si>
    <t xml:space="preserve">WL-00111</t>
  </si>
  <si>
    <t xml:space="preserve">WL-00112</t>
  </si>
  <si>
    <t xml:space="preserve">WL-00113</t>
  </si>
  <si>
    <t xml:space="preserve">WL-00114</t>
  </si>
  <si>
    <t xml:space="preserve">WL-00115</t>
  </si>
  <si>
    <t xml:space="preserve">WL-00116</t>
  </si>
  <si>
    <t xml:space="preserve">WL-00117</t>
  </si>
  <si>
    <t xml:space="preserve">WL-00118</t>
  </si>
  <si>
    <t xml:space="preserve">WL-00119</t>
  </si>
  <si>
    <t xml:space="preserve">WL-00120</t>
  </si>
  <si>
    <t xml:space="preserve">WL-00121</t>
  </si>
  <si>
    <t xml:space="preserve">WL-00122</t>
  </si>
  <si>
    <t xml:space="preserve">WL-00123</t>
  </si>
  <si>
    <t xml:space="preserve">WL-00124</t>
  </si>
  <si>
    <t xml:space="preserve">WL-00125</t>
  </si>
  <si>
    <t xml:space="preserve">WL-00126</t>
  </si>
  <si>
    <t xml:space="preserve">WL-00127</t>
  </si>
  <si>
    <t xml:space="preserve">WL-00128</t>
  </si>
  <si>
    <t xml:space="preserve">WL-00129</t>
  </si>
  <si>
    <t xml:space="preserve">WL-00130</t>
  </si>
  <si>
    <t xml:space="preserve">WL-00131</t>
  </si>
  <si>
    <t xml:space="preserve">WL-00132</t>
  </si>
  <si>
    <t xml:space="preserve">WL-00133</t>
  </si>
  <si>
    <t xml:space="preserve">WL-00134</t>
  </si>
  <si>
    <t xml:space="preserve">WL-00135</t>
  </si>
  <si>
    <t xml:space="preserve">WL-00136</t>
  </si>
  <si>
    <t xml:space="preserve">WL-00137</t>
  </si>
  <si>
    <t xml:space="preserve">WL-00138</t>
  </si>
  <si>
    <t xml:space="preserve">WL-00139</t>
  </si>
  <si>
    <t xml:space="preserve">WL-00140</t>
  </si>
  <si>
    <t xml:space="preserve">WL-00141</t>
  </si>
  <si>
    <t xml:space="preserve">WL-00142</t>
  </si>
  <si>
    <t xml:space="preserve">WL-00143</t>
  </si>
  <si>
    <t xml:space="preserve">WL-00144</t>
  </si>
  <si>
    <t xml:space="preserve">WL-00145</t>
  </si>
  <si>
    <t xml:space="preserve">WL-00146</t>
  </si>
  <si>
    <t xml:space="preserve">WL-00147</t>
  </si>
  <si>
    <t xml:space="preserve">WL-00148</t>
  </si>
  <si>
    <t xml:space="preserve">WL-00149</t>
  </si>
  <si>
    <t xml:space="preserve">WL-00150</t>
  </si>
  <si>
    <t xml:space="preserve">WL-00151</t>
  </si>
  <si>
    <t xml:space="preserve">WL-00152</t>
  </si>
  <si>
    <t xml:space="preserve">WL-00153</t>
  </si>
  <si>
    <t xml:space="preserve">WL-00154</t>
  </si>
  <si>
    <t xml:space="preserve">WL-00155</t>
  </si>
  <si>
    <t xml:space="preserve">WL-00156</t>
  </si>
  <si>
    <t xml:space="preserve">WL-00157</t>
  </si>
  <si>
    <t xml:space="preserve">WL-00158</t>
  </si>
  <si>
    <t xml:space="preserve">WL-00159</t>
  </si>
  <si>
    <t xml:space="preserve">WL-00160</t>
  </si>
  <si>
    <t xml:space="preserve">WL-00161</t>
  </si>
  <si>
    <t xml:space="preserve">WL-00162</t>
  </si>
  <si>
    <t xml:space="preserve">WL-00163</t>
  </si>
  <si>
    <t xml:space="preserve">WL-00164</t>
  </si>
  <si>
    <t xml:space="preserve">WL-00165</t>
  </si>
  <si>
    <t xml:space="preserve">WL-00166</t>
  </si>
  <si>
    <t xml:space="preserve">WL-00167</t>
  </si>
  <si>
    <t xml:space="preserve">WL-00168</t>
  </si>
  <si>
    <t xml:space="preserve">WL-00169</t>
  </si>
  <si>
    <t xml:space="preserve">WL-00170</t>
  </si>
  <si>
    <t xml:space="preserve">WL-00171</t>
  </si>
  <si>
    <t xml:space="preserve">WL-00172</t>
  </si>
  <si>
    <t xml:space="preserve">WL-00173</t>
  </si>
  <si>
    <t xml:space="preserve">WL-00174</t>
  </si>
  <si>
    <t xml:space="preserve">WL-00175</t>
  </si>
  <si>
    <t xml:space="preserve">WL-00176</t>
  </si>
  <si>
    <t xml:space="preserve">WL-00177</t>
  </si>
  <si>
    <t xml:space="preserve">WL-00178</t>
  </si>
  <si>
    <t xml:space="preserve">WL-00179</t>
  </si>
  <si>
    <t xml:space="preserve">WL-00180</t>
  </si>
  <si>
    <t xml:space="preserve">WL-00181</t>
  </si>
  <si>
    <t xml:space="preserve">WL-00182</t>
  </si>
  <si>
    <t xml:space="preserve">WL-00183</t>
  </si>
  <si>
    <t xml:space="preserve">WL-00184</t>
  </si>
  <si>
    <t xml:space="preserve">WL-00185</t>
  </si>
  <si>
    <t xml:space="preserve">WL-00186</t>
  </si>
  <si>
    <t xml:space="preserve">WL-00187</t>
  </si>
  <si>
    <t xml:space="preserve">WL-00188</t>
  </si>
  <si>
    <t xml:space="preserve">WL-00189</t>
  </si>
  <si>
    <t xml:space="preserve">WL-00190</t>
  </si>
  <si>
    <t xml:space="preserve">WL-00191</t>
  </si>
  <si>
    <t xml:space="preserve">WL-00192</t>
  </si>
  <si>
    <t xml:space="preserve">WL-00193</t>
  </si>
  <si>
    <t xml:space="preserve">WL-00194</t>
  </si>
  <si>
    <t xml:space="preserve">WL-00195</t>
  </si>
  <si>
    <t xml:space="preserve">WL-00196</t>
  </si>
  <si>
    <t xml:space="preserve">WL-00197</t>
  </si>
  <si>
    <t xml:space="preserve">WL-00198</t>
  </si>
  <si>
    <t xml:space="preserve">WL-00199</t>
  </si>
  <si>
    <t xml:space="preserve">WL-00200</t>
  </si>
  <si>
    <t xml:space="preserve">WL-00201</t>
  </si>
  <si>
    <t xml:space="preserve">WL-00202</t>
  </si>
  <si>
    <t xml:space="preserve">WL-00203</t>
  </si>
  <si>
    <t xml:space="preserve">WL-00204</t>
  </si>
  <si>
    <t xml:space="preserve">WL-00205</t>
  </si>
  <si>
    <t xml:space="preserve">WL-00206</t>
  </si>
  <si>
    <t xml:space="preserve">WL-00207</t>
  </si>
  <si>
    <t xml:space="preserve">WL-00208</t>
  </si>
  <si>
    <t xml:space="preserve">WL-00209</t>
  </si>
  <si>
    <t xml:space="preserve">WL-00210</t>
  </si>
  <si>
    <t xml:space="preserve">WL-00211</t>
  </si>
  <si>
    <t xml:space="preserve">WL-00212</t>
  </si>
  <si>
    <t xml:space="preserve">WL-00213</t>
  </si>
  <si>
    <t xml:space="preserve">WL-00214</t>
  </si>
  <si>
    <t xml:space="preserve">WL-00215</t>
  </si>
  <si>
    <t xml:space="preserve">WL-00216</t>
  </si>
  <si>
    <t xml:space="preserve">WL-00217</t>
  </si>
  <si>
    <t xml:space="preserve">WL-00218</t>
  </si>
  <si>
    <t xml:space="preserve">WL-00219</t>
  </si>
  <si>
    <t xml:space="preserve">WL-00220</t>
  </si>
  <si>
    <t xml:space="preserve">WL-00221</t>
  </si>
  <si>
    <t xml:space="preserve">WL-00222</t>
  </si>
  <si>
    <t xml:space="preserve">WL-00223</t>
  </si>
  <si>
    <t xml:space="preserve">WL-00224</t>
  </si>
  <si>
    <t xml:space="preserve">WL-00225</t>
  </si>
  <si>
    <t xml:space="preserve">WL-00226</t>
  </si>
  <si>
    <t xml:space="preserve">WL-00227</t>
  </si>
  <si>
    <t xml:space="preserve">WL-00228</t>
  </si>
  <si>
    <t xml:space="preserve">WL-00229</t>
  </si>
  <si>
    <t xml:space="preserve">WL-00230</t>
  </si>
  <si>
    <t xml:space="preserve">WL-00231</t>
  </si>
  <si>
    <t xml:space="preserve">WL-00232</t>
  </si>
  <si>
    <t xml:space="preserve">WL-00233</t>
  </si>
  <si>
    <t xml:space="preserve">WL-00234</t>
  </si>
  <si>
    <t xml:space="preserve">WL-00235</t>
  </si>
  <si>
    <t xml:space="preserve">WL-00236</t>
  </si>
  <si>
    <t xml:space="preserve">WL-00237</t>
  </si>
  <si>
    <t xml:space="preserve">WL-00238</t>
  </si>
  <si>
    <t xml:space="preserve">WL-00239</t>
  </si>
  <si>
    <t xml:space="preserve">WL-00240</t>
  </si>
  <si>
    <t xml:space="preserve">WL-00241</t>
  </si>
  <si>
    <t xml:space="preserve">WL-00242</t>
  </si>
  <si>
    <t xml:space="preserve">WL-00243</t>
  </si>
  <si>
    <t xml:space="preserve">WL-00244</t>
  </si>
  <si>
    <t xml:space="preserve">WL-00245</t>
  </si>
  <si>
    <t xml:space="preserve">WL-00246</t>
  </si>
  <si>
    <t xml:space="preserve">WL-00247</t>
  </si>
  <si>
    <t xml:space="preserve">WL-00248</t>
  </si>
  <si>
    <t xml:space="preserve">WL-00249</t>
  </si>
  <si>
    <t xml:space="preserve">WL-00250</t>
  </si>
  <si>
    <t xml:space="preserve">WL-00251</t>
  </si>
  <si>
    <t xml:space="preserve">WL-00252</t>
  </si>
  <si>
    <t xml:space="preserve">WL-00253</t>
  </si>
  <si>
    <t xml:space="preserve">WL-00254</t>
  </si>
  <si>
    <t xml:space="preserve">WL-00255</t>
  </si>
  <si>
    <t xml:space="preserve">WL-00256</t>
  </si>
  <si>
    <t xml:space="preserve">WL-00257</t>
  </si>
  <si>
    <t xml:space="preserve">WL-00258</t>
  </si>
  <si>
    <t xml:space="preserve">WL-00259</t>
  </si>
  <si>
    <t xml:space="preserve">WL-00260</t>
  </si>
  <si>
    <t xml:space="preserve">WL-00261</t>
  </si>
  <si>
    <t xml:space="preserve">WL-00262</t>
  </si>
  <si>
    <t xml:space="preserve">WL-00263</t>
  </si>
  <si>
    <t xml:space="preserve">WL-00264</t>
  </si>
  <si>
    <t xml:space="preserve">WL-00265</t>
  </si>
  <si>
    <t xml:space="preserve">WL-00266</t>
  </si>
  <si>
    <t xml:space="preserve">WL-00267</t>
  </si>
  <si>
    <t xml:space="preserve">WL-00268</t>
  </si>
  <si>
    <t xml:space="preserve">WL-00269</t>
  </si>
  <si>
    <t xml:space="preserve">WL-00270</t>
  </si>
  <si>
    <t xml:space="preserve">WL-00271</t>
  </si>
  <si>
    <t xml:space="preserve">WL-00272</t>
  </si>
  <si>
    <t xml:space="preserve">WL-00273</t>
  </si>
  <si>
    <t xml:space="preserve">WL-00274</t>
  </si>
  <si>
    <t xml:space="preserve">WL-00275</t>
  </si>
  <si>
    <t xml:space="preserve">WL-00276</t>
  </si>
  <si>
    <t xml:space="preserve">WL-00277</t>
  </si>
  <si>
    <t xml:space="preserve">WL-00278</t>
  </si>
  <si>
    <t xml:space="preserve">WL-00279</t>
  </si>
  <si>
    <t xml:space="preserve">WL-00280</t>
  </si>
  <si>
    <t xml:space="preserve">WL-00281</t>
  </si>
  <si>
    <t xml:space="preserve">WL-00282</t>
  </si>
  <si>
    <t xml:space="preserve">WL-00283</t>
  </si>
  <si>
    <t xml:space="preserve">WL-00284</t>
  </si>
  <si>
    <t xml:space="preserve">WL-00285</t>
  </si>
  <si>
    <t xml:space="preserve">WL-00286</t>
  </si>
  <si>
    <t xml:space="preserve">WL-00287</t>
  </si>
  <si>
    <t xml:space="preserve">WL-00288</t>
  </si>
  <si>
    <t xml:space="preserve">WL-00289</t>
  </si>
  <si>
    <t xml:space="preserve">WL-00290</t>
  </si>
  <si>
    <t xml:space="preserve">WL-00291</t>
  </si>
  <si>
    <t xml:space="preserve">WL-00292</t>
  </si>
  <si>
    <t xml:space="preserve">WL-00293</t>
  </si>
  <si>
    <t xml:space="preserve">WL-00294</t>
  </si>
  <si>
    <t xml:space="preserve">WL-00295</t>
  </si>
  <si>
    <t xml:space="preserve">WL-00296</t>
  </si>
  <si>
    <t xml:space="preserve">WL-00297</t>
  </si>
  <si>
    <t xml:space="preserve">WL-00298</t>
  </si>
  <si>
    <t xml:space="preserve">WL-00299</t>
  </si>
  <si>
    <t xml:space="preserve">WL-00300</t>
  </si>
  <si>
    <t xml:space="preserve">WL-00301</t>
  </si>
  <si>
    <t xml:space="preserve">WL-00302</t>
  </si>
  <si>
    <t xml:space="preserve">WL-00303</t>
  </si>
  <si>
    <t xml:space="preserve">WL-00304</t>
  </si>
  <si>
    <t xml:space="preserve">WL-00305</t>
  </si>
  <si>
    <t xml:space="preserve">WL-00306</t>
  </si>
  <si>
    <t xml:space="preserve">WL-00307</t>
  </si>
  <si>
    <t xml:space="preserve">WL-00308</t>
  </si>
  <si>
    <t xml:space="preserve">WL-00309</t>
  </si>
  <si>
    <t xml:space="preserve">WL-00310</t>
  </si>
  <si>
    <t xml:space="preserve">WL-00311</t>
  </si>
  <si>
    <t xml:space="preserve">WL-00312</t>
  </si>
  <si>
    <t xml:space="preserve">WL-00313</t>
  </si>
  <si>
    <t xml:space="preserve">WL-00314</t>
  </si>
  <si>
    <t xml:space="preserve">WL-00315</t>
  </si>
  <si>
    <t xml:space="preserve">WL-00316</t>
  </si>
  <si>
    <t xml:space="preserve">WL-00317</t>
  </si>
  <si>
    <t xml:space="preserve">WL-00318</t>
  </si>
  <si>
    <t xml:space="preserve">WL-00319</t>
  </si>
  <si>
    <t xml:space="preserve">WL-00320</t>
  </si>
  <si>
    <t xml:space="preserve">WL-00321</t>
  </si>
  <si>
    <t xml:space="preserve">WL-00322</t>
  </si>
  <si>
    <t xml:space="preserve">WL-00323</t>
  </si>
  <si>
    <t xml:space="preserve">WL-00324</t>
  </si>
  <si>
    <t xml:space="preserve">WL-00325</t>
  </si>
  <si>
    <t xml:space="preserve">WL-00326</t>
  </si>
  <si>
    <t xml:space="preserve">WL-00327</t>
  </si>
  <si>
    <t xml:space="preserve">WL-00328</t>
  </si>
  <si>
    <t xml:space="preserve">WL-00329</t>
  </si>
  <si>
    <t xml:space="preserve">WL-00330</t>
  </si>
  <si>
    <t xml:space="preserve">WL-00331</t>
  </si>
  <si>
    <t xml:space="preserve">WL-00332</t>
  </si>
  <si>
    <t xml:space="preserve">WL-00333</t>
  </si>
  <si>
    <t xml:space="preserve">WL-00334</t>
  </si>
  <si>
    <t xml:space="preserve">WL-00335</t>
  </si>
  <si>
    <t xml:space="preserve">WL-00336</t>
  </si>
  <si>
    <t xml:space="preserve">WL-00337</t>
  </si>
  <si>
    <t xml:space="preserve">WL-00338</t>
  </si>
  <si>
    <t xml:space="preserve">WL-00339</t>
  </si>
  <si>
    <t xml:space="preserve">WL-00340</t>
  </si>
  <si>
    <t xml:space="preserve">WL-00341</t>
  </si>
  <si>
    <t xml:space="preserve">WL-00342</t>
  </si>
  <si>
    <t xml:space="preserve">WL-00343</t>
  </si>
  <si>
    <t xml:space="preserve">WL-00344</t>
  </si>
  <si>
    <t xml:space="preserve">WL-00345</t>
  </si>
  <si>
    <t xml:space="preserve">WL-00346</t>
  </si>
  <si>
    <t xml:space="preserve">WL-00347</t>
  </si>
  <si>
    <t xml:space="preserve">WL-00348</t>
  </si>
  <si>
    <t xml:space="preserve">WL-00349</t>
  </si>
  <si>
    <t xml:space="preserve">WL-00350</t>
  </si>
  <si>
    <t xml:space="preserve">WL-00351</t>
  </si>
  <si>
    <t xml:space="preserve">WL-00352</t>
  </si>
  <si>
    <t xml:space="preserve">WL-00353</t>
  </si>
  <si>
    <t xml:space="preserve">WL-00354</t>
  </si>
  <si>
    <t xml:space="preserve">WL-00355</t>
  </si>
  <si>
    <t xml:space="preserve">WL-00356</t>
  </si>
  <si>
    <t xml:space="preserve">WL-00357</t>
  </si>
  <si>
    <t xml:space="preserve">WL-00358</t>
  </si>
  <si>
    <t xml:space="preserve">WL-00359</t>
  </si>
  <si>
    <t xml:space="preserve">WL-00360</t>
  </si>
  <si>
    <t xml:space="preserve">WL-00361</t>
  </si>
  <si>
    <t xml:space="preserve">WL-00362</t>
  </si>
  <si>
    <t xml:space="preserve">WL-00363</t>
  </si>
  <si>
    <t xml:space="preserve">WL-00364</t>
  </si>
  <si>
    <t xml:space="preserve">WL-00365</t>
  </si>
  <si>
    <t xml:space="preserve">WL-00366</t>
  </si>
  <si>
    <t xml:space="preserve">WL-00367</t>
  </si>
  <si>
    <t xml:space="preserve">WL-00368</t>
  </si>
  <si>
    <t xml:space="preserve">WL-00369</t>
  </si>
  <si>
    <t xml:space="preserve">WL-00370</t>
  </si>
  <si>
    <t xml:space="preserve">WL-00371</t>
  </si>
  <si>
    <t xml:space="preserve">WL-00372</t>
  </si>
  <si>
    <t xml:space="preserve">WL-00373</t>
  </si>
  <si>
    <t xml:space="preserve">WL-00374</t>
  </si>
  <si>
    <t xml:space="preserve">WL-00375</t>
  </si>
  <si>
    <t xml:space="preserve">WL-00376</t>
  </si>
  <si>
    <t xml:space="preserve">WL-00377</t>
  </si>
  <si>
    <t xml:space="preserve">WL-00378</t>
  </si>
  <si>
    <t xml:space="preserve">WL-00379</t>
  </si>
  <si>
    <t xml:space="preserve">WL-00380</t>
  </si>
  <si>
    <t xml:space="preserve">WL-00381</t>
  </si>
  <si>
    <t xml:space="preserve">WL-00382</t>
  </si>
  <si>
    <t xml:space="preserve">WL-00383</t>
  </si>
  <si>
    <t xml:space="preserve">WL-00384</t>
  </si>
  <si>
    <t xml:space="preserve">WL-00385</t>
  </si>
  <si>
    <t xml:space="preserve">WL-00386</t>
  </si>
  <si>
    <t xml:space="preserve">WL-00387</t>
  </si>
  <si>
    <t xml:space="preserve">WL-00388</t>
  </si>
  <si>
    <t xml:space="preserve">WL-00389</t>
  </si>
  <si>
    <t xml:space="preserve">WL-00390</t>
  </si>
  <si>
    <t xml:space="preserve">WL-00391</t>
  </si>
  <si>
    <t xml:space="preserve">WL-00392</t>
  </si>
  <si>
    <t xml:space="preserve">WL-00393</t>
  </si>
  <si>
    <t xml:space="preserve">WL-00394</t>
  </si>
  <si>
    <t xml:space="preserve">WL-00395</t>
  </si>
  <si>
    <t xml:space="preserve">WL-00396</t>
  </si>
  <si>
    <t xml:space="preserve">WL-00397</t>
  </si>
  <si>
    <t xml:space="preserve">WL-00398</t>
  </si>
  <si>
    <t xml:space="preserve">WL-00399</t>
  </si>
  <si>
    <t xml:space="preserve">WL-00400</t>
  </si>
  <si>
    <t xml:space="preserve">WL-00401</t>
  </si>
  <si>
    <t xml:space="preserve">WL-00402</t>
  </si>
  <si>
    <t xml:space="preserve">WL-00403</t>
  </si>
  <si>
    <t xml:space="preserve">WL-00404</t>
  </si>
  <si>
    <t xml:space="preserve">WL-00405</t>
  </si>
  <si>
    <t xml:space="preserve">WL-00406</t>
  </si>
  <si>
    <t xml:space="preserve">WL-00407</t>
  </si>
  <si>
    <t xml:space="preserve">WL-00408</t>
  </si>
  <si>
    <t xml:space="preserve">WL-00409</t>
  </si>
  <si>
    <t xml:space="preserve">WL-00410</t>
  </si>
  <si>
    <t xml:space="preserve">WL-00411</t>
  </si>
  <si>
    <t xml:space="preserve">WL-00412</t>
  </si>
  <si>
    <t xml:space="preserve">WL-00413</t>
  </si>
  <si>
    <t xml:space="preserve">WL-00414</t>
  </si>
  <si>
    <t xml:space="preserve">WL-00415</t>
  </si>
  <si>
    <t xml:space="preserve">WL-00416</t>
  </si>
  <si>
    <t xml:space="preserve">WL-00417</t>
  </si>
  <si>
    <t xml:space="preserve">WL-00418</t>
  </si>
  <si>
    <t xml:space="preserve">WL-00419</t>
  </si>
  <si>
    <t xml:space="preserve">WL-00420</t>
  </si>
  <si>
    <t xml:space="preserve">WL-00421</t>
  </si>
  <si>
    <t xml:space="preserve">WL-00422</t>
  </si>
  <si>
    <t xml:space="preserve">WL-00423</t>
  </si>
  <si>
    <t xml:space="preserve">WL-00424</t>
  </si>
  <si>
    <t xml:space="preserve">WL-00425</t>
  </si>
  <si>
    <t xml:space="preserve">WL-00426</t>
  </si>
  <si>
    <t xml:space="preserve">WL-00427</t>
  </si>
  <si>
    <t xml:space="preserve">WL-00428</t>
  </si>
  <si>
    <t xml:space="preserve">WL-00429</t>
  </si>
  <si>
    <t xml:space="preserve">WL-00430</t>
  </si>
  <si>
    <t xml:space="preserve">WL-00431</t>
  </si>
  <si>
    <t xml:space="preserve">WL-00432</t>
  </si>
  <si>
    <t xml:space="preserve">WL-00433</t>
  </si>
  <si>
    <t xml:space="preserve">WL-00434</t>
  </si>
  <si>
    <t xml:space="preserve">WL-00435</t>
  </si>
  <si>
    <t xml:space="preserve">WL-00436</t>
  </si>
  <si>
    <t xml:space="preserve">WL-00437</t>
  </si>
  <si>
    <t xml:space="preserve">WL-00438</t>
  </si>
  <si>
    <t xml:space="preserve">WL-00439</t>
  </si>
  <si>
    <t xml:space="preserve">WL-00440</t>
  </si>
  <si>
    <t xml:space="preserve">WL-00441</t>
  </si>
  <si>
    <t xml:space="preserve">WL-00442</t>
  </si>
  <si>
    <t xml:space="preserve">WL-00443</t>
  </si>
  <si>
    <t xml:space="preserve">WL-00444</t>
  </si>
  <si>
    <t xml:space="preserve">WL-00445</t>
  </si>
  <si>
    <t xml:space="preserve">WL-00446</t>
  </si>
  <si>
    <t xml:space="preserve">WL-00447</t>
  </si>
  <si>
    <t xml:space="preserve">WL-00448</t>
  </si>
  <si>
    <t xml:space="preserve">WL-00449</t>
  </si>
  <si>
    <t xml:space="preserve">WL-00450</t>
  </si>
  <si>
    <t xml:space="preserve">WL-00451</t>
  </si>
  <si>
    <t xml:space="preserve">WL-00452</t>
  </si>
  <si>
    <t xml:space="preserve">WL-00453</t>
  </si>
  <si>
    <t xml:space="preserve">WL-00454</t>
  </si>
  <si>
    <t xml:space="preserve">WL-00455</t>
  </si>
  <si>
    <t xml:space="preserve">WL-00456</t>
  </si>
  <si>
    <t xml:space="preserve">WL-00457</t>
  </si>
  <si>
    <t xml:space="preserve">WL-00458</t>
  </si>
  <si>
    <t xml:space="preserve">WL-00459</t>
  </si>
  <si>
    <t xml:space="preserve">WL-00460</t>
  </si>
  <si>
    <t xml:space="preserve">WL-00461</t>
  </si>
  <si>
    <t xml:space="preserve">WL-00462</t>
  </si>
  <si>
    <t xml:space="preserve">WL-00463</t>
  </si>
  <si>
    <t xml:space="preserve">WL-00464</t>
  </si>
  <si>
    <t xml:space="preserve">WL-00465</t>
  </si>
  <si>
    <t xml:space="preserve">WL-00466</t>
  </si>
  <si>
    <t xml:space="preserve">WL-00467</t>
  </si>
  <si>
    <t xml:space="preserve">WL-00468</t>
  </si>
  <si>
    <t xml:space="preserve">WL-00469</t>
  </si>
  <si>
    <t xml:space="preserve">WL-00470</t>
  </si>
  <si>
    <t xml:space="preserve">WL-00471</t>
  </si>
  <si>
    <t xml:space="preserve">WL-00472</t>
  </si>
  <si>
    <t xml:space="preserve">WL-00473</t>
  </si>
  <si>
    <t xml:space="preserve">WL-00474</t>
  </si>
  <si>
    <t xml:space="preserve">WL-00475</t>
  </si>
  <si>
    <t xml:space="preserve">WL-00476</t>
  </si>
  <si>
    <t xml:space="preserve">WL-00477</t>
  </si>
  <si>
    <t xml:space="preserve">WL-00478</t>
  </si>
  <si>
    <t xml:space="preserve">WL-00479</t>
  </si>
  <si>
    <t xml:space="preserve">WL-00480</t>
  </si>
  <si>
    <t xml:space="preserve">WL-00481</t>
  </si>
  <si>
    <t xml:space="preserve">WL-00482</t>
  </si>
  <si>
    <t xml:space="preserve">WL-00483</t>
  </si>
  <si>
    <t xml:space="preserve">WL-00484</t>
  </si>
  <si>
    <t xml:space="preserve">WL-00485</t>
  </si>
  <si>
    <t xml:space="preserve">WL-00486</t>
  </si>
  <si>
    <t xml:space="preserve">WL-00487</t>
  </si>
  <si>
    <t xml:space="preserve">WL-00488</t>
  </si>
  <si>
    <t xml:space="preserve">WL-00489</t>
  </si>
  <si>
    <t xml:space="preserve">WL-00490</t>
  </si>
  <si>
    <t xml:space="preserve">WL-00491</t>
  </si>
  <si>
    <t xml:space="preserve">WL-00492</t>
  </si>
  <si>
    <t xml:space="preserve">WL-00493</t>
  </si>
  <si>
    <t xml:space="preserve">WL-00494</t>
  </si>
  <si>
    <t xml:space="preserve">WL-00495</t>
  </si>
  <si>
    <t xml:space="preserve">WL-00496</t>
  </si>
  <si>
    <t xml:space="preserve">WL-00497</t>
  </si>
  <si>
    <t xml:space="preserve">WL-00498</t>
  </si>
  <si>
    <t xml:space="preserve">WL-00499</t>
  </si>
  <si>
    <t xml:space="preserve">WL-00500</t>
  </si>
  <si>
    <t xml:space="preserve">WL-00501</t>
  </si>
  <si>
    <t xml:space="preserve">WL-00502</t>
  </si>
  <si>
    <t xml:space="preserve">WL-00503</t>
  </si>
  <si>
    <t xml:space="preserve">WL-00504</t>
  </si>
  <si>
    <t xml:space="preserve">WL-00505</t>
  </si>
  <si>
    <t xml:space="preserve">WL-00506</t>
  </si>
  <si>
    <t xml:space="preserve">WL-00507</t>
  </si>
  <si>
    <t xml:space="preserve">WL-00508</t>
  </si>
  <si>
    <t xml:space="preserve">WL-00509</t>
  </si>
  <si>
    <t xml:space="preserve">WL-00510</t>
  </si>
  <si>
    <t xml:space="preserve">WL-00511</t>
  </si>
  <si>
    <t xml:space="preserve">WL-00512</t>
  </si>
  <si>
    <t xml:space="preserve">WL-00513</t>
  </si>
  <si>
    <t xml:space="preserve">WL-00514</t>
  </si>
  <si>
    <t xml:space="preserve">WL-00515</t>
  </si>
  <si>
    <t xml:space="preserve">WL-00516</t>
  </si>
  <si>
    <t xml:space="preserve">WL-00517</t>
  </si>
  <si>
    <t xml:space="preserve">WL-00518</t>
  </si>
  <si>
    <t xml:space="preserve">WL-00519</t>
  </si>
  <si>
    <t xml:space="preserve">WL-00520</t>
  </si>
  <si>
    <t xml:space="preserve">WL-00521</t>
  </si>
  <si>
    <t xml:space="preserve">WL-00522</t>
  </si>
  <si>
    <t xml:space="preserve">WL-00523</t>
  </si>
  <si>
    <t xml:space="preserve">WL-00524</t>
  </si>
  <si>
    <t xml:space="preserve">WL-00525</t>
  </si>
  <si>
    <t xml:space="preserve">WL-00526</t>
  </si>
  <si>
    <t xml:space="preserve">WL-00527</t>
  </si>
  <si>
    <t xml:space="preserve">WL-00528</t>
  </si>
  <si>
    <t xml:space="preserve">WL-00529</t>
  </si>
  <si>
    <t xml:space="preserve">WL-00530</t>
  </si>
  <si>
    <t xml:space="preserve">WL-00531</t>
  </si>
  <si>
    <t xml:space="preserve">WL-00532</t>
  </si>
  <si>
    <t xml:space="preserve">WL-00533</t>
  </si>
  <si>
    <t xml:space="preserve">WL-00534</t>
  </si>
  <si>
    <t xml:space="preserve">WL-00535</t>
  </si>
  <si>
    <t xml:space="preserve">WL-00536</t>
  </si>
  <si>
    <t xml:space="preserve">WL-00537</t>
  </si>
  <si>
    <t xml:space="preserve">WL-00538</t>
  </si>
  <si>
    <t xml:space="preserve">WL-00539</t>
  </si>
  <si>
    <t xml:space="preserve">WL-00540</t>
  </si>
  <si>
    <t xml:space="preserve">WL-00541</t>
  </si>
  <si>
    <t xml:space="preserve">WL-00542</t>
  </si>
  <si>
    <t xml:space="preserve">WL-00543</t>
  </si>
  <si>
    <t xml:space="preserve">WL-00544</t>
  </si>
  <si>
    <t xml:space="preserve">WL-00545</t>
  </si>
  <si>
    <t xml:space="preserve">WL-00546</t>
  </si>
  <si>
    <t xml:space="preserve">WL-00547</t>
  </si>
  <si>
    <t xml:space="preserve">WL-00548</t>
  </si>
  <si>
    <t xml:space="preserve">WL-00549</t>
  </si>
  <si>
    <t xml:space="preserve">WL-00550</t>
  </si>
  <si>
    <t xml:space="preserve">WL-00551</t>
  </si>
  <si>
    <t xml:space="preserve">WL-00552</t>
  </si>
  <si>
    <t xml:space="preserve">WL-00553</t>
  </si>
  <si>
    <t xml:space="preserve">WL-00554</t>
  </si>
  <si>
    <t xml:space="preserve">WL-00555</t>
  </si>
  <si>
    <t xml:space="preserve">WL-00556</t>
  </si>
  <si>
    <t xml:space="preserve">WL-00557</t>
  </si>
  <si>
    <t xml:space="preserve">WL-00558</t>
  </si>
  <si>
    <t xml:space="preserve">WL-00559</t>
  </si>
  <si>
    <t xml:space="preserve">WL-00560</t>
  </si>
  <si>
    <t xml:space="preserve">WL-00561</t>
  </si>
  <si>
    <t xml:space="preserve">WL-00562</t>
  </si>
  <si>
    <t xml:space="preserve">WL-00563</t>
  </si>
  <si>
    <t xml:space="preserve">WL-00564</t>
  </si>
  <si>
    <t xml:space="preserve">WL-00565</t>
  </si>
  <si>
    <t xml:space="preserve">WL-00566</t>
  </si>
  <si>
    <t xml:space="preserve">WL-00567</t>
  </si>
  <si>
    <t xml:space="preserve">WL-00568</t>
  </si>
  <si>
    <t xml:space="preserve">WL-00569</t>
  </si>
  <si>
    <t xml:space="preserve">WL-00570</t>
  </si>
  <si>
    <t xml:space="preserve">WL-00571</t>
  </si>
  <si>
    <t xml:space="preserve">WL-00572</t>
  </si>
  <si>
    <t xml:space="preserve">WL-00573</t>
  </si>
  <si>
    <t xml:space="preserve">WL-00574</t>
  </si>
  <si>
    <t xml:space="preserve">WL-00575</t>
  </si>
  <si>
    <t xml:space="preserve">WL-00576</t>
  </si>
  <si>
    <t xml:space="preserve">WL-00577</t>
  </si>
  <si>
    <t xml:space="preserve">WL-00578</t>
  </si>
  <si>
    <t xml:space="preserve">WL-00579</t>
  </si>
  <si>
    <t xml:space="preserve">WL-00580</t>
  </si>
  <si>
    <t xml:space="preserve">WL-00581</t>
  </si>
  <si>
    <t xml:space="preserve">WL-00582</t>
  </si>
  <si>
    <t xml:space="preserve">WL-00583</t>
  </si>
  <si>
    <t xml:space="preserve">WL-00584</t>
  </si>
  <si>
    <t xml:space="preserve">WL-00585</t>
  </si>
  <si>
    <t xml:space="preserve">WL-00586</t>
  </si>
  <si>
    <t xml:space="preserve">WL-00587</t>
  </si>
  <si>
    <t xml:space="preserve">WL-00588</t>
  </si>
  <si>
    <t xml:space="preserve">WL-00589</t>
  </si>
  <si>
    <t xml:space="preserve">WL-00590</t>
  </si>
  <si>
    <t xml:space="preserve">WL-00591</t>
  </si>
  <si>
    <t xml:space="preserve">WL-00592</t>
  </si>
  <si>
    <t xml:space="preserve">WL-00593</t>
  </si>
  <si>
    <t xml:space="preserve">WL-00594</t>
  </si>
  <si>
    <t xml:space="preserve">WL-00595</t>
  </si>
  <si>
    <t xml:space="preserve">WL-00596</t>
  </si>
  <si>
    <t xml:space="preserve">WL-00597</t>
  </si>
  <si>
    <t xml:space="preserve">WL-00598</t>
  </si>
  <si>
    <t xml:space="preserve">WL-00599</t>
  </si>
  <si>
    <t xml:space="preserve">WL-00600</t>
  </si>
  <si>
    <t xml:space="preserve">WL-00601</t>
  </si>
  <si>
    <t xml:space="preserve">WL-00602</t>
  </si>
  <si>
    <t xml:space="preserve">WL-00603</t>
  </si>
  <si>
    <t xml:space="preserve">WL-00604</t>
  </si>
  <si>
    <t xml:space="preserve">WL-00605</t>
  </si>
  <si>
    <t xml:space="preserve">WL-00606</t>
  </si>
  <si>
    <t xml:space="preserve">WL-00607</t>
  </si>
  <si>
    <t xml:space="preserve">WL-00608</t>
  </si>
  <si>
    <t xml:space="preserve">WL-00609</t>
  </si>
  <si>
    <t xml:space="preserve">WL-00610</t>
  </si>
  <si>
    <t xml:space="preserve">WL-00611</t>
  </si>
  <si>
    <t xml:space="preserve">WL-00612</t>
  </si>
  <si>
    <t xml:space="preserve">WL-00613</t>
  </si>
  <si>
    <t xml:space="preserve">WL-00614</t>
  </si>
  <si>
    <t xml:space="preserve">WL-00615</t>
  </si>
  <si>
    <t xml:space="preserve">WL-00616</t>
  </si>
  <si>
    <t xml:space="preserve">WL-00617</t>
  </si>
  <si>
    <t xml:space="preserve">WL-00618</t>
  </si>
  <si>
    <t xml:space="preserve">WL-00619</t>
  </si>
  <si>
    <t xml:space="preserve">WL-00620</t>
  </si>
  <si>
    <t xml:space="preserve">WL-00621</t>
  </si>
  <si>
    <t xml:space="preserve">WL-00622</t>
  </si>
  <si>
    <t xml:space="preserve">WL-00623</t>
  </si>
  <si>
    <t xml:space="preserve">WL-00624</t>
  </si>
  <si>
    <t xml:space="preserve">WL-00625</t>
  </si>
  <si>
    <t xml:space="preserve">WL-00626</t>
  </si>
  <si>
    <t xml:space="preserve">WL-00627</t>
  </si>
  <si>
    <t xml:space="preserve">WL-00628</t>
  </si>
  <si>
    <t xml:space="preserve">WL-00629</t>
  </si>
  <si>
    <t xml:space="preserve">WL-00630</t>
  </si>
  <si>
    <t xml:space="preserve">WL-00631</t>
  </si>
  <si>
    <t xml:space="preserve">WL-00632</t>
  </si>
  <si>
    <t xml:space="preserve">WL-00633</t>
  </si>
  <si>
    <t xml:space="preserve">WL-00634</t>
  </si>
  <si>
    <t xml:space="preserve">WL-00635</t>
  </si>
  <si>
    <t xml:space="preserve">WL-00636</t>
  </si>
  <si>
    <t xml:space="preserve">WL-00637</t>
  </si>
  <si>
    <t xml:space="preserve">WL-00638</t>
  </si>
  <si>
    <t xml:space="preserve">WL-00639</t>
  </si>
  <si>
    <t xml:space="preserve">WL-00640</t>
  </si>
  <si>
    <t xml:space="preserve">WL-00641</t>
  </si>
  <si>
    <t xml:space="preserve">WL-00642</t>
  </si>
  <si>
    <t xml:space="preserve">WL-00643</t>
  </si>
  <si>
    <t xml:space="preserve">WL-00644</t>
  </si>
  <si>
    <t xml:space="preserve">WL-00645</t>
  </si>
  <si>
    <t xml:space="preserve">WL-00646</t>
  </si>
  <si>
    <t xml:space="preserve">WL-00647</t>
  </si>
  <si>
    <t xml:space="preserve">WL-00648</t>
  </si>
  <si>
    <t xml:space="preserve">WL-00649</t>
  </si>
  <si>
    <t xml:space="preserve">WL-00650</t>
  </si>
  <si>
    <t xml:space="preserve">WL-00651</t>
  </si>
  <si>
    <t xml:space="preserve">WL-00652</t>
  </si>
  <si>
    <t xml:space="preserve">WL-00653</t>
  </si>
  <si>
    <t xml:space="preserve">WL-00654</t>
  </si>
  <si>
    <t xml:space="preserve">WL-00655</t>
  </si>
  <si>
    <t xml:space="preserve">WL-00656</t>
  </si>
  <si>
    <t xml:space="preserve">WL-00657</t>
  </si>
  <si>
    <t xml:space="preserve">WL-00658</t>
  </si>
  <si>
    <t xml:space="preserve">WL-00659</t>
  </si>
  <si>
    <t xml:space="preserve">WL-00660</t>
  </si>
  <si>
    <t xml:space="preserve">WL-00661</t>
  </si>
  <si>
    <t xml:space="preserve">WL-00662</t>
  </si>
  <si>
    <t xml:space="preserve">WL-00663</t>
  </si>
  <si>
    <t xml:space="preserve">WL-00664</t>
  </si>
  <si>
    <t xml:space="preserve">WL-00665</t>
  </si>
  <si>
    <t xml:space="preserve">WL-00666</t>
  </si>
  <si>
    <t xml:space="preserve">WL-00667</t>
  </si>
  <si>
    <t xml:space="preserve">WL-00668</t>
  </si>
  <si>
    <t xml:space="preserve">WL-00669</t>
  </si>
  <si>
    <t xml:space="preserve">WL-00670</t>
  </si>
  <si>
    <t xml:space="preserve">WL-00671</t>
  </si>
  <si>
    <t xml:space="preserve">WL-00672</t>
  </si>
  <si>
    <t xml:space="preserve">WL-00673</t>
  </si>
  <si>
    <t xml:space="preserve">WL-00674</t>
  </si>
  <si>
    <t xml:space="preserve">WL-00675</t>
  </si>
  <si>
    <t xml:space="preserve">WL-00676</t>
  </si>
  <si>
    <t xml:space="preserve">WL-00677</t>
  </si>
  <si>
    <t xml:space="preserve">WL-00678</t>
  </si>
  <si>
    <t xml:space="preserve">WL-00679</t>
  </si>
  <si>
    <t xml:space="preserve">WL-00680</t>
  </si>
  <si>
    <t xml:space="preserve">WL-00681</t>
  </si>
  <si>
    <t xml:space="preserve">WL-00682</t>
  </si>
  <si>
    <t xml:space="preserve">WL-00683</t>
  </si>
  <si>
    <t xml:space="preserve">WL-00684</t>
  </si>
  <si>
    <t xml:space="preserve">WL-00685</t>
  </si>
  <si>
    <t xml:space="preserve">WL-00686</t>
  </si>
  <si>
    <t xml:space="preserve">WL-00687</t>
  </si>
  <si>
    <t xml:space="preserve">WL-00688</t>
  </si>
  <si>
    <t xml:space="preserve">WL-00689</t>
  </si>
  <si>
    <t xml:space="preserve">WL-00690</t>
  </si>
  <si>
    <t xml:space="preserve">WL-00691</t>
  </si>
  <si>
    <t xml:space="preserve">WL-00692</t>
  </si>
  <si>
    <t xml:space="preserve">WL-00693</t>
  </si>
  <si>
    <t xml:space="preserve">WL-00694</t>
  </si>
  <si>
    <t xml:space="preserve">WL-00695</t>
  </si>
  <si>
    <t xml:space="preserve">WL-00696</t>
  </si>
  <si>
    <t xml:space="preserve">WL-00697</t>
  </si>
  <si>
    <t xml:space="preserve">WL-00698</t>
  </si>
  <si>
    <t xml:space="preserve">WL-00699</t>
  </si>
  <si>
    <t xml:space="preserve">WL-00700</t>
  </si>
  <si>
    <t xml:space="preserve">WL-00701</t>
  </si>
  <si>
    <t xml:space="preserve">WL-00702</t>
  </si>
  <si>
    <t xml:space="preserve">WL-00703</t>
  </si>
  <si>
    <t xml:space="preserve">WL-00704</t>
  </si>
  <si>
    <t xml:space="preserve">WL-00705</t>
  </si>
  <si>
    <t xml:space="preserve">WL-00706</t>
  </si>
  <si>
    <t xml:space="preserve">WL-00707</t>
  </si>
  <si>
    <t xml:space="preserve">WL-00708</t>
  </si>
  <si>
    <t xml:space="preserve">WL-00709</t>
  </si>
  <si>
    <t xml:space="preserve">WL-00710</t>
  </si>
  <si>
    <t xml:space="preserve">WL-00711</t>
  </si>
  <si>
    <t xml:space="preserve">WL-00712</t>
  </si>
  <si>
    <t xml:space="preserve">WL-00713</t>
  </si>
  <si>
    <t xml:space="preserve">WL-00714</t>
  </si>
  <si>
    <t xml:space="preserve">WL-00715</t>
  </si>
  <si>
    <t xml:space="preserve">WL-00716</t>
  </si>
  <si>
    <t xml:space="preserve">WL-00717</t>
  </si>
  <si>
    <t xml:space="preserve">WL-00718</t>
  </si>
  <si>
    <t xml:space="preserve">WL-00719</t>
  </si>
  <si>
    <t xml:space="preserve">WL-00720</t>
  </si>
  <si>
    <t xml:space="preserve">WL-00721</t>
  </si>
  <si>
    <t xml:space="preserve">WL-00722</t>
  </si>
  <si>
    <t xml:space="preserve">WL-00723</t>
  </si>
  <si>
    <t xml:space="preserve">WL-00724</t>
  </si>
  <si>
    <t xml:space="preserve">WL-00725</t>
  </si>
  <si>
    <t xml:space="preserve">WL-00726</t>
  </si>
  <si>
    <t xml:space="preserve">WL-00727</t>
  </si>
  <si>
    <t xml:space="preserve">WL-00728</t>
  </si>
  <si>
    <t xml:space="preserve">WL-00729</t>
  </si>
  <si>
    <t xml:space="preserve">WL-00730</t>
  </si>
  <si>
    <t xml:space="preserve">WL-00731</t>
  </si>
  <si>
    <t xml:space="preserve">WL-00732</t>
  </si>
  <si>
    <t xml:space="preserve">WL-00733</t>
  </si>
  <si>
    <t xml:space="preserve">WL-00734</t>
  </si>
  <si>
    <t xml:space="preserve">WL-00735</t>
  </si>
  <si>
    <t xml:space="preserve">WL-00736</t>
  </si>
  <si>
    <t xml:space="preserve">WL-00737</t>
  </si>
  <si>
    <t xml:space="preserve">WL-00738</t>
  </si>
  <si>
    <t xml:space="preserve">WL-00739</t>
  </si>
  <si>
    <t xml:space="preserve">WL-00740</t>
  </si>
  <si>
    <t xml:space="preserve">WL-00741</t>
  </si>
  <si>
    <t xml:space="preserve">WL-00742</t>
  </si>
  <si>
    <t xml:space="preserve">WL-00743</t>
  </si>
  <si>
    <t xml:space="preserve">WL-00744</t>
  </si>
  <si>
    <t xml:space="preserve">WL-00745</t>
  </si>
  <si>
    <t xml:space="preserve">WL-00746</t>
  </si>
  <si>
    <t xml:space="preserve">WL-00747</t>
  </si>
  <si>
    <t xml:space="preserve">WL-00748</t>
  </si>
  <si>
    <t xml:space="preserve">WL-00749</t>
  </si>
  <si>
    <t xml:space="preserve">WL-00750</t>
  </si>
  <si>
    <t xml:space="preserve">WL-00751</t>
  </si>
  <si>
    <t xml:space="preserve">WL-00752</t>
  </si>
  <si>
    <t xml:space="preserve">WL-00753</t>
  </si>
  <si>
    <t xml:space="preserve">WL-00754</t>
  </si>
  <si>
    <t xml:space="preserve">WL-00755</t>
  </si>
  <si>
    <t xml:space="preserve">WL-00756</t>
  </si>
  <si>
    <t xml:space="preserve">WL-00757</t>
  </si>
  <si>
    <t xml:space="preserve">WL-00758</t>
  </si>
  <si>
    <t xml:space="preserve">WL-00759</t>
  </si>
  <si>
    <t xml:space="preserve">WL-00760</t>
  </si>
  <si>
    <t xml:space="preserve">WL-00761</t>
  </si>
  <si>
    <t xml:space="preserve">WL-00762</t>
  </si>
  <si>
    <t xml:space="preserve">WL-00763</t>
  </si>
  <si>
    <t xml:space="preserve">WL-00764</t>
  </si>
  <si>
    <t xml:space="preserve">WL-00765</t>
  </si>
  <si>
    <t xml:space="preserve">WL-00766</t>
  </si>
  <si>
    <t xml:space="preserve">WL-00767</t>
  </si>
  <si>
    <t xml:space="preserve">WL-00768</t>
  </si>
  <si>
    <t xml:space="preserve">WL-00769</t>
  </si>
  <si>
    <t xml:space="preserve">WL-00770</t>
  </si>
  <si>
    <t xml:space="preserve">WL-00771</t>
  </si>
  <si>
    <t xml:space="preserve">WL-00772</t>
  </si>
  <si>
    <t xml:space="preserve">WL-00773</t>
  </si>
  <si>
    <t xml:space="preserve">WL-00774</t>
  </si>
  <si>
    <t xml:space="preserve">WL-00775</t>
  </si>
  <si>
    <t xml:space="preserve">WL-00776</t>
  </si>
  <si>
    <t xml:space="preserve">WL-00777</t>
  </si>
  <si>
    <t xml:space="preserve">WL-00778</t>
  </si>
  <si>
    <t xml:space="preserve">WL-00779</t>
  </si>
  <si>
    <t xml:space="preserve">WL-00780</t>
  </si>
  <si>
    <t xml:space="preserve">WL-00781</t>
  </si>
  <si>
    <t xml:space="preserve">WL-00782</t>
  </si>
  <si>
    <t xml:space="preserve">WL-00783</t>
  </si>
  <si>
    <t xml:space="preserve">WL-00784</t>
  </si>
  <si>
    <t xml:space="preserve">WL-00785</t>
  </si>
  <si>
    <t xml:space="preserve">WL-00786</t>
  </si>
  <si>
    <t xml:space="preserve">WL-00787</t>
  </si>
  <si>
    <t xml:space="preserve">WL-00788</t>
  </si>
  <si>
    <t xml:space="preserve">WL-00789</t>
  </si>
  <si>
    <t xml:space="preserve">WL-00790</t>
  </si>
  <si>
    <t xml:space="preserve">WL-00791</t>
  </si>
  <si>
    <t xml:space="preserve">WL-00792</t>
  </si>
  <si>
    <t xml:space="preserve">WL-00793</t>
  </si>
  <si>
    <t xml:space="preserve">WL-00794</t>
  </si>
  <si>
    <t xml:space="preserve">WL-00795</t>
  </si>
  <si>
    <t xml:space="preserve">WL-00796</t>
  </si>
  <si>
    <t xml:space="preserve">WL-00797</t>
  </si>
  <si>
    <t xml:space="preserve">WL-00798</t>
  </si>
  <si>
    <t xml:space="preserve">WL-00799</t>
  </si>
  <si>
    <t xml:space="preserve">WL-00800</t>
  </si>
  <si>
    <t xml:space="preserve">WL-00801</t>
  </si>
  <si>
    <t xml:space="preserve">WL-00802</t>
  </si>
  <si>
    <t xml:space="preserve">WL-00803</t>
  </si>
  <si>
    <t xml:space="preserve">WL-00804</t>
  </si>
  <si>
    <t xml:space="preserve">WL-00805</t>
  </si>
  <si>
    <t xml:space="preserve">WL-00806</t>
  </si>
  <si>
    <t xml:space="preserve">WL-00807</t>
  </si>
  <si>
    <t xml:space="preserve">WL-00808</t>
  </si>
  <si>
    <t xml:space="preserve">WL-00809</t>
  </si>
  <si>
    <t xml:space="preserve">WL-00810</t>
  </si>
  <si>
    <t xml:space="preserve">WL-00811</t>
  </si>
  <si>
    <t xml:space="preserve">WL-00812</t>
  </si>
  <si>
    <t xml:space="preserve">WL-00813</t>
  </si>
  <si>
    <t xml:space="preserve">WL-00814</t>
  </si>
  <si>
    <t xml:space="preserve">WL-00815</t>
  </si>
  <si>
    <t xml:space="preserve">WL-00816</t>
  </si>
  <si>
    <t xml:space="preserve">WL-00817</t>
  </si>
  <si>
    <t xml:space="preserve">WL-00818</t>
  </si>
  <si>
    <t xml:space="preserve">WL-00819</t>
  </si>
  <si>
    <t xml:space="preserve">WL-00820</t>
  </si>
  <si>
    <t xml:space="preserve">WL-00821</t>
  </si>
  <si>
    <t xml:space="preserve">WL-00822</t>
  </si>
  <si>
    <t xml:space="preserve">WL-00823</t>
  </si>
  <si>
    <t xml:space="preserve">WL-00824</t>
  </si>
  <si>
    <t xml:space="preserve">WL-00825</t>
  </si>
  <si>
    <t xml:space="preserve">WL-00826</t>
  </si>
  <si>
    <t xml:space="preserve">WL-00827</t>
  </si>
  <si>
    <t xml:space="preserve">WL-00828</t>
  </si>
  <si>
    <t xml:space="preserve">WL-00829</t>
  </si>
  <si>
    <t xml:space="preserve">WL-00830</t>
  </si>
  <si>
    <t xml:space="preserve">WL-00831</t>
  </si>
  <si>
    <t xml:space="preserve">WL-00832</t>
  </si>
  <si>
    <t xml:space="preserve">WL-00833</t>
  </si>
  <si>
    <t xml:space="preserve">WL-00834</t>
  </si>
  <si>
    <t xml:space="preserve">WL-00835</t>
  </si>
  <si>
    <t xml:space="preserve">WL-00836</t>
  </si>
  <si>
    <t xml:space="preserve">WL-00837</t>
  </si>
  <si>
    <t xml:space="preserve">WL-00838</t>
  </si>
  <si>
    <t xml:space="preserve">WL-00839</t>
  </si>
  <si>
    <t xml:space="preserve">WL-00840</t>
  </si>
  <si>
    <t xml:space="preserve">WL-00841</t>
  </si>
  <si>
    <t xml:space="preserve">WL-00842</t>
  </si>
  <si>
    <t xml:space="preserve">WL-00843</t>
  </si>
  <si>
    <t xml:space="preserve">WL-00844</t>
  </si>
  <si>
    <t xml:space="preserve">WL-00845</t>
  </si>
  <si>
    <t xml:space="preserve">WL-00846</t>
  </si>
  <si>
    <t xml:space="preserve">WL-00847</t>
  </si>
  <si>
    <t xml:space="preserve">WL-00848</t>
  </si>
  <si>
    <t xml:space="preserve">WL-00849</t>
  </si>
  <si>
    <t xml:space="preserve">WL-00850</t>
  </si>
  <si>
    <t xml:space="preserve">WL-00851</t>
  </si>
  <si>
    <t xml:space="preserve">WL-00852</t>
  </si>
  <si>
    <t xml:space="preserve">WL-00853</t>
  </si>
  <si>
    <t xml:space="preserve">WL-00854</t>
  </si>
  <si>
    <t xml:space="preserve">WL-00855</t>
  </si>
  <si>
    <t xml:space="preserve">WL-00856</t>
  </si>
  <si>
    <t xml:space="preserve">WL-00857</t>
  </si>
  <si>
    <t xml:space="preserve">WL-00858</t>
  </si>
  <si>
    <t xml:space="preserve">WL-00859</t>
  </si>
  <si>
    <t xml:space="preserve">WL-00860</t>
  </si>
  <si>
    <t xml:space="preserve">WL-00861</t>
  </si>
  <si>
    <t xml:space="preserve">WL-00862</t>
  </si>
  <si>
    <t xml:space="preserve">WL-00863</t>
  </si>
  <si>
    <t xml:space="preserve">WL-00864</t>
  </si>
  <si>
    <t xml:space="preserve">WL-00865</t>
  </si>
  <si>
    <t xml:space="preserve">WL-00866</t>
  </si>
  <si>
    <t xml:space="preserve">WL-00867</t>
  </si>
  <si>
    <t xml:space="preserve">WL-00868</t>
  </si>
  <si>
    <t xml:space="preserve">WL-00869</t>
  </si>
  <si>
    <t xml:space="preserve">WL-00870</t>
  </si>
  <si>
    <t xml:space="preserve">WL-00871</t>
  </si>
  <si>
    <t xml:space="preserve">WL-00872</t>
  </si>
  <si>
    <t xml:space="preserve">WL-00873</t>
  </si>
  <si>
    <t xml:space="preserve">WL-00874</t>
  </si>
  <si>
    <t xml:space="preserve">WL-00875</t>
  </si>
  <si>
    <t xml:space="preserve">WL-00876</t>
  </si>
  <si>
    <t xml:space="preserve">WL-00877</t>
  </si>
  <si>
    <t xml:space="preserve">WL-00878</t>
  </si>
  <si>
    <t xml:space="preserve">WL-00879</t>
  </si>
  <si>
    <t xml:space="preserve">WL-00880</t>
  </si>
  <si>
    <t xml:space="preserve">WL-00881</t>
  </si>
  <si>
    <t xml:space="preserve">WL-00882</t>
  </si>
  <si>
    <t xml:space="preserve">WL-00883</t>
  </si>
  <si>
    <t xml:space="preserve">WL-00884</t>
  </si>
  <si>
    <t xml:space="preserve">WL-00885</t>
  </si>
  <si>
    <t xml:space="preserve">WL-00886</t>
  </si>
  <si>
    <t xml:space="preserve">WL-00887</t>
  </si>
  <si>
    <t xml:space="preserve">WL-00888</t>
  </si>
  <si>
    <t xml:space="preserve">WL-00889</t>
  </si>
  <si>
    <t xml:space="preserve">WL-00890</t>
  </si>
  <si>
    <t xml:space="preserve">WL-00891</t>
  </si>
  <si>
    <t xml:space="preserve">WL-00892</t>
  </si>
  <si>
    <t xml:space="preserve">WL-00893</t>
  </si>
  <si>
    <t xml:space="preserve">WL-00894</t>
  </si>
  <si>
    <t xml:space="preserve">WL-00895</t>
  </si>
  <si>
    <t xml:space="preserve">WL-00896</t>
  </si>
  <si>
    <t xml:space="preserve">WL-00897</t>
  </si>
  <si>
    <t xml:space="preserve">WL-00898</t>
  </si>
  <si>
    <t xml:space="preserve">WL-00899</t>
  </si>
  <si>
    <t xml:space="preserve">WL-00900</t>
  </si>
  <si>
    <t xml:space="preserve">WL-00901</t>
  </si>
  <si>
    <t xml:space="preserve">WL-00902</t>
  </si>
  <si>
    <t xml:space="preserve">WL-00903</t>
  </si>
  <si>
    <t xml:space="preserve">WL-00904</t>
  </si>
  <si>
    <t xml:space="preserve">WL-00905</t>
  </si>
  <si>
    <t xml:space="preserve">WL-00906</t>
  </si>
  <si>
    <t xml:space="preserve">WL-00907</t>
  </si>
  <si>
    <t xml:space="preserve">WL-00908</t>
  </si>
  <si>
    <t xml:space="preserve">WL-00909</t>
  </si>
  <si>
    <t xml:space="preserve">WL-00910</t>
  </si>
  <si>
    <t xml:space="preserve">WL-00911</t>
  </si>
  <si>
    <t xml:space="preserve">WL-00912</t>
  </si>
  <si>
    <t xml:space="preserve">WL-00913</t>
  </si>
  <si>
    <t xml:space="preserve">WL-00914</t>
  </si>
  <si>
    <t xml:space="preserve">WL-00915</t>
  </si>
  <si>
    <t xml:space="preserve">WL-00916</t>
  </si>
  <si>
    <t xml:space="preserve">WL-00917</t>
  </si>
  <si>
    <t xml:space="preserve">WL-00918</t>
  </si>
  <si>
    <t xml:space="preserve">WL-00919</t>
  </si>
  <si>
    <t xml:space="preserve">WL-00920</t>
  </si>
  <si>
    <t xml:space="preserve">WL-00921</t>
  </si>
  <si>
    <t xml:space="preserve">WL-00922</t>
  </si>
  <si>
    <t xml:space="preserve">WL-00923</t>
  </si>
  <si>
    <t xml:space="preserve">WL-00924</t>
  </si>
  <si>
    <t xml:space="preserve">WL-00925</t>
  </si>
  <si>
    <t xml:space="preserve">WL-00926</t>
  </si>
  <si>
    <t xml:space="preserve">WL-00927</t>
  </si>
  <si>
    <t xml:space="preserve">WL-00928</t>
  </si>
  <si>
    <t xml:space="preserve">WL-00929</t>
  </si>
  <si>
    <t xml:space="preserve">WL-00930</t>
  </si>
  <si>
    <t xml:space="preserve">WL-00931</t>
  </si>
  <si>
    <t xml:space="preserve">WL-00932</t>
  </si>
  <si>
    <t xml:space="preserve">WL-00933</t>
  </si>
  <si>
    <t xml:space="preserve">WL-00934</t>
  </si>
  <si>
    <t xml:space="preserve">WL-00935</t>
  </si>
  <si>
    <t xml:space="preserve">WL-00936</t>
  </si>
  <si>
    <t xml:space="preserve">WL-00937</t>
  </si>
  <si>
    <t xml:space="preserve">WL-00938</t>
  </si>
  <si>
    <t xml:space="preserve">WL-00939</t>
  </si>
  <si>
    <t xml:space="preserve">WL-00940</t>
  </si>
  <si>
    <t xml:space="preserve">WL-00941</t>
  </si>
  <si>
    <t xml:space="preserve">WL-00942</t>
  </si>
  <si>
    <t xml:space="preserve">WL-00943</t>
  </si>
  <si>
    <t xml:space="preserve">WL-00944</t>
  </si>
  <si>
    <t xml:space="preserve">WL-00945</t>
  </si>
  <si>
    <t xml:space="preserve">WL-00946</t>
  </si>
  <si>
    <t xml:space="preserve">WL-00947</t>
  </si>
  <si>
    <t xml:space="preserve">WL-00948</t>
  </si>
  <si>
    <t xml:space="preserve">WL-00949</t>
  </si>
  <si>
    <t xml:space="preserve">WL-00950</t>
  </si>
  <si>
    <t xml:space="preserve">WL-00951</t>
  </si>
  <si>
    <t xml:space="preserve">WL-00952</t>
  </si>
  <si>
    <t xml:space="preserve">WL-00953</t>
  </si>
  <si>
    <t xml:space="preserve">WL-00954</t>
  </si>
  <si>
    <t xml:space="preserve">WL-00955</t>
  </si>
  <si>
    <t xml:space="preserve">WL-00956</t>
  </si>
  <si>
    <t xml:space="preserve">WL-00957</t>
  </si>
  <si>
    <t xml:space="preserve">WL-00958</t>
  </si>
  <si>
    <t xml:space="preserve">WL-00959</t>
  </si>
  <si>
    <t xml:space="preserve">WL-00960</t>
  </si>
  <si>
    <t xml:space="preserve">WL-00961</t>
  </si>
  <si>
    <t xml:space="preserve">WL-00962</t>
  </si>
  <si>
    <t xml:space="preserve">WL-00963</t>
  </si>
  <si>
    <t xml:space="preserve">WL-00964</t>
  </si>
  <si>
    <t xml:space="preserve">WL-00965</t>
  </si>
  <si>
    <t xml:space="preserve">WL-00966</t>
  </si>
  <si>
    <t xml:space="preserve">WL-00967</t>
  </si>
  <si>
    <t xml:space="preserve">WL-00968</t>
  </si>
  <si>
    <t xml:space="preserve">WL-00969</t>
  </si>
  <si>
    <t xml:space="preserve">WL-00970</t>
  </si>
  <si>
    <t xml:space="preserve">WL-00971</t>
  </si>
  <si>
    <t xml:space="preserve">WL-00972</t>
  </si>
  <si>
    <t xml:space="preserve">WL-00973</t>
  </si>
  <si>
    <t xml:space="preserve">WL-00974</t>
  </si>
  <si>
    <t xml:space="preserve">WL-00975</t>
  </si>
  <si>
    <t xml:space="preserve">WL-00976</t>
  </si>
  <si>
    <t xml:space="preserve">WL-00977</t>
  </si>
  <si>
    <t xml:space="preserve">WL-00978</t>
  </si>
  <si>
    <t xml:space="preserve">WL-00979</t>
  </si>
  <si>
    <t xml:space="preserve">WL-00980</t>
  </si>
  <si>
    <t xml:space="preserve">WL-00981</t>
  </si>
  <si>
    <t xml:space="preserve">WL-00982</t>
  </si>
  <si>
    <t xml:space="preserve">WL-00983</t>
  </si>
  <si>
    <t xml:space="preserve">WL-00984</t>
  </si>
  <si>
    <t xml:space="preserve">WL-00985</t>
  </si>
  <si>
    <t xml:space="preserve">WL-00986</t>
  </si>
  <si>
    <t xml:space="preserve">WL-00987</t>
  </si>
  <si>
    <t xml:space="preserve">WL-00988</t>
  </si>
  <si>
    <t xml:space="preserve">WL-00989</t>
  </si>
  <si>
    <t xml:space="preserve">WL-00990</t>
  </si>
  <si>
    <t xml:space="preserve">WL-00991</t>
  </si>
  <si>
    <t xml:space="preserve">WL-00992</t>
  </si>
  <si>
    <t xml:space="preserve">WL-00993</t>
  </si>
  <si>
    <t xml:space="preserve">WL-00994</t>
  </si>
  <si>
    <t xml:space="preserve">WL-00995</t>
  </si>
  <si>
    <t xml:space="preserve">WL-00996</t>
  </si>
  <si>
    <t xml:space="preserve">WL-00997</t>
  </si>
  <si>
    <t xml:space="preserve">WL-00998</t>
  </si>
  <si>
    <t xml:space="preserve">WL-00999</t>
  </si>
  <si>
    <t xml:space="preserve">WL-01000</t>
  </si>
  <si>
    <t xml:space="preserve">WL-01001</t>
  </si>
  <si>
    <t xml:space="preserve">WL-01002</t>
  </si>
  <si>
    <t xml:space="preserve">WL-01003</t>
  </si>
  <si>
    <t xml:space="preserve">WL-01004</t>
  </si>
  <si>
    <t xml:space="preserve">WL-01005</t>
  </si>
  <si>
    <t xml:space="preserve">WL-01006</t>
  </si>
  <si>
    <t xml:space="preserve">WL-01007</t>
  </si>
  <si>
    <t xml:space="preserve">WL-01008</t>
  </si>
  <si>
    <t xml:space="preserve">WL-01009</t>
  </si>
  <si>
    <t xml:space="preserve">WL-01010</t>
  </si>
  <si>
    <t xml:space="preserve">WL-01011</t>
  </si>
  <si>
    <t xml:space="preserve">WL-01012</t>
  </si>
  <si>
    <t xml:space="preserve">WL-01013</t>
  </si>
  <si>
    <t xml:space="preserve">WL-01014</t>
  </si>
  <si>
    <t xml:space="preserve">WL-01015</t>
  </si>
  <si>
    <t xml:space="preserve">WL-01016</t>
  </si>
  <si>
    <t xml:space="preserve">WL-01017</t>
  </si>
  <si>
    <t xml:space="preserve">WL-01018</t>
  </si>
  <si>
    <t xml:space="preserve">WL-01019</t>
  </si>
  <si>
    <t xml:space="preserve">WL-01020</t>
  </si>
  <si>
    <t xml:space="preserve">WL-01021</t>
  </si>
  <si>
    <t xml:space="preserve">WL-01022</t>
  </si>
  <si>
    <t xml:space="preserve">WL-01023</t>
  </si>
  <si>
    <t xml:space="preserve">WL-01024</t>
  </si>
  <si>
    <t xml:space="preserve">WL-01025</t>
  </si>
  <si>
    <t xml:space="preserve">WL-01026</t>
  </si>
  <si>
    <t xml:space="preserve">WL-01027</t>
  </si>
  <si>
    <t xml:space="preserve">WL-01028</t>
  </si>
  <si>
    <t xml:space="preserve">WL-01029</t>
  </si>
  <si>
    <t xml:space="preserve">WL-01030</t>
  </si>
  <si>
    <t xml:space="preserve">WL-01031</t>
  </si>
  <si>
    <t xml:space="preserve">WL-01032</t>
  </si>
  <si>
    <t xml:space="preserve">WL-01033</t>
  </si>
  <si>
    <t xml:space="preserve">WL-01034</t>
  </si>
  <si>
    <t xml:space="preserve">WL-01035</t>
  </si>
  <si>
    <t xml:space="preserve">WL-01036</t>
  </si>
  <si>
    <t xml:space="preserve">WL-01037</t>
  </si>
  <si>
    <t xml:space="preserve">WL-01038</t>
  </si>
  <si>
    <t xml:space="preserve">WL-01039</t>
  </si>
  <si>
    <t xml:space="preserve">WL-01040</t>
  </si>
  <si>
    <t xml:space="preserve">WL-01041</t>
  </si>
  <si>
    <t xml:space="preserve">WL-01042</t>
  </si>
  <si>
    <t xml:space="preserve">WL-01043</t>
  </si>
  <si>
    <t xml:space="preserve">WL-01044</t>
  </si>
  <si>
    <t xml:space="preserve">WL-01045</t>
  </si>
  <si>
    <t xml:space="preserve">WL-01046</t>
  </si>
  <si>
    <t xml:space="preserve">WL-01047</t>
  </si>
  <si>
    <t xml:space="preserve">WL-01048</t>
  </si>
  <si>
    <t xml:space="preserve">WL-01049</t>
  </si>
  <si>
    <t xml:space="preserve">WL-01050</t>
  </si>
  <si>
    <t xml:space="preserve">WL-01051</t>
  </si>
  <si>
    <t xml:space="preserve">WL-01052</t>
  </si>
  <si>
    <t xml:space="preserve">WL-01053</t>
  </si>
  <si>
    <t xml:space="preserve">WL-01054</t>
  </si>
  <si>
    <t xml:space="preserve">WL-01055</t>
  </si>
  <si>
    <t xml:space="preserve">WL-01056</t>
  </si>
  <si>
    <t xml:space="preserve">WL-01057</t>
  </si>
  <si>
    <t xml:space="preserve">WL-01058</t>
  </si>
  <si>
    <t xml:space="preserve">WL-01059</t>
  </si>
  <si>
    <t xml:space="preserve">WL-01060</t>
  </si>
  <si>
    <t xml:space="preserve">WL-01061</t>
  </si>
  <si>
    <t xml:space="preserve">WL-01062</t>
  </si>
  <si>
    <t xml:space="preserve">WL-01063</t>
  </si>
  <si>
    <t xml:space="preserve">WL-01064</t>
  </si>
  <si>
    <t xml:space="preserve">WL-01065</t>
  </si>
  <si>
    <t xml:space="preserve">WL-01066</t>
  </si>
  <si>
    <t xml:space="preserve">WL-01067</t>
  </si>
  <si>
    <t xml:space="preserve">WL-01068</t>
  </si>
  <si>
    <t xml:space="preserve">WL-01069</t>
  </si>
  <si>
    <t xml:space="preserve">WL-01070</t>
  </si>
  <si>
    <t xml:space="preserve">WL-01071</t>
  </si>
  <si>
    <t xml:space="preserve">WL-01072</t>
  </si>
  <si>
    <t xml:space="preserve">WL-01073</t>
  </si>
  <si>
    <t xml:space="preserve">WL-01074</t>
  </si>
  <si>
    <t xml:space="preserve">WL-01075</t>
  </si>
  <si>
    <t xml:space="preserve">WL-01076</t>
  </si>
  <si>
    <t xml:space="preserve">WL-01077</t>
  </si>
  <si>
    <t xml:space="preserve">WL-01078</t>
  </si>
  <si>
    <t xml:space="preserve">WL-01079</t>
  </si>
  <si>
    <t xml:space="preserve">WL-01080</t>
  </si>
  <si>
    <t xml:space="preserve">WL-01081</t>
  </si>
  <si>
    <t xml:space="preserve">WL-01082</t>
  </si>
  <si>
    <t xml:space="preserve">WL-01083</t>
  </si>
  <si>
    <t xml:space="preserve">WL-01084</t>
  </si>
  <si>
    <t xml:space="preserve">WL-01085</t>
  </si>
  <si>
    <t xml:space="preserve">WL-01086</t>
  </si>
  <si>
    <t xml:space="preserve">WL-01087</t>
  </si>
  <si>
    <t xml:space="preserve">WL-01088</t>
  </si>
  <si>
    <t xml:space="preserve">WL-01089</t>
  </si>
  <si>
    <t xml:space="preserve">WL-01090</t>
  </si>
  <si>
    <t xml:space="preserve">WL-01091</t>
  </si>
  <si>
    <t xml:space="preserve">WL-01092</t>
  </si>
  <si>
    <t xml:space="preserve">WL-01093</t>
  </si>
  <si>
    <t xml:space="preserve">WL-01094</t>
  </si>
  <si>
    <t xml:space="preserve">WL-01095</t>
  </si>
  <si>
    <t xml:space="preserve">WL-01096</t>
  </si>
  <si>
    <t xml:space="preserve">WL-01097</t>
  </si>
  <si>
    <t xml:space="preserve">WL-01098</t>
  </si>
  <si>
    <t xml:space="preserve">WL-01099</t>
  </si>
  <si>
    <t xml:space="preserve">WL-01100</t>
  </si>
  <si>
    <t xml:space="preserve">WL-01101</t>
  </si>
  <si>
    <t xml:space="preserve">WL-01102</t>
  </si>
  <si>
    <t xml:space="preserve">WL-01103</t>
  </si>
  <si>
    <t xml:space="preserve">WL-01104</t>
  </si>
  <si>
    <t xml:space="preserve">WL-01105</t>
  </si>
  <si>
    <t xml:space="preserve">WL-01106</t>
  </si>
  <si>
    <t xml:space="preserve">WL-01107</t>
  </si>
  <si>
    <t xml:space="preserve">WL-01108</t>
  </si>
  <si>
    <t xml:space="preserve">WL-01109</t>
  </si>
  <si>
    <t xml:space="preserve">WL-01110</t>
  </si>
  <si>
    <t xml:space="preserve">WL-01111</t>
  </si>
  <si>
    <t xml:space="preserve">WL-01112</t>
  </si>
  <si>
    <t xml:space="preserve">WL-01113</t>
  </si>
  <si>
    <t xml:space="preserve">WL-01114</t>
  </si>
  <si>
    <t xml:space="preserve">WL-01115</t>
  </si>
  <si>
    <t xml:space="preserve">WL-01116</t>
  </si>
  <si>
    <t xml:space="preserve">WL-01117</t>
  </si>
  <si>
    <t xml:space="preserve">WL-01118</t>
  </si>
  <si>
    <t xml:space="preserve">WL-01119</t>
  </si>
  <si>
    <t xml:space="preserve">WL-01120</t>
  </si>
  <si>
    <t xml:space="preserve">WL-01121</t>
  </si>
  <si>
    <t xml:space="preserve">WL-01122</t>
  </si>
  <si>
    <t xml:space="preserve">WL-01123</t>
  </si>
  <si>
    <t xml:space="preserve">WL-01124</t>
  </si>
  <si>
    <t xml:space="preserve">WL-01125</t>
  </si>
  <si>
    <t xml:space="preserve">WL-01126</t>
  </si>
  <si>
    <t xml:space="preserve">WL-01127</t>
  </si>
  <si>
    <t xml:space="preserve">WL-01128</t>
  </si>
  <si>
    <t xml:space="preserve">WL-01129</t>
  </si>
  <si>
    <t xml:space="preserve">WL-01130</t>
  </si>
  <si>
    <t xml:space="preserve">WL-01131</t>
  </si>
  <si>
    <t xml:space="preserve">WL-01132</t>
  </si>
  <si>
    <t xml:space="preserve">WL-01133</t>
  </si>
  <si>
    <t xml:space="preserve">WL-01134</t>
  </si>
  <si>
    <t xml:space="preserve">WL-01135</t>
  </si>
  <si>
    <t xml:space="preserve">WL-01136</t>
  </si>
  <si>
    <t xml:space="preserve">WL-01137</t>
  </si>
  <si>
    <t xml:space="preserve">WL-01138</t>
  </si>
  <si>
    <t xml:space="preserve">WL-01139</t>
  </si>
  <si>
    <t xml:space="preserve">WL-01140</t>
  </si>
  <si>
    <t xml:space="preserve">WL-01141</t>
  </si>
  <si>
    <t xml:space="preserve">WL-01142</t>
  </si>
  <si>
    <t xml:space="preserve">WL-01143</t>
  </si>
  <si>
    <t xml:space="preserve">WL-01144</t>
  </si>
  <si>
    <t xml:space="preserve">WL-01145</t>
  </si>
  <si>
    <t xml:space="preserve">WL-01146</t>
  </si>
  <si>
    <t xml:space="preserve">WL-01147</t>
  </si>
  <si>
    <t xml:space="preserve">WL-01148</t>
  </si>
  <si>
    <t xml:space="preserve">WL-01149</t>
  </si>
  <si>
    <t xml:space="preserve">WL-01150</t>
  </si>
  <si>
    <t xml:space="preserve">WL-01151</t>
  </si>
  <si>
    <t xml:space="preserve">WL-01152</t>
  </si>
  <si>
    <t xml:space="preserve">WL-01153</t>
  </si>
  <si>
    <t xml:space="preserve">WL-01154</t>
  </si>
  <si>
    <t xml:space="preserve">WL-01155</t>
  </si>
  <si>
    <t xml:space="preserve">WL-01156</t>
  </si>
  <si>
    <t xml:space="preserve">WL-01157</t>
  </si>
  <si>
    <t xml:space="preserve">WL-01158</t>
  </si>
  <si>
    <t xml:space="preserve">WL-01159</t>
  </si>
  <si>
    <t xml:space="preserve">WL-01160</t>
  </si>
  <si>
    <t xml:space="preserve">WL-01161</t>
  </si>
  <si>
    <t xml:space="preserve">WL-01162</t>
  </si>
  <si>
    <t xml:space="preserve">WL-01163</t>
  </si>
  <si>
    <t xml:space="preserve">WL-01164</t>
  </si>
  <si>
    <t xml:space="preserve">WL-01165</t>
  </si>
  <si>
    <t xml:space="preserve">WL-01166</t>
  </si>
  <si>
    <t xml:space="preserve">WL-01167</t>
  </si>
  <si>
    <t xml:space="preserve">WL-01168</t>
  </si>
  <si>
    <t xml:space="preserve">WL-01169</t>
  </si>
  <si>
    <t xml:space="preserve">WL-01170</t>
  </si>
  <si>
    <t xml:space="preserve">WL-01171</t>
  </si>
  <si>
    <t xml:space="preserve">WL-01172</t>
  </si>
  <si>
    <t xml:space="preserve">WL-01173</t>
  </si>
  <si>
    <t xml:space="preserve">WL-01174</t>
  </si>
  <si>
    <t xml:space="preserve">WL-01175</t>
  </si>
  <si>
    <t xml:space="preserve">WL-01176</t>
  </si>
  <si>
    <t xml:space="preserve">WL-01177</t>
  </si>
  <si>
    <t xml:space="preserve">WL-01178</t>
  </si>
  <si>
    <t xml:space="preserve">WL-01179</t>
  </si>
  <si>
    <t xml:space="preserve">WL-01180</t>
  </si>
  <si>
    <t xml:space="preserve">WL-01181</t>
  </si>
  <si>
    <t xml:space="preserve">WL-01182</t>
  </si>
  <si>
    <t xml:space="preserve">WL-01183</t>
  </si>
  <si>
    <t xml:space="preserve">WL-01184</t>
  </si>
  <si>
    <t xml:space="preserve">WL-01185</t>
  </si>
  <si>
    <t xml:space="preserve">WL-01186</t>
  </si>
  <si>
    <t xml:space="preserve">WL-01187</t>
  </si>
  <si>
    <t xml:space="preserve">WL-01188</t>
  </si>
  <si>
    <t xml:space="preserve">WL-01189</t>
  </si>
  <si>
    <t xml:space="preserve">WL-01190</t>
  </si>
  <si>
    <t xml:space="preserve">WL-01191</t>
  </si>
  <si>
    <t xml:space="preserve">WL-01192</t>
  </si>
  <si>
    <t xml:space="preserve">WL-01193</t>
  </si>
  <si>
    <t xml:space="preserve">WL-01194</t>
  </si>
  <si>
    <t xml:space="preserve">WL-01195</t>
  </si>
  <si>
    <t xml:space="preserve">WL-01196</t>
  </si>
  <si>
    <t xml:space="preserve">WL-01197</t>
  </si>
  <si>
    <t xml:space="preserve">WL-01198</t>
  </si>
  <si>
    <t xml:space="preserve">WL-01199</t>
  </si>
  <si>
    <t xml:space="preserve">WL-01200</t>
  </si>
  <si>
    <t xml:space="preserve">Base: 12-Month Liquidity Projection</t>
  </si>
  <si>
    <t xml:space="preserve">No manual data entry needed. Month 0 is today.</t>
  </si>
  <si>
    <t xml:space="preserve">Scenario Inputs</t>
  </si>
  <si>
    <t xml:space="preserve">Monthly default rate: 1 - (1 - annual)^(1/12)</t>
  </si>
  <si>
    <t xml:space="preserve">Share more than 60 days late</t>
  </si>
  <si>
    <t xml:space="preserve">Advance rate after any cut</t>
  </si>
  <si>
    <t xml:space="preserve">Month</t>
  </si>
  <si>
    <t xml:space="preserve">Beginning pool</t>
  </si>
  <si>
    <t xml:space="preserve">Defaults</t>
  </si>
  <si>
    <t xml:space="preserve">Recoveries</t>
  </si>
  <si>
    <t xml:space="preserve">Principal collected</t>
  </si>
  <si>
    <t xml:space="preserve">Interest collected</t>
  </si>
  <si>
    <t xml:space="preserve">New loans</t>
  </si>
  <si>
    <t xml:space="preserve">Pool before sale</t>
  </si>
  <si>
    <t xml:space="preserve">Late (ineligible)</t>
  </si>
  <si>
    <t xml:space="preserve">Other ineligible</t>
  </si>
  <si>
    <t xml:space="preserve">Eligible before sale</t>
  </si>
  <si>
    <t xml:space="preserve">Securitized</t>
  </si>
  <si>
    <t xml:space="preserve">Ending pool</t>
  </si>
  <si>
    <t xml:space="preserve">Eligible after sale</t>
  </si>
  <si>
    <t xml:space="preserve">Advance rate</t>
  </si>
  <si>
    <t xml:space="preserve">Warehouse beginning</t>
  </si>
  <si>
    <t xml:space="preserve">Warehouse ending</t>
  </si>
  <si>
    <t xml:space="preserve">Facility at limit</t>
  </si>
  <si>
    <t xml:space="preserve">Warehouse interest</t>
  </si>
  <si>
    <t xml:space="preserve">Unused fee</t>
  </si>
  <si>
    <t xml:space="preserve">Operating expenses</t>
  </si>
  <si>
    <t xml:space="preserve">Securitization cash</t>
  </si>
  <si>
    <t xml:space="preserve">Cash from past deals</t>
  </si>
  <si>
    <t xml:space="preserve">Beginning cash</t>
  </si>
  <si>
    <t xml:space="preserve">Ending cash</t>
  </si>
  <si>
    <t xml:space="preserve">Covenant breach</t>
  </si>
  <si>
    <t xml:space="preserve">Retained interest</t>
  </si>
  <si>
    <t xml:space="preserve">Credit Stress: 12-Month Liquidity Projection</t>
  </si>
  <si>
    <t xml:space="preserve">Market Freeze: 12-Month Liquidity Projection</t>
  </si>
  <si>
    <t xml:space="preserve">Combined Stress: 12-Month Liquidity Projection</t>
  </si>
  <si>
    <t xml:space="preserve">Real data used to calibrate the model. Everything else on the Inputs sheet is labeled as my assumption.</t>
  </si>
  <si>
    <t xml:space="preserve">Market and Pricing</t>
  </si>
  <si>
    <t xml:space="preserve">Source</t>
  </si>
  <si>
    <t xml:space="preserve">SOFR, October 7, 2026</t>
  </si>
  <si>
    <t xml:space="preserve">Source 1</t>
  </si>
  <si>
    <t xml:space="preserve">Credit Acceptance $200M warehouse margin (Sep 2025)</t>
  </si>
  <si>
    <t xml:space="preserve">Source 2</t>
  </si>
  <si>
    <t xml:space="preserve">Credit Acceptance $300M warehouse margin (Jul 2025)</t>
  </si>
  <si>
    <t xml:space="preserve">Source 3</t>
  </si>
  <si>
    <t xml:space="preserve">All-in warehouse rate used in the model</t>
  </si>
  <si>
    <t xml:space="preserve">SOFR + the higher of the two margins</t>
  </si>
  <si>
    <t xml:space="preserve">Credit Performance</t>
  </si>
  <si>
    <t xml:space="preserve">Subprime auto ABS average recovery rate, 2025</t>
  </si>
  <si>
    <t xml:space="preserve">Source 4</t>
  </si>
  <si>
    <t xml:space="preserve">Subprime auto ABS average annualized net loss, 2025</t>
  </si>
  <si>
    <t xml:space="preserve">How Real Auto Lenders Use Warehouse Lines</t>
  </si>
  <si>
    <t xml:space="preserve">Fact</t>
  </si>
  <si>
    <t xml:space="preserve">Detail</t>
  </si>
  <si>
    <t xml:space="preserve">CPS warehouse lines, Dec 31, 2025</t>
  </si>
  <si>
    <t xml:space="preserve">Three facilities, $702.5M total capacity, $324.9M drawn</t>
  </si>
  <si>
    <t xml:space="preserve">Source 5</t>
  </si>
  <si>
    <t xml:space="preserve">CPS securitization pace</t>
  </si>
  <si>
    <t xml:space="preserve">About four term securitizations a year, near the start of each quarter</t>
  </si>
  <si>
    <t xml:space="preserve">How CPS repays its warehouse lines</t>
  </si>
  <si>
    <t xml:space="preserve">From the proceeds of each securitization</t>
  </si>
  <si>
    <t xml:space="preserve">CPS covenants</t>
  </si>
  <si>
    <t xml:space="preserve">Minimum liquidity, minimum net worth and maximum leverage</t>
  </si>
  <si>
    <t xml:space="preserve">UACC/Vroom warehouse borrowing base</t>
  </si>
  <si>
    <t xml:space="preserve">Lesser of advance rate x (net pool - excess concentrations) and the commitment</t>
  </si>
  <si>
    <t xml:space="preserve">Source 6</t>
  </si>
  <si>
    <t xml:space="preserve">UACC/Vroom delinquency definition</t>
  </si>
  <si>
    <t xml:space="preserve">More than 10% of a payment unpaid more than 61 days after it was due</t>
  </si>
  <si>
    <t xml:space="preserve">UACC/Vroom concentration limits</t>
  </si>
  <si>
    <t xml:space="preserve">Credit score, LTV, state, no-FICO borrowers, payment-to-income, terms over 72 months (levels redacted)</t>
  </si>
  <si>
    <t xml:space="preserve">Sources</t>
  </si>
  <si>
    <t xml:space="preserve">#</t>
  </si>
  <si>
    <t xml:space="preserve">SOFR daily rates, October 2026: https://www.sofrrate.com/sofr-rate/2026-10 (matches global-rates.com October 2026 data)</t>
  </si>
  <si>
    <t xml:space="preserve">Credit Acceptance press release, Sep 19, 2025: https://www.ir.creditacceptance.com/node/21986</t>
  </si>
  <si>
    <t xml:space="preserve">Credit Acceptance press release, Jul 30, 2025: https://www.ir.creditacceptance.com/node/21856</t>
  </si>
  <si>
    <t xml:space="preserve">S&amp;P Global Ratings via Auto Remarketing, Feb 16, 2026: https://www.autoremarketing.com/?p=82346</t>
  </si>
  <si>
    <t xml:space="preserve">Consumer Portfolio Services 10-K for 2025, SEC EDGAR: https://www.sec.gov/Archives/edgar/data/889609/000168316826001856/cps_i10k-123125.htm</t>
  </si>
  <si>
    <t xml:space="preserve">Vroom (UACC) warehouse agreement, Exhibit 10.1, SEC EDGAR: https://www.sec.gov/Archives/edgar/data/1580864/000095017025105110/vrm-ex10_1.htm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</si>
</sst>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[RED]\(#,##0\);\-"/>
    <numFmt numFmtId="166" formatCode="0.0%;[RED]\(0.0%\);\-"/>
    <numFmt numFmtId="167" formatCode="0"/>
    <numFmt numFmtId="168" formatCode="0.00%;[RED]\(0.00%\);\-"/>
    <numFmt numFmtId="169" formatCode="0.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i val="true"/>
      <sz val="10"/>
      <color rgb="FF6B6B6B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2F2F2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24"/>
    <col collapsed="false" customWidth="true" hidden="false" outlineLevel="0" max="3" min="3" style="0" width="90"/>
  </cols>
  <sheetData>
    <row r="2" customFormat="false" ht="15" hidden="false" customHeight="false" outlineLevel="0" collapsed="false">
      <c r="B2" s="1" t="s">
        <v>0</v>
      </c>
      <c r="C2" s="1"/>
    </row>
    <row r="3" customFormat="false" ht="15" hidden="false" customHeight="false" outlineLevel="0" collapsed="false">
      <c r="B3" s="2" t="s">
        <v>1</v>
      </c>
      <c r="C3" s="2"/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28.35" hidden="false" customHeight="false" outlineLevel="0" collapsed="false">
      <c r="B6" s="4" t="s">
        <v>4</v>
      </c>
      <c r="C6" s="5" t="s">
        <v>5</v>
      </c>
    </row>
    <row r="7" customFormat="false" ht="28.35" hidden="false" customHeight="false" outlineLevel="0" collapsed="false">
      <c r="B7" s="4" t="s">
        <v>6</v>
      </c>
      <c r="C7" s="5" t="s">
        <v>7</v>
      </c>
    </row>
    <row r="8" customFormat="false" ht="15" hidden="false" customHeight="false" outlineLevel="0" collapsed="false">
      <c r="B8" s="4" t="s">
        <v>8</v>
      </c>
      <c r="C8" s="5" t="s">
        <v>9</v>
      </c>
    </row>
    <row r="9" customFormat="false" ht="15" hidden="false" customHeight="false" outlineLevel="0" collapsed="false">
      <c r="B9" s="4" t="s">
        <v>10</v>
      </c>
      <c r="C9" s="5" t="s">
        <v>11</v>
      </c>
    </row>
    <row r="10" customFormat="false" ht="41.75" hidden="false" customHeight="false" outlineLevel="0" collapsed="false">
      <c r="B10" s="4" t="s">
        <v>12</v>
      </c>
      <c r="C10" s="5" t="s">
        <v>13</v>
      </c>
    </row>
    <row r="11" customFormat="false" ht="15" hidden="false" customHeight="false" outlineLevel="0" collapsed="false">
      <c r="B11" s="6" t="s">
        <v>14</v>
      </c>
      <c r="C11" s="7" t="s">
        <v>15</v>
      </c>
    </row>
    <row r="14" customFormat="false" ht="15" hidden="false" customHeight="false" outlineLevel="0" collapsed="false">
      <c r="B14" s="3" t="s">
        <v>16</v>
      </c>
      <c r="C14" s="3"/>
    </row>
    <row r="15" customFormat="false" ht="28.35" hidden="false" customHeight="false" outlineLevel="0" collapsed="false">
      <c r="B15" s="4" t="s">
        <v>17</v>
      </c>
      <c r="C15" s="5" t="s">
        <v>18</v>
      </c>
    </row>
    <row r="16" customFormat="false" ht="28.35" hidden="false" customHeight="false" outlineLevel="0" collapsed="false">
      <c r="B16" s="4" t="s">
        <v>19</v>
      </c>
      <c r="C16" s="5" t="s">
        <v>20</v>
      </c>
    </row>
    <row r="17" customFormat="false" ht="15" hidden="false" customHeight="false" outlineLevel="0" collapsed="false">
      <c r="B17" s="4" t="s">
        <v>21</v>
      </c>
      <c r="C17" s="5" t="s">
        <v>22</v>
      </c>
    </row>
    <row r="18" customFormat="false" ht="15" hidden="false" customHeight="false" outlineLevel="0" collapsed="false">
      <c r="B18" s="6" t="s">
        <v>23</v>
      </c>
      <c r="C18" s="7" t="s">
        <v>24</v>
      </c>
    </row>
    <row r="21" customFormat="false" ht="15" hidden="false" customHeight="false" outlineLevel="0" collapsed="false">
      <c r="B21" s="3" t="s">
        <v>25</v>
      </c>
      <c r="C21" s="3"/>
    </row>
    <row r="22" customFormat="false" ht="28.35" hidden="false" customHeight="false" outlineLevel="0" collapsed="false">
      <c r="B22" s="4" t="s">
        <v>26</v>
      </c>
      <c r="C22" s="5" t="s">
        <v>27</v>
      </c>
    </row>
    <row r="23" customFormat="false" ht="15" hidden="false" customHeight="false" outlineLevel="0" collapsed="false">
      <c r="B23" s="4" t="s">
        <v>28</v>
      </c>
      <c r="C23" s="5" t="s">
        <v>29</v>
      </c>
    </row>
    <row r="24" customFormat="false" ht="28.35" hidden="false" customHeight="false" outlineLevel="0" collapsed="false">
      <c r="B24" s="6" t="s">
        <v>30</v>
      </c>
      <c r="C24" s="7" t="s">
        <v>31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0"/>
    <col collapsed="false" customWidth="true" hidden="false" outlineLevel="0" max="6" min="3" style="0" width="17"/>
  </cols>
  <sheetData>
    <row r="2" customFormat="false" ht="15" hidden="false" customHeight="false" outlineLevel="0" collapsed="false">
      <c r="B2" s="8" t="s">
        <v>32</v>
      </c>
      <c r="C2" s="9"/>
      <c r="D2" s="9"/>
      <c r="E2" s="9"/>
      <c r="F2" s="9"/>
    </row>
    <row r="3" customFormat="false" ht="15" hidden="false" customHeight="false" outlineLevel="0" collapsed="false">
      <c r="B3" s="10" t="s">
        <v>33</v>
      </c>
    </row>
    <row r="5" customFormat="false" ht="15" hidden="false" customHeight="false" outlineLevel="0" collapsed="false">
      <c r="B5" s="11" t="s">
        <v>34</v>
      </c>
      <c r="C5" s="12"/>
    </row>
    <row r="6" customFormat="false" ht="15" hidden="false" customHeight="false" outlineLevel="0" collapsed="false">
      <c r="B6" s="3" t="s">
        <v>35</v>
      </c>
      <c r="C6" s="3" t="s">
        <v>36</v>
      </c>
    </row>
    <row r="7" customFormat="false" ht="15" hidden="false" customHeight="false" outlineLevel="0" collapsed="false">
      <c r="B7" s="13" t="s">
        <v>37</v>
      </c>
      <c r="C7" s="14" t="n">
        <f aca="false">'Borrowing Base'!C8</f>
        <v>28800313.51</v>
      </c>
    </row>
    <row r="8" customFormat="false" ht="15" hidden="false" customHeight="false" outlineLevel="0" collapsed="false">
      <c r="B8" s="13" t="s">
        <v>38</v>
      </c>
      <c r="C8" s="14" t="n">
        <f aca="false">'Borrowing Base'!C22</f>
        <v>25486061.14</v>
      </c>
    </row>
    <row r="9" customFormat="false" ht="15" hidden="false" customHeight="false" outlineLevel="0" collapsed="false">
      <c r="B9" s="13" t="s">
        <v>39</v>
      </c>
      <c r="C9" s="14" t="n">
        <f aca="false">'Borrowing Base'!$F$40</f>
        <v>691202.222</v>
      </c>
    </row>
    <row r="10" customFormat="false" ht="15" hidden="false" customHeight="false" outlineLevel="0" collapsed="false">
      <c r="B10" s="15" t="s">
        <v>19</v>
      </c>
      <c r="C10" s="14" t="n">
        <f aca="false">'Borrowing Base'!$C$51</f>
        <v>20340460.7318459</v>
      </c>
    </row>
    <row r="11" customFormat="false" ht="15" hidden="false" customHeight="false" outlineLevel="0" collapsed="false">
      <c r="B11" s="13" t="s">
        <v>40</v>
      </c>
      <c r="C11" s="14" t="n">
        <f aca="false">'Borrowing Base'!$C$52</f>
        <v>19500000</v>
      </c>
    </row>
    <row r="12" customFormat="false" ht="15" hidden="false" customHeight="false" outlineLevel="0" collapsed="false">
      <c r="B12" s="15" t="s">
        <v>41</v>
      </c>
      <c r="C12" s="14" t="n">
        <f aca="false">'Borrowing Base'!$C$53</f>
        <v>840460.731845871</v>
      </c>
    </row>
    <row r="13" customFormat="false" ht="15" hidden="false" customHeight="false" outlineLevel="0" collapsed="false">
      <c r="B13" s="16" t="s">
        <v>42</v>
      </c>
      <c r="C13" s="17" t="n">
        <f aca="false">'Borrowing Base'!$C$54</f>
        <v>0.706258309472336</v>
      </c>
    </row>
    <row r="15" customFormat="false" ht="15" hidden="false" customHeight="false" outlineLevel="0" collapsed="false">
      <c r="B15" s="11" t="s">
        <v>43</v>
      </c>
      <c r="C15" s="12"/>
    </row>
    <row r="16" customFormat="false" ht="15" hidden="false" customHeight="false" outlineLevel="0" collapsed="false">
      <c r="B16" s="10" t="s">
        <v>44</v>
      </c>
    </row>
    <row r="17" customFormat="false" ht="15" hidden="false" customHeight="false" outlineLevel="0" collapsed="false">
      <c r="B17" s="15" t="s">
        <v>45</v>
      </c>
      <c r="C17" s="18" t="s">
        <v>46</v>
      </c>
    </row>
    <row r="18" customFormat="false" ht="15" hidden="false" customHeight="false" outlineLevel="0" collapsed="false">
      <c r="B18" s="15" t="s">
        <v>47</v>
      </c>
      <c r="C18" s="14" t="n">
        <f aca="false">INDEX($C$30:$F$30,MATCH($C$17,$C$29:$F$29,0))</f>
        <v>-37035220.1605245</v>
      </c>
    </row>
    <row r="19" customFormat="false" ht="15" hidden="false" customHeight="false" outlineLevel="0" collapsed="false">
      <c r="B19" s="15" t="s">
        <v>48</v>
      </c>
      <c r="C19" s="19" t="n">
        <f aca="false">INDEX($C$31:$F$31,MATCH($C$17,$C$29:$F$29,0))</f>
        <v>11</v>
      </c>
    </row>
    <row r="20" customFormat="false" ht="15" hidden="false" customHeight="false" outlineLevel="0" collapsed="false">
      <c r="B20" s="15" t="s">
        <v>49</v>
      </c>
      <c r="C20" s="19" t="n">
        <f aca="false">INDEX($C$33:$F$33,MATCH($C$17,$C$29:$F$29,0))</f>
        <v>8</v>
      </c>
    </row>
    <row r="21" customFormat="false" ht="15" hidden="false" customHeight="false" outlineLevel="0" collapsed="false">
      <c r="B21" s="15" t="s">
        <v>50</v>
      </c>
      <c r="C21" s="19" t="n">
        <f aca="false">INDEX($C$34:$F$34,MATCH($C$17,$C$29:$F$29,0))</f>
        <v>4</v>
      </c>
    </row>
    <row r="22" customFormat="false" ht="15" hidden="false" customHeight="false" outlineLevel="0" collapsed="false">
      <c r="B22" s="15" t="s">
        <v>51</v>
      </c>
      <c r="C22" s="14" t="n">
        <f aca="false">INDEX($C$32:$F$32,MATCH($C$17,$C$29:$F$29,0))</f>
        <v>19827805.7219343</v>
      </c>
    </row>
    <row r="23" customFormat="false" ht="15" hidden="false" customHeight="false" outlineLevel="0" collapsed="false">
      <c r="B23" s="20" t="s">
        <v>52</v>
      </c>
      <c r="C23" s="21" t="n">
        <f aca="false">INDEX($C$35:$F$35,MATCH($C$17,$C$29:$F$29,0))</f>
        <v>8</v>
      </c>
    </row>
    <row r="28" customFormat="false" ht="15" hidden="false" customHeight="false" outlineLevel="0" collapsed="false">
      <c r="B28" s="11" t="s">
        <v>53</v>
      </c>
      <c r="C28" s="12"/>
      <c r="D28" s="12"/>
      <c r="E28" s="12"/>
      <c r="F28" s="12"/>
    </row>
    <row r="29" customFormat="false" ht="15" hidden="false" customHeight="false" outlineLevel="0" collapsed="false">
      <c r="B29" s="3" t="s">
        <v>35</v>
      </c>
      <c r="C29" s="3" t="s">
        <v>54</v>
      </c>
      <c r="D29" s="3" t="s">
        <v>55</v>
      </c>
      <c r="E29" s="3" t="s">
        <v>46</v>
      </c>
      <c r="F29" s="3" t="s">
        <v>56</v>
      </c>
    </row>
    <row r="30" customFormat="false" ht="15" hidden="false" customHeight="false" outlineLevel="0" collapsed="false">
      <c r="B30" s="13" t="s">
        <v>47</v>
      </c>
      <c r="C30" s="14" t="n">
        <f aca="false">MIN(Base!AA$14:AA$25)</f>
        <v>10065792.334024</v>
      </c>
      <c r="D30" s="14" t="n">
        <f aca="false">MIN('Credit Stress'!AA$14:AA$25)</f>
        <v>2696837.17344462</v>
      </c>
      <c r="E30" s="14" t="n">
        <f aca="false">MIN('Market Freeze'!AA$14:AA$25)</f>
        <v>-37035220.1605245</v>
      </c>
      <c r="F30" s="14" t="n">
        <f aca="false">MIN('Combined Stress'!AA$14:AA$25)</f>
        <v>-44301825.2895077</v>
      </c>
    </row>
    <row r="31" customFormat="false" ht="15" hidden="false" customHeight="false" outlineLevel="0" collapsed="false">
      <c r="B31" s="13" t="s">
        <v>48</v>
      </c>
      <c r="C31" s="19" t="n">
        <f aca="false">INDEX(Base!B$14:B$25,MATCH(MIN(Base!AA$14:AA$25),Base!AA$14:AA$25,0))</f>
        <v>2</v>
      </c>
      <c r="D31" s="19" t="n">
        <f aca="false">INDEX('Credit Stress'!B$14:B$25,MATCH(MIN('Credit Stress'!AA$14:AA$25),'Credit Stress'!AA$14:AA$25,0))</f>
        <v>2</v>
      </c>
      <c r="E31" s="19" t="n">
        <f aca="false">INDEX('Market Freeze'!B$14:B$25,MATCH(MIN('Market Freeze'!AA$14:AA$25),'Market Freeze'!AA$14:AA$25,0))</f>
        <v>11</v>
      </c>
      <c r="F31" s="19" t="n">
        <f aca="false">INDEX('Combined Stress'!B$14:B$25,MATCH(MIN('Combined Stress'!AA$14:AA$25),'Combined Stress'!AA$14:AA$25,0))</f>
        <v>11</v>
      </c>
    </row>
    <row r="32" customFormat="false" ht="15" hidden="false" customHeight="false" outlineLevel="0" collapsed="false">
      <c r="B32" s="13" t="s">
        <v>51</v>
      </c>
      <c r="C32" s="14" t="n">
        <f aca="false">Base!AA25</f>
        <v>21813351.5970653</v>
      </c>
      <c r="D32" s="14" t="n">
        <f aca="false">'Credit Stress'!AA25</f>
        <v>9419153.71168087</v>
      </c>
      <c r="E32" s="14" t="n">
        <f aca="false">'Market Freeze'!AA25</f>
        <v>19827805.7219343</v>
      </c>
      <c r="F32" s="14" t="n">
        <f aca="false">'Combined Stress'!AA25</f>
        <v>641268.093633547</v>
      </c>
    </row>
    <row r="33" customFormat="false" ht="15" hidden="false" customHeight="false" outlineLevel="0" collapsed="false">
      <c r="B33" s="13" t="s">
        <v>49</v>
      </c>
      <c r="C33" s="19" t="n">
        <f aca="false">SUM(Base!AB$14:AB$25)</f>
        <v>0</v>
      </c>
      <c r="D33" s="19" t="n">
        <f aca="false">SUM('Credit Stress'!AB$14:AB$25)</f>
        <v>1</v>
      </c>
      <c r="E33" s="19" t="n">
        <f aca="false">SUM('Market Freeze'!AB$14:AB$25)</f>
        <v>8</v>
      </c>
      <c r="F33" s="19" t="n">
        <f aca="false">SUM('Combined Stress'!AB$14:AB$25)</f>
        <v>11</v>
      </c>
    </row>
    <row r="34" customFormat="false" ht="15" hidden="false" customHeight="false" outlineLevel="0" collapsed="false">
      <c r="B34" s="13" t="s">
        <v>50</v>
      </c>
      <c r="C34" s="19" t="n">
        <f aca="false">IF(SUM(Base!AB$14:AB$25)=0,0,INDEX(Base!B$14:B$25,MATCH(1,Base!AB$14:AB$25,0)))</f>
        <v>0</v>
      </c>
      <c r="D34" s="19" t="n">
        <f aca="false">IF(SUM('Credit Stress'!AB$14:AB$25)=0,0,INDEX('Credit Stress'!B$14:B$25,MATCH(1,'Credit Stress'!AB$14:AB$25,0)))</f>
        <v>2</v>
      </c>
      <c r="E34" s="19" t="n">
        <f aca="false">IF(SUM('Market Freeze'!AB$14:AB$25)=0,0,INDEX('Market Freeze'!B$14:B$25,MATCH(1,'Market Freeze'!AB$14:AB$25,0)))</f>
        <v>4</v>
      </c>
      <c r="F34" s="19" t="n">
        <f aca="false">IF(SUM('Combined Stress'!AB$14:AB$25)=0,0,INDEX('Combined Stress'!B$14:B$25,MATCH(1,'Combined Stress'!AB$14:AB$25,0)))</f>
        <v>2</v>
      </c>
    </row>
    <row r="35" customFormat="false" ht="15" hidden="false" customHeight="false" outlineLevel="0" collapsed="false">
      <c r="B35" s="13" t="s">
        <v>52</v>
      </c>
      <c r="C35" s="19" t="n">
        <f aca="false">SUM(Base!T$14:T$25)</f>
        <v>0</v>
      </c>
      <c r="D35" s="19" t="n">
        <f aca="false">SUM('Credit Stress'!T$14:T$25)</f>
        <v>0</v>
      </c>
      <c r="E35" s="19" t="n">
        <f aca="false">SUM('Market Freeze'!T$14:T$25)</f>
        <v>8</v>
      </c>
      <c r="F35" s="19" t="n">
        <f aca="false">SUM('Combined Stress'!T$14:T$25)</f>
        <v>7</v>
      </c>
    </row>
    <row r="36" customFormat="false" ht="15" hidden="false" customHeight="false" outlineLevel="0" collapsed="false">
      <c r="B36" s="13" t="s">
        <v>57</v>
      </c>
      <c r="C36" s="14" t="n">
        <f aca="false">MAX(Base!S$14:S$25)</f>
        <v>33118347.84413</v>
      </c>
      <c r="D36" s="14" t="n">
        <f aca="false">MAX('Credit Stress'!S$14:S$25)</f>
        <v>27120057.5375939</v>
      </c>
      <c r="E36" s="14" t="n">
        <f aca="false">MAX('Market Freeze'!S$14:S$25)</f>
        <v>40000000</v>
      </c>
      <c r="F36" s="14" t="n">
        <f aca="false">MAX('Combined Stress'!S$14:S$25)</f>
        <v>40000000</v>
      </c>
    </row>
    <row r="37" customFormat="false" ht="15" hidden="false" customHeight="false" outlineLevel="0" collapsed="false">
      <c r="B37" s="13" t="s">
        <v>58</v>
      </c>
      <c r="C37" s="14" t="n">
        <f aca="false">SUM(Base!M$14:M$25)</f>
        <v>138070581.547523</v>
      </c>
      <c r="D37" s="14" t="n">
        <f aca="false">SUM('Credit Stress'!M$14:M$25)</f>
        <v>133328948.993909</v>
      </c>
      <c r="E37" s="14" t="n">
        <f aca="false">SUM('Market Freeze'!M$14:M$25)</f>
        <v>108996897.191508</v>
      </c>
      <c r="F37" s="14" t="n">
        <f aca="false">SUM('Combined Stress'!M$14:M$25)</f>
        <v>96928228.2422299</v>
      </c>
    </row>
    <row r="38" customFormat="false" ht="15" hidden="false" customHeight="false" outlineLevel="0" collapsed="false">
      <c r="B38" s="16" t="s">
        <v>59</v>
      </c>
      <c r="C38" s="22" t="n">
        <f aca="false">Base!AC25</f>
        <v>8284234.89285136</v>
      </c>
      <c r="D38" s="22" t="n">
        <f aca="false">'Credit Stress'!AC25</f>
        <v>7999736.93963455</v>
      </c>
      <c r="E38" s="22" t="n">
        <f aca="false">'Market Freeze'!AC25</f>
        <v>6539813.83149049</v>
      </c>
      <c r="F38" s="22" t="n">
        <f aca="false">'Combined Stress'!AC25</f>
        <v>5815693.6945338</v>
      </c>
    </row>
  </sheetData>
  <dataValidations count="1">
    <dataValidation allowBlank="false" errorStyle="stop" operator="between" showDropDown="false" showErrorMessage="false" showInputMessage="false" sqref="C17" type="list">
      <formula1>"Base,Credit Stress,Market Freeze,Combined Stress"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2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7" min="6" style="0" width="16"/>
    <col collapsed="false" customWidth="true" hidden="false" outlineLevel="0" max="8" min="8" style="0" width="60"/>
  </cols>
  <sheetData>
    <row r="2" customFormat="false" ht="15" hidden="false" customHeight="false" outlineLevel="0" collapsed="false">
      <c r="B2" s="8" t="s">
        <v>60</v>
      </c>
      <c r="C2" s="9"/>
      <c r="D2" s="9"/>
      <c r="E2" s="9"/>
    </row>
    <row r="3" customFormat="false" ht="15" hidden="false" customHeight="false" outlineLevel="0" collapsed="false">
      <c r="B3" s="10" t="s">
        <v>61</v>
      </c>
    </row>
    <row r="5" customFormat="false" ht="15" hidden="false" customHeight="false" outlineLevel="0" collapsed="false">
      <c r="B5" s="11" t="s">
        <v>62</v>
      </c>
      <c r="C5" s="12"/>
      <c r="D5" s="12"/>
      <c r="E5" s="12"/>
    </row>
    <row r="6" customFormat="false" ht="15" hidden="false" customHeight="false" outlineLevel="0" collapsed="false">
      <c r="B6" s="3" t="s">
        <v>35</v>
      </c>
      <c r="C6" s="3" t="s">
        <v>36</v>
      </c>
      <c r="D6" s="3" t="s">
        <v>63</v>
      </c>
      <c r="E6" s="3" t="s">
        <v>64</v>
      </c>
    </row>
    <row r="7" customFormat="false" ht="15" hidden="false" customHeight="false" outlineLevel="0" collapsed="false">
      <c r="B7" s="13" t="s">
        <v>65</v>
      </c>
      <c r="C7" s="14" t="n">
        <v>40000000</v>
      </c>
      <c r="D7" s="13" t="s">
        <v>66</v>
      </c>
      <c r="E7" s="13" t="s">
        <v>67</v>
      </c>
    </row>
    <row r="8" customFormat="false" ht="15" hidden="false" customHeight="false" outlineLevel="0" collapsed="false">
      <c r="B8" s="13" t="s">
        <v>68</v>
      </c>
      <c r="C8" s="14" t="n">
        <v>19500000</v>
      </c>
      <c r="D8" s="13" t="s">
        <v>66</v>
      </c>
      <c r="E8" s="13" t="s">
        <v>69</v>
      </c>
    </row>
    <row r="9" customFormat="false" ht="15" hidden="false" customHeight="false" outlineLevel="0" collapsed="false">
      <c r="B9" s="13" t="s">
        <v>70</v>
      </c>
      <c r="C9" s="23" t="n">
        <f aca="false">Benchmarks!C7</f>
        <v>0.0388</v>
      </c>
      <c r="D9" s="13" t="s">
        <v>71</v>
      </c>
      <c r="E9" s="13" t="s">
        <v>72</v>
      </c>
    </row>
    <row r="10" customFormat="false" ht="15" hidden="false" customHeight="false" outlineLevel="0" collapsed="false">
      <c r="B10" s="13" t="s">
        <v>73</v>
      </c>
      <c r="C10" s="23" t="n">
        <f aca="false">Benchmarks!C9</f>
        <v>0.0205</v>
      </c>
      <c r="D10" s="13" t="s">
        <v>71</v>
      </c>
      <c r="E10" s="13" t="s">
        <v>74</v>
      </c>
    </row>
    <row r="11" customFormat="false" ht="15" hidden="false" customHeight="false" outlineLevel="0" collapsed="false">
      <c r="B11" s="13" t="s">
        <v>75</v>
      </c>
      <c r="C11" s="23" t="n">
        <v>0.005</v>
      </c>
      <c r="D11" s="13" t="s">
        <v>76</v>
      </c>
      <c r="E11" s="13" t="s">
        <v>77</v>
      </c>
    </row>
    <row r="12" customFormat="false" ht="15" hidden="false" customHeight="false" outlineLevel="0" collapsed="false">
      <c r="B12" s="13" t="s">
        <v>78</v>
      </c>
      <c r="C12" s="24" t="n">
        <v>0.85</v>
      </c>
      <c r="D12" s="13" t="s">
        <v>71</v>
      </c>
      <c r="E12" s="13" t="s">
        <v>79</v>
      </c>
    </row>
    <row r="13" customFormat="false" ht="15" hidden="false" customHeight="false" outlineLevel="0" collapsed="false">
      <c r="B13" s="13" t="s">
        <v>80</v>
      </c>
      <c r="C13" s="24" t="n">
        <v>0.75</v>
      </c>
      <c r="D13" s="13" t="s">
        <v>71</v>
      </c>
      <c r="E13" s="13" t="s">
        <v>69</v>
      </c>
    </row>
    <row r="14" customFormat="false" ht="15" hidden="false" customHeight="false" outlineLevel="0" collapsed="false">
      <c r="B14" s="16" t="s">
        <v>81</v>
      </c>
      <c r="C14" s="21" t="n">
        <v>620</v>
      </c>
      <c r="D14" s="16" t="s">
        <v>82</v>
      </c>
      <c r="E14" s="16" t="s">
        <v>83</v>
      </c>
    </row>
    <row r="16" customFormat="false" ht="15" hidden="false" customHeight="false" outlineLevel="0" collapsed="false">
      <c r="B16" s="11" t="s">
        <v>84</v>
      </c>
      <c r="C16" s="12"/>
      <c r="D16" s="12"/>
      <c r="E16" s="12"/>
    </row>
    <row r="17" customFormat="false" ht="15" hidden="false" customHeight="false" outlineLevel="0" collapsed="false">
      <c r="B17" s="10" t="s">
        <v>85</v>
      </c>
    </row>
    <row r="18" customFormat="false" ht="15" hidden="false" customHeight="false" outlineLevel="0" collapsed="false">
      <c r="B18" s="3" t="s">
        <v>86</v>
      </c>
      <c r="C18" s="3" t="s">
        <v>87</v>
      </c>
      <c r="D18" s="3" t="s">
        <v>63</v>
      </c>
      <c r="E18" s="3" t="s">
        <v>64</v>
      </c>
    </row>
    <row r="19" customFormat="false" ht="15" hidden="false" customHeight="false" outlineLevel="0" collapsed="false">
      <c r="B19" s="13" t="s">
        <v>88</v>
      </c>
      <c r="C19" s="19" t="n">
        <v>60</v>
      </c>
      <c r="D19" s="13" t="s">
        <v>89</v>
      </c>
      <c r="E19" s="13" t="s">
        <v>90</v>
      </c>
    </row>
    <row r="20" customFormat="false" ht="15" hidden="false" customHeight="false" outlineLevel="0" collapsed="false">
      <c r="B20" s="13" t="s">
        <v>91</v>
      </c>
      <c r="C20" s="19" t="n">
        <v>75</v>
      </c>
      <c r="D20" s="13" t="s">
        <v>92</v>
      </c>
      <c r="E20" s="13" t="s">
        <v>93</v>
      </c>
    </row>
    <row r="21" customFormat="false" ht="15" hidden="false" customHeight="false" outlineLevel="0" collapsed="false">
      <c r="B21" s="13" t="s">
        <v>94</v>
      </c>
      <c r="C21" s="24" t="n">
        <v>1.5</v>
      </c>
      <c r="D21" s="13" t="s">
        <v>71</v>
      </c>
      <c r="E21" s="13" t="s">
        <v>69</v>
      </c>
    </row>
    <row r="22" customFormat="false" ht="15" hidden="false" customHeight="false" outlineLevel="0" collapsed="false">
      <c r="B22" s="13" t="s">
        <v>95</v>
      </c>
      <c r="C22" s="19" t="n">
        <v>540</v>
      </c>
      <c r="D22" s="13" t="s">
        <v>82</v>
      </c>
      <c r="E22" s="13" t="s">
        <v>69</v>
      </c>
    </row>
    <row r="23" customFormat="false" ht="15" hidden="false" customHeight="false" outlineLevel="0" collapsed="false">
      <c r="B23" s="16" t="s">
        <v>96</v>
      </c>
      <c r="C23" s="22" t="n">
        <v>50000</v>
      </c>
      <c r="D23" s="16" t="s">
        <v>66</v>
      </c>
      <c r="E23" s="16" t="s">
        <v>69</v>
      </c>
    </row>
    <row r="25" customFormat="false" ht="15" hidden="false" customHeight="false" outlineLevel="0" collapsed="false">
      <c r="B25" s="11" t="s">
        <v>97</v>
      </c>
      <c r="C25" s="12"/>
      <c r="D25" s="12"/>
      <c r="E25" s="12"/>
    </row>
    <row r="26" customFormat="false" ht="15" hidden="false" customHeight="false" outlineLevel="0" collapsed="false">
      <c r="B26" s="10" t="s">
        <v>98</v>
      </c>
    </row>
    <row r="27" customFormat="false" ht="15" hidden="false" customHeight="false" outlineLevel="0" collapsed="false">
      <c r="B27" s="3" t="s">
        <v>87</v>
      </c>
      <c r="C27" s="3" t="s">
        <v>99</v>
      </c>
      <c r="D27" s="3" t="s">
        <v>63</v>
      </c>
      <c r="E27" s="3" t="s">
        <v>64</v>
      </c>
    </row>
    <row r="28" customFormat="false" ht="15" hidden="false" customHeight="false" outlineLevel="0" collapsed="false">
      <c r="B28" s="13" t="s">
        <v>100</v>
      </c>
      <c r="C28" s="24" t="n">
        <v>0.2</v>
      </c>
      <c r="D28" s="13" t="s">
        <v>101</v>
      </c>
      <c r="E28" s="13" t="s">
        <v>102</v>
      </c>
    </row>
    <row r="29" customFormat="false" ht="15" hidden="false" customHeight="false" outlineLevel="0" collapsed="false">
      <c r="B29" s="13" t="s">
        <v>103</v>
      </c>
      <c r="C29" s="24" t="n">
        <v>0.3</v>
      </c>
      <c r="D29" s="13" t="s">
        <v>101</v>
      </c>
      <c r="E29" s="13" t="s">
        <v>69</v>
      </c>
    </row>
    <row r="30" customFormat="false" ht="15" hidden="false" customHeight="false" outlineLevel="0" collapsed="false">
      <c r="B30" s="13" t="s">
        <v>104</v>
      </c>
      <c r="C30" s="24" t="n">
        <v>0.1</v>
      </c>
      <c r="D30" s="13" t="s">
        <v>101</v>
      </c>
      <c r="E30" s="13" t="s">
        <v>105</v>
      </c>
    </row>
    <row r="31" customFormat="false" ht="15" hidden="false" customHeight="false" outlineLevel="0" collapsed="false">
      <c r="B31" s="16" t="s">
        <v>106</v>
      </c>
      <c r="C31" s="17" t="n">
        <v>0.15</v>
      </c>
      <c r="D31" s="16" t="s">
        <v>101</v>
      </c>
      <c r="E31" s="16" t="s">
        <v>69</v>
      </c>
    </row>
    <row r="33" customFormat="false" ht="15" hidden="false" customHeight="false" outlineLevel="0" collapsed="false">
      <c r="B33" s="11" t="s">
        <v>107</v>
      </c>
      <c r="C33" s="12"/>
      <c r="D33" s="12"/>
      <c r="E33" s="12"/>
    </row>
    <row r="34" customFormat="false" ht="15" hidden="false" customHeight="false" outlineLevel="0" collapsed="false">
      <c r="B34" s="3" t="s">
        <v>35</v>
      </c>
      <c r="C34" s="3" t="s">
        <v>36</v>
      </c>
      <c r="D34" s="3" t="s">
        <v>63</v>
      </c>
      <c r="E34" s="3" t="s">
        <v>64</v>
      </c>
    </row>
    <row r="35" customFormat="false" ht="15" hidden="false" customHeight="false" outlineLevel="0" collapsed="false">
      <c r="B35" s="13" t="s">
        <v>108</v>
      </c>
      <c r="C35" s="14" t="n">
        <v>12000000</v>
      </c>
      <c r="D35" s="13" t="s">
        <v>66</v>
      </c>
      <c r="E35" s="13" t="s">
        <v>69</v>
      </c>
    </row>
    <row r="36" customFormat="false" ht="15" hidden="false" customHeight="false" outlineLevel="0" collapsed="false">
      <c r="B36" s="13" t="s">
        <v>109</v>
      </c>
      <c r="C36" s="14" t="n">
        <v>5000000</v>
      </c>
      <c r="D36" s="13" t="s">
        <v>66</v>
      </c>
      <c r="E36" s="13" t="s">
        <v>110</v>
      </c>
    </row>
    <row r="37" customFormat="false" ht="15" hidden="false" customHeight="false" outlineLevel="0" collapsed="false">
      <c r="B37" s="13" t="s">
        <v>111</v>
      </c>
      <c r="C37" s="14" t="n">
        <v>10000000</v>
      </c>
      <c r="D37" s="13" t="s">
        <v>66</v>
      </c>
      <c r="E37" s="13" t="s">
        <v>112</v>
      </c>
    </row>
    <row r="38" customFormat="false" ht="15" hidden="false" customHeight="false" outlineLevel="0" collapsed="false">
      <c r="B38" s="13" t="s">
        <v>113</v>
      </c>
      <c r="C38" s="14" t="n">
        <v>600000</v>
      </c>
      <c r="D38" s="13" t="s">
        <v>66</v>
      </c>
      <c r="E38" s="13" t="s">
        <v>69</v>
      </c>
    </row>
    <row r="39" customFormat="false" ht="15" hidden="false" customHeight="false" outlineLevel="0" collapsed="false">
      <c r="B39" s="13" t="s">
        <v>114</v>
      </c>
      <c r="C39" s="23" t="n">
        <v>0.02</v>
      </c>
      <c r="D39" s="13" t="s">
        <v>115</v>
      </c>
      <c r="E39" s="13" t="s">
        <v>69</v>
      </c>
    </row>
    <row r="40" customFormat="false" ht="15" hidden="false" customHeight="false" outlineLevel="0" collapsed="false">
      <c r="B40" s="13" t="s">
        <v>116</v>
      </c>
      <c r="C40" s="23" t="n">
        <f aca="false">1-Benchmarks!C14</f>
        <v>0.6226</v>
      </c>
      <c r="D40" s="13" t="s">
        <v>71</v>
      </c>
      <c r="E40" s="13" t="s">
        <v>117</v>
      </c>
    </row>
    <row r="41" customFormat="false" ht="15" hidden="false" customHeight="false" outlineLevel="0" collapsed="false">
      <c r="B41" s="13" t="s">
        <v>118</v>
      </c>
      <c r="C41" s="24" t="n">
        <v>0.94</v>
      </c>
      <c r="D41" s="13" t="s">
        <v>119</v>
      </c>
      <c r="E41" s="13" t="s">
        <v>120</v>
      </c>
    </row>
    <row r="42" customFormat="false" ht="15" hidden="false" customHeight="false" outlineLevel="0" collapsed="false">
      <c r="B42" s="16" t="s">
        <v>121</v>
      </c>
      <c r="C42" s="17" t="n">
        <v>0.01</v>
      </c>
      <c r="D42" s="16" t="s">
        <v>119</v>
      </c>
      <c r="E42" s="16" t="s">
        <v>69</v>
      </c>
    </row>
    <row r="44" customFormat="false" ht="15" hidden="false" customHeight="false" outlineLevel="0" collapsed="false">
      <c r="B44" s="11" t="s">
        <v>23</v>
      </c>
      <c r="C44" s="12"/>
      <c r="D44" s="12"/>
      <c r="E44" s="12"/>
      <c r="F44" s="12"/>
      <c r="G44" s="12"/>
      <c r="H44" s="12"/>
    </row>
    <row r="45" customFormat="false" ht="15" hidden="false" customHeight="false" outlineLevel="0" collapsed="false">
      <c r="B45" s="3" t="s">
        <v>35</v>
      </c>
      <c r="C45" s="3" t="s">
        <v>54</v>
      </c>
      <c r="D45" s="3" t="s">
        <v>55</v>
      </c>
      <c r="E45" s="3" t="s">
        <v>46</v>
      </c>
      <c r="F45" s="3" t="s">
        <v>56</v>
      </c>
      <c r="G45" s="3" t="s">
        <v>63</v>
      </c>
      <c r="H45" s="3" t="s">
        <v>122</v>
      </c>
    </row>
    <row r="46" customFormat="false" ht="15" hidden="false" customHeight="false" outlineLevel="0" collapsed="false">
      <c r="B46" s="13" t="s">
        <v>123</v>
      </c>
      <c r="C46" s="24" t="n">
        <v>0.1</v>
      </c>
      <c r="D46" s="24" t="n">
        <v>0.2</v>
      </c>
      <c r="E46" s="24" t="n">
        <v>0.1</v>
      </c>
      <c r="F46" s="24" t="n">
        <v>0.2</v>
      </c>
      <c r="G46" s="13" t="s">
        <v>71</v>
      </c>
      <c r="H46" s="13" t="s">
        <v>124</v>
      </c>
    </row>
    <row r="47" customFormat="false" ht="15" hidden="false" customHeight="false" outlineLevel="0" collapsed="false">
      <c r="B47" s="13" t="s">
        <v>125</v>
      </c>
      <c r="C47" s="24" t="n">
        <f aca="false">Borrowing_Base_DQ</f>
        <v>0.0314375293062565</v>
      </c>
      <c r="D47" s="24" t="n">
        <v>0.08</v>
      </c>
      <c r="E47" s="24" t="n">
        <f aca="false">Borrowing_Base_DQ</f>
        <v>0.0314375293062565</v>
      </c>
      <c r="F47" s="24" t="n">
        <v>0.08</v>
      </c>
      <c r="G47" s="13" t="s">
        <v>71</v>
      </c>
      <c r="H47" s="13" t="s">
        <v>126</v>
      </c>
    </row>
    <row r="48" customFormat="false" ht="15" hidden="false" customHeight="false" outlineLevel="0" collapsed="false">
      <c r="B48" s="13" t="s">
        <v>127</v>
      </c>
      <c r="C48" s="24" t="n">
        <v>0</v>
      </c>
      <c r="D48" s="24" t="n">
        <v>0.1</v>
      </c>
      <c r="E48" s="24" t="n">
        <v>0</v>
      </c>
      <c r="F48" s="24" t="n">
        <v>0.1</v>
      </c>
      <c r="G48" s="13" t="s">
        <v>128</v>
      </c>
      <c r="H48" s="13" t="s">
        <v>129</v>
      </c>
    </row>
    <row r="49" customFormat="false" ht="15" hidden="false" customHeight="false" outlineLevel="0" collapsed="false">
      <c r="B49" s="13" t="s">
        <v>130</v>
      </c>
      <c r="C49" s="14" t="n">
        <v>1600000</v>
      </c>
      <c r="D49" s="14" t="n">
        <v>800000</v>
      </c>
      <c r="E49" s="14" t="n">
        <v>1600000</v>
      </c>
      <c r="F49" s="14" t="n">
        <v>800000</v>
      </c>
      <c r="G49" s="13" t="s">
        <v>66</v>
      </c>
      <c r="H49" s="13" t="s">
        <v>131</v>
      </c>
    </row>
    <row r="50" customFormat="false" ht="15" hidden="false" customHeight="false" outlineLevel="0" collapsed="false">
      <c r="B50" s="13" t="s">
        <v>132</v>
      </c>
      <c r="C50" s="19" t="n">
        <v>1</v>
      </c>
      <c r="D50" s="19" t="n">
        <v>1</v>
      </c>
      <c r="E50" s="19" t="n">
        <v>0</v>
      </c>
      <c r="F50" s="19" t="n">
        <v>0</v>
      </c>
      <c r="G50" s="13" t="s">
        <v>133</v>
      </c>
      <c r="H50" s="13" t="s">
        <v>134</v>
      </c>
    </row>
    <row r="51" customFormat="false" ht="15" hidden="false" customHeight="false" outlineLevel="0" collapsed="false">
      <c r="B51" s="13" t="s">
        <v>135</v>
      </c>
      <c r="C51" s="19" t="n">
        <v>1</v>
      </c>
      <c r="D51" s="19" t="n">
        <v>1</v>
      </c>
      <c r="E51" s="19" t="n">
        <v>0</v>
      </c>
      <c r="F51" s="19" t="n">
        <v>0</v>
      </c>
      <c r="G51" s="13" t="s">
        <v>133</v>
      </c>
      <c r="H51" s="13" t="s">
        <v>136</v>
      </c>
    </row>
    <row r="52" customFormat="false" ht="15" hidden="false" customHeight="false" outlineLevel="0" collapsed="false">
      <c r="B52" s="13" t="s">
        <v>137</v>
      </c>
      <c r="C52" s="19" t="n">
        <v>1</v>
      </c>
      <c r="D52" s="19" t="n">
        <v>1</v>
      </c>
      <c r="E52" s="19" t="n">
        <v>0</v>
      </c>
      <c r="F52" s="19" t="n">
        <v>0</v>
      </c>
      <c r="G52" s="13" t="s">
        <v>133</v>
      </c>
      <c r="H52" s="13"/>
    </row>
    <row r="53" customFormat="false" ht="15" hidden="false" customHeight="false" outlineLevel="0" collapsed="false">
      <c r="B53" s="16" t="s">
        <v>138</v>
      </c>
      <c r="C53" s="21" t="n">
        <v>1</v>
      </c>
      <c r="D53" s="21" t="n">
        <v>1</v>
      </c>
      <c r="E53" s="21" t="n">
        <v>1</v>
      </c>
      <c r="F53" s="21" t="n">
        <v>1</v>
      </c>
      <c r="G53" s="16" t="s">
        <v>133</v>
      </c>
      <c r="H53" s="16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2"/>
    <col collapsed="false" customWidth="true" hidden="false" outlineLevel="0" max="3" min="3" style="0" width="18"/>
    <col collapsed="false" customWidth="true" hidden="false" outlineLevel="0" max="5" min="4" style="0" width="16"/>
    <col collapsed="false" customWidth="true" hidden="false" outlineLevel="0" max="6" min="6" style="0" width="60"/>
  </cols>
  <sheetData>
    <row r="2" customFormat="false" ht="15" hidden="false" customHeight="false" outlineLevel="0" collapsed="false">
      <c r="B2" s="8" t="s">
        <v>8</v>
      </c>
      <c r="C2" s="9"/>
      <c r="D2" s="9"/>
      <c r="E2" s="9"/>
      <c r="F2" s="9"/>
    </row>
    <row r="3" customFormat="false" ht="15" hidden="false" customHeight="false" outlineLevel="0" collapsed="false">
      <c r="B3" s="10" t="s">
        <v>140</v>
      </c>
    </row>
    <row r="5" customFormat="false" ht="15" hidden="false" customHeight="false" outlineLevel="0" collapsed="false">
      <c r="B5" s="11" t="s">
        <v>141</v>
      </c>
      <c r="C5" s="12"/>
      <c r="D5" s="12"/>
      <c r="E5" s="12"/>
      <c r="F5" s="12"/>
    </row>
    <row r="6" customFormat="false" ht="15" hidden="false" customHeight="false" outlineLevel="0" collapsed="false">
      <c r="B6" s="3" t="s">
        <v>35</v>
      </c>
      <c r="C6" s="3" t="s">
        <v>36</v>
      </c>
      <c r="D6" s="3" t="s">
        <v>63</v>
      </c>
    </row>
    <row r="7" customFormat="false" ht="15" hidden="false" customHeight="false" outlineLevel="0" collapsed="false">
      <c r="B7" s="13" t="s">
        <v>142</v>
      </c>
      <c r="C7" s="14" t="n">
        <f aca="false">COUNTA('Loan Tape'!$B$6:$B$1205)</f>
        <v>1200</v>
      </c>
      <c r="D7" s="13" t="s">
        <v>143</v>
      </c>
    </row>
    <row r="8" customFormat="false" ht="15" hidden="false" customHeight="false" outlineLevel="0" collapsed="false">
      <c r="B8" s="13" t="s">
        <v>144</v>
      </c>
      <c r="C8" s="14" t="n">
        <f aca="false">SUM('Loan Tape'!$I$6:$I$1205)</f>
        <v>28800313.51</v>
      </c>
      <c r="D8" s="13" t="s">
        <v>66</v>
      </c>
    </row>
    <row r="9" customFormat="false" ht="15" hidden="false" customHeight="false" outlineLevel="0" collapsed="false">
      <c r="B9" s="13" t="s">
        <v>145</v>
      </c>
      <c r="C9" s="23" t="n">
        <f aca="false">SUMPRODUCT('Loan Tape'!$E$6:$E$1205,'Loan Tape'!$I$6:$I$1205)/C8</f>
        <v>0.207788023863217</v>
      </c>
      <c r="D9" s="13" t="s">
        <v>71</v>
      </c>
    </row>
    <row r="10" customFormat="false" ht="15" hidden="false" customHeight="false" outlineLevel="0" collapsed="false">
      <c r="B10" s="16" t="s">
        <v>146</v>
      </c>
      <c r="C10" s="21" t="n">
        <f aca="false">SUMPRODUCT('Loan Tape'!$D$6:$D$1205,'Loan Tape'!$I$6:$I$1205)/C8</f>
        <v>645.389308483955</v>
      </c>
      <c r="D10" s="16" t="s">
        <v>82</v>
      </c>
      <c r="E10" s="25"/>
    </row>
    <row r="12" customFormat="false" ht="15" hidden="false" customHeight="false" outlineLevel="0" collapsed="false">
      <c r="B12" s="11" t="s">
        <v>147</v>
      </c>
      <c r="C12" s="12"/>
      <c r="D12" s="12"/>
      <c r="E12" s="12"/>
      <c r="F12" s="12"/>
    </row>
    <row r="13" customFormat="false" ht="15" hidden="false" customHeight="false" outlineLevel="0" collapsed="false">
      <c r="B13" s="10" t="s">
        <v>148</v>
      </c>
    </row>
    <row r="14" customFormat="false" ht="15" hidden="false" customHeight="false" outlineLevel="0" collapsed="false">
      <c r="B14" s="3" t="s">
        <v>149</v>
      </c>
      <c r="C14" s="3" t="s">
        <v>150</v>
      </c>
      <c r="D14" s="3" t="s">
        <v>115</v>
      </c>
    </row>
    <row r="15" customFormat="false" ht="15" hidden="false" customHeight="false" outlineLevel="0" collapsed="false">
      <c r="B15" s="13" t="s">
        <v>151</v>
      </c>
      <c r="C15" s="14" t="n">
        <f aca="false">SUMIFS('Loan Tape'!$I$6:$I$1205,'Loan Tape'!$M$6:$M$1205,0)</f>
        <v>905410.7</v>
      </c>
      <c r="D15" s="24" t="n">
        <f aca="false">C15/$C$8</f>
        <v>0.0314375293062565</v>
      </c>
    </row>
    <row r="16" customFormat="false" ht="15" hidden="false" customHeight="false" outlineLevel="0" collapsed="false">
      <c r="B16" s="13" t="s">
        <v>152</v>
      </c>
      <c r="C16" s="14" t="n">
        <f aca="false">SUMIFS('Loan Tape'!$I$6:$I$1205,'Loan Tape'!$N$6:$N$1205,0)</f>
        <v>1377851.62</v>
      </c>
      <c r="D16" s="24" t="n">
        <f aca="false">C16/$C$8</f>
        <v>0.0478415493470786</v>
      </c>
    </row>
    <row r="17" customFormat="false" ht="15" hidden="false" customHeight="false" outlineLevel="0" collapsed="false">
      <c r="B17" s="13" t="s">
        <v>153</v>
      </c>
      <c r="C17" s="14" t="n">
        <f aca="false">SUMIFS('Loan Tape'!$I$6:$I$1205,'Loan Tape'!$O$6:$O$1205,0)</f>
        <v>20940.17</v>
      </c>
      <c r="D17" s="24" t="n">
        <f aca="false">C17/$C$8</f>
        <v>0.00072708132127552</v>
      </c>
    </row>
    <row r="18" customFormat="false" ht="15" hidden="false" customHeight="false" outlineLevel="0" collapsed="false">
      <c r="B18" s="13" t="s">
        <v>154</v>
      </c>
      <c r="C18" s="14" t="n">
        <f aca="false">SUMIFS('Loan Tape'!$I$6:$I$1205,'Loan Tape'!$P$6:$P$1205,0)</f>
        <v>603065.69</v>
      </c>
      <c r="D18" s="24" t="n">
        <f aca="false">C18/$C$8</f>
        <v>0.0209395529597483</v>
      </c>
    </row>
    <row r="19" customFormat="false" ht="15" hidden="false" customHeight="false" outlineLevel="0" collapsed="false">
      <c r="B19" s="13" t="s">
        <v>155</v>
      </c>
      <c r="C19" s="14" t="n">
        <f aca="false">SUMIFS('Loan Tape'!$I$6:$I$1205,'Loan Tape'!$Q$6:$Q$1205,0)</f>
        <v>499925.28</v>
      </c>
      <c r="D19" s="24" t="n">
        <f aca="false">C19/$C$8</f>
        <v>0.0173583277080097</v>
      </c>
    </row>
    <row r="20" customFormat="false" ht="15" hidden="false" customHeight="false" outlineLevel="0" collapsed="false">
      <c r="B20" s="20" t="s">
        <v>156</v>
      </c>
      <c r="C20" s="26" t="n">
        <f aca="false">C8-C22</f>
        <v>3314252.37</v>
      </c>
      <c r="D20" s="27" t="n">
        <f aca="false">C20/$C$8</f>
        <v>0.11507695459111</v>
      </c>
      <c r="E20" s="25"/>
    </row>
    <row r="22" customFormat="false" ht="15" hidden="false" customHeight="false" outlineLevel="0" collapsed="false">
      <c r="B22" s="20" t="s">
        <v>38</v>
      </c>
      <c r="C22" s="26" t="n">
        <f aca="false">SUM('Loan Tape'!$S$6:$S$1205)</f>
        <v>25486061.14</v>
      </c>
      <c r="D22" s="27" t="n">
        <f aca="false">C22/$C$8</f>
        <v>0.88492304540889</v>
      </c>
      <c r="E22" s="25"/>
    </row>
    <row r="24" customFormat="false" ht="15" hidden="false" customHeight="false" outlineLevel="0" collapsed="false">
      <c r="B24" s="11" t="s">
        <v>157</v>
      </c>
      <c r="C24" s="12"/>
      <c r="D24" s="12"/>
      <c r="E24" s="12"/>
      <c r="F24" s="12"/>
    </row>
    <row r="25" customFormat="false" ht="15" hidden="false" customHeight="false" outlineLevel="0" collapsed="false">
      <c r="B25" s="10" t="s">
        <v>158</v>
      </c>
    </row>
    <row r="26" customFormat="false" ht="15" hidden="false" customHeight="false" outlineLevel="0" collapsed="false">
      <c r="B26" s="3" t="s">
        <v>87</v>
      </c>
      <c r="C26" s="3" t="s">
        <v>159</v>
      </c>
      <c r="D26" s="3" t="s">
        <v>160</v>
      </c>
      <c r="E26" s="3" t="s">
        <v>99</v>
      </c>
      <c r="F26" s="3" t="s">
        <v>161</v>
      </c>
    </row>
    <row r="27" customFormat="false" ht="15" hidden="false" customHeight="false" outlineLevel="0" collapsed="false">
      <c r="B27" s="13" t="s">
        <v>162</v>
      </c>
      <c r="C27" s="14" t="n">
        <f aca="false">SUMIFS('Loan Tape'!$S$6:$S$1205,'Loan Tape'!$C$6:$C$1205,"TX")</f>
        <v>5788414.45</v>
      </c>
      <c r="D27" s="24" t="n">
        <f aca="false">C27/$C$22</f>
        <v>0.227120794311961</v>
      </c>
      <c r="E27" s="24" t="n">
        <f aca="false">Inputs!$C$28</f>
        <v>0.2</v>
      </c>
      <c r="F27" s="14" t="n">
        <f aca="false">MAX(0,C27-E27*$C$22)</f>
        <v>691202.222</v>
      </c>
    </row>
    <row r="28" customFormat="false" ht="15" hidden="false" customHeight="false" outlineLevel="0" collapsed="false">
      <c r="B28" s="13" t="s">
        <v>163</v>
      </c>
      <c r="C28" s="14" t="n">
        <f aca="false">SUMIFS('Loan Tape'!$S$6:$S$1205,'Loan Tape'!$C$6:$C$1205,"CA")</f>
        <v>3911146.78</v>
      </c>
      <c r="D28" s="24" t="n">
        <f aca="false">C28/$C$22</f>
        <v>0.153462190901736</v>
      </c>
      <c r="E28" s="24" t="n">
        <f aca="false">Inputs!$C$28</f>
        <v>0.2</v>
      </c>
      <c r="F28" s="14" t="n">
        <f aca="false">MAX(0,C28-E28*$C$22)</f>
        <v>0</v>
      </c>
    </row>
    <row r="29" customFormat="false" ht="15" hidden="false" customHeight="false" outlineLevel="0" collapsed="false">
      <c r="B29" s="13" t="s">
        <v>164</v>
      </c>
      <c r="C29" s="14" t="n">
        <f aca="false">SUMIFS('Loan Tape'!$S$6:$S$1205,'Loan Tape'!$C$6:$C$1205,"FL")</f>
        <v>2997151.33</v>
      </c>
      <c r="D29" s="24" t="n">
        <f aca="false">C29/$C$22</f>
        <v>0.1175996288142</v>
      </c>
      <c r="E29" s="24" t="n">
        <f aca="false">Inputs!$C$28</f>
        <v>0.2</v>
      </c>
      <c r="F29" s="14" t="n">
        <f aca="false">MAX(0,C29-E29*$C$22)</f>
        <v>0</v>
      </c>
    </row>
    <row r="30" customFormat="false" ht="15" hidden="false" customHeight="false" outlineLevel="0" collapsed="false">
      <c r="B30" s="13" t="s">
        <v>165</v>
      </c>
      <c r="C30" s="14" t="n">
        <f aca="false">SUMIFS('Loan Tape'!$S$6:$S$1205,'Loan Tape'!$C$6:$C$1205,"GA")</f>
        <v>2786819.31</v>
      </c>
      <c r="D30" s="24" t="n">
        <f aca="false">C30/$C$22</f>
        <v>0.109346803128638</v>
      </c>
      <c r="E30" s="24" t="n">
        <f aca="false">Inputs!$C$28</f>
        <v>0.2</v>
      </c>
      <c r="F30" s="14" t="n">
        <f aca="false">MAX(0,C30-E30*$C$22)</f>
        <v>0</v>
      </c>
    </row>
    <row r="31" customFormat="false" ht="15" hidden="false" customHeight="false" outlineLevel="0" collapsed="false">
      <c r="B31" s="13" t="s">
        <v>166</v>
      </c>
      <c r="C31" s="14" t="n">
        <f aca="false">SUMIFS('Loan Tape'!$S$6:$S$1205,'Loan Tape'!$C$6:$C$1205,"NC")</f>
        <v>2028010.83</v>
      </c>
      <c r="D31" s="24" t="n">
        <f aca="false">C31/$C$22</f>
        <v>0.0795733330018999</v>
      </c>
      <c r="E31" s="24" t="n">
        <f aca="false">Inputs!$C$28</f>
        <v>0.2</v>
      </c>
      <c r="F31" s="14" t="n">
        <f aca="false">MAX(0,C31-E31*$C$22)</f>
        <v>0</v>
      </c>
    </row>
    <row r="32" customFormat="false" ht="15" hidden="false" customHeight="false" outlineLevel="0" collapsed="false">
      <c r="B32" s="13" t="s">
        <v>167</v>
      </c>
      <c r="C32" s="14" t="n">
        <f aca="false">SUMIFS('Loan Tape'!$S$6:$S$1205,'Loan Tape'!$C$6:$C$1205,"AZ")</f>
        <v>1994053.33</v>
      </c>
      <c r="D32" s="24" t="n">
        <f aca="false">C32/$C$22</f>
        <v>0.0782409380188751</v>
      </c>
      <c r="E32" s="24" t="n">
        <f aca="false">Inputs!$C$28</f>
        <v>0.2</v>
      </c>
      <c r="F32" s="14" t="n">
        <f aca="false">MAX(0,C32-E32*$C$22)</f>
        <v>0</v>
      </c>
    </row>
    <row r="33" customFormat="false" ht="15" hidden="false" customHeight="false" outlineLevel="0" collapsed="false">
      <c r="B33" s="13" t="s">
        <v>168</v>
      </c>
      <c r="C33" s="14" t="n">
        <f aca="false">SUMIFS('Loan Tape'!$S$6:$S$1205,'Loan Tape'!$C$6:$C$1205,"IL")</f>
        <v>1720537.96</v>
      </c>
      <c r="D33" s="24" t="n">
        <f aca="false">C33/$C$22</f>
        <v>0.0675089787530817</v>
      </c>
      <c r="E33" s="24" t="n">
        <f aca="false">Inputs!$C$28</f>
        <v>0.2</v>
      </c>
      <c r="F33" s="14" t="n">
        <f aca="false">MAX(0,C33-E33*$C$22)</f>
        <v>0</v>
      </c>
    </row>
    <row r="34" customFormat="false" ht="15" hidden="false" customHeight="false" outlineLevel="0" collapsed="false">
      <c r="B34" s="13" t="s">
        <v>169</v>
      </c>
      <c r="C34" s="14" t="n">
        <f aca="false">SUMIFS('Loan Tape'!$S$6:$S$1205,'Loan Tape'!$C$6:$C$1205,"OH")</f>
        <v>1547427.26</v>
      </c>
      <c r="D34" s="24" t="n">
        <f aca="false">C34/$C$22</f>
        <v>0.0607166109937379</v>
      </c>
      <c r="E34" s="24" t="n">
        <f aca="false">Inputs!$C$28</f>
        <v>0.2</v>
      </c>
      <c r="F34" s="14" t="n">
        <f aca="false">MAX(0,C34-E34*$C$22)</f>
        <v>0</v>
      </c>
    </row>
    <row r="35" customFormat="false" ht="15" hidden="false" customHeight="false" outlineLevel="0" collapsed="false">
      <c r="B35" s="13" t="s">
        <v>170</v>
      </c>
      <c r="C35" s="14" t="n">
        <f aca="false">SUMIFS('Loan Tape'!$S$6:$S$1205,'Loan Tape'!$C$6:$C$1205,"PA")</f>
        <v>1549349.84</v>
      </c>
      <c r="D35" s="24" t="n">
        <f aca="false">C35/$C$22</f>
        <v>0.0607920475231191</v>
      </c>
      <c r="E35" s="24" t="n">
        <f aca="false">Inputs!$C$28</f>
        <v>0.2</v>
      </c>
      <c r="F35" s="14" t="n">
        <f aca="false">MAX(0,C35-E35*$C$22)</f>
        <v>0</v>
      </c>
    </row>
    <row r="36" customFormat="false" ht="15" hidden="false" customHeight="false" outlineLevel="0" collapsed="false">
      <c r="B36" s="13" t="s">
        <v>171</v>
      </c>
      <c r="C36" s="14" t="n">
        <f aca="false">SUMIFS('Loan Tape'!$S$6:$S$1205,'Loan Tape'!$C$6:$C$1205,"NV")</f>
        <v>1163150.05</v>
      </c>
      <c r="D36" s="24" t="n">
        <f aca="false">C36/$C$22</f>
        <v>0.045638674552752</v>
      </c>
      <c r="E36" s="24" t="n">
        <f aca="false">Inputs!$C$28</f>
        <v>0.2</v>
      </c>
      <c r="F36" s="14" t="n">
        <f aca="false">MAX(0,C36-E36*$C$22)</f>
        <v>0</v>
      </c>
    </row>
    <row r="37" customFormat="false" ht="15" hidden="false" customHeight="false" outlineLevel="0" collapsed="false">
      <c r="B37" s="13" t="s">
        <v>103</v>
      </c>
      <c r="C37" s="14" t="n">
        <f aca="false">SUMIFS('Loan Tape'!$S$6:$S$1205,'Loan Tape'!$L$6:$L$1205,"Non-prime")</f>
        <v>7556635.44</v>
      </c>
      <c r="D37" s="24" t="n">
        <f aca="false">C37/$C$22</f>
        <v>0.296500718510008</v>
      </c>
      <c r="E37" s="24" t="n">
        <f aca="false">Inputs!$C$29</f>
        <v>0.3</v>
      </c>
      <c r="F37" s="14" t="n">
        <f aca="false">MAX(0,C37-E37*$C$22)</f>
        <v>0</v>
      </c>
    </row>
    <row r="38" customFormat="false" ht="15" hidden="false" customHeight="false" outlineLevel="0" collapsed="false">
      <c r="B38" s="13" t="s">
        <v>104</v>
      </c>
      <c r="C38" s="14" t="n">
        <f aca="false">SUMIFS('Loan Tape'!$S$6:$S$1205,'Loan Tape'!$T$6:$T$1205,1)</f>
        <v>2321437.19</v>
      </c>
      <c r="D38" s="24" t="n">
        <f aca="false">C38/$C$22</f>
        <v>0.0910865424534566</v>
      </c>
      <c r="E38" s="24" t="n">
        <f aca="false">Inputs!$C$30</f>
        <v>0.1</v>
      </c>
      <c r="F38" s="14" t="n">
        <f aca="false">MAX(0,C38-E38*$C$22)</f>
        <v>0</v>
      </c>
    </row>
    <row r="39" customFormat="false" ht="15" hidden="false" customHeight="false" outlineLevel="0" collapsed="false">
      <c r="B39" s="13" t="s">
        <v>106</v>
      </c>
      <c r="C39" s="14" t="n">
        <f aca="false">SUMIFS('Loan Tape'!$S$6:$S$1205,'Loan Tape'!$U$6:$U$1205,1)</f>
        <v>3716307.61</v>
      </c>
      <c r="D39" s="24" t="n">
        <f aca="false">C39/$C$22</f>
        <v>0.145817260250047</v>
      </c>
      <c r="E39" s="24" t="n">
        <f aca="false">Inputs!$C$31</f>
        <v>0.15</v>
      </c>
      <c r="F39" s="14" t="n">
        <f aca="false">MAX(0,C39-E39*$C$22)</f>
        <v>0</v>
      </c>
    </row>
    <row r="40" customFormat="false" ht="15" hidden="false" customHeight="false" outlineLevel="0" collapsed="false">
      <c r="B40" s="20" t="s">
        <v>172</v>
      </c>
      <c r="C40" s="25"/>
      <c r="D40" s="25"/>
      <c r="E40" s="25"/>
      <c r="F40" s="26" t="n">
        <f aca="false">SUM(F27:F39)</f>
        <v>691202.222</v>
      </c>
    </row>
    <row r="42" customFormat="false" ht="15" hidden="false" customHeight="false" outlineLevel="0" collapsed="false">
      <c r="B42" s="11" t="s">
        <v>173</v>
      </c>
      <c r="C42" s="12"/>
      <c r="D42" s="12"/>
      <c r="E42" s="12"/>
      <c r="F42" s="12"/>
    </row>
    <row r="43" customFormat="false" ht="15" hidden="false" customHeight="false" outlineLevel="0" collapsed="false">
      <c r="B43" s="3" t="s">
        <v>35</v>
      </c>
      <c r="C43" s="3" t="s">
        <v>36</v>
      </c>
      <c r="D43" s="3" t="s">
        <v>63</v>
      </c>
      <c r="E43" s="3"/>
      <c r="F43" s="3" t="s">
        <v>174</v>
      </c>
    </row>
    <row r="44" customFormat="false" ht="15" hidden="false" customHeight="false" outlineLevel="0" collapsed="false">
      <c r="B44" s="13" t="s">
        <v>38</v>
      </c>
      <c r="C44" s="14" t="n">
        <f aca="false">C22</f>
        <v>25486061.14</v>
      </c>
      <c r="D44" s="13" t="s">
        <v>66</v>
      </c>
      <c r="F44" s="13" t="s">
        <v>175</v>
      </c>
    </row>
    <row r="45" customFormat="false" ht="15" hidden="false" customHeight="false" outlineLevel="0" collapsed="false">
      <c r="B45" s="13" t="s">
        <v>176</v>
      </c>
      <c r="C45" s="14" t="n">
        <f aca="false">-$F$40</f>
        <v>-691202.222</v>
      </c>
      <c r="D45" s="13" t="s">
        <v>66</v>
      </c>
      <c r="F45" s="13" t="s">
        <v>177</v>
      </c>
    </row>
    <row r="46" customFormat="false" ht="15" hidden="false" customHeight="false" outlineLevel="0" collapsed="false">
      <c r="B46" s="13" t="s">
        <v>178</v>
      </c>
      <c r="C46" s="14" t="n">
        <f aca="false">C44+C45</f>
        <v>24794858.918</v>
      </c>
      <c r="D46" s="13" t="s">
        <v>66</v>
      </c>
      <c r="F46" s="13" t="s">
        <v>179</v>
      </c>
    </row>
    <row r="47" customFormat="false" ht="15" hidden="false" customHeight="false" outlineLevel="0" collapsed="false">
      <c r="B47" s="13" t="s">
        <v>180</v>
      </c>
      <c r="C47" s="24" t="n">
        <f aca="false">SUMIFS('Loan Tape'!$S$6:$S$1205,'Loan Tape'!$L$6:$L$1205,"Near-prime")/C22</f>
        <v>0.703499281489992</v>
      </c>
      <c r="D47" s="13" t="s">
        <v>71</v>
      </c>
      <c r="F47" s="13"/>
    </row>
    <row r="48" customFormat="false" ht="15" hidden="false" customHeight="false" outlineLevel="0" collapsed="false">
      <c r="B48" s="13" t="s">
        <v>181</v>
      </c>
      <c r="C48" s="23" t="n">
        <f aca="false">C47*Inputs!$C$12+(1-C47)*Inputs!$C$13</f>
        <v>0.820349928148999</v>
      </c>
      <c r="D48" s="13" t="s">
        <v>71</v>
      </c>
      <c r="F48" s="13" t="s">
        <v>182</v>
      </c>
    </row>
    <row r="49" customFormat="false" ht="15" hidden="false" customHeight="false" outlineLevel="0" collapsed="false">
      <c r="B49" s="13" t="s">
        <v>183</v>
      </c>
      <c r="C49" s="14" t="n">
        <f aca="false">C48*C46</f>
        <v>20340460.7318459</v>
      </c>
      <c r="D49" s="13" t="s">
        <v>66</v>
      </c>
      <c r="F49" s="13"/>
    </row>
    <row r="50" customFormat="false" ht="15" hidden="false" customHeight="false" outlineLevel="0" collapsed="false">
      <c r="B50" s="13" t="s">
        <v>65</v>
      </c>
      <c r="C50" s="14" t="n">
        <f aca="false">Inputs!$C$7</f>
        <v>40000000</v>
      </c>
      <c r="D50" s="13" t="s">
        <v>66</v>
      </c>
      <c r="F50" s="13"/>
    </row>
    <row r="51" customFormat="false" ht="15" hidden="false" customHeight="false" outlineLevel="0" collapsed="false">
      <c r="B51" s="15" t="s">
        <v>19</v>
      </c>
      <c r="C51" s="28" t="n">
        <f aca="false">MIN(C49,C50)</f>
        <v>20340460.7318459</v>
      </c>
      <c r="D51" s="13" t="s">
        <v>66</v>
      </c>
      <c r="F51" s="13" t="s">
        <v>184</v>
      </c>
    </row>
    <row r="52" customFormat="false" ht="15" hidden="false" customHeight="false" outlineLevel="0" collapsed="false">
      <c r="B52" s="13" t="s">
        <v>68</v>
      </c>
      <c r="C52" s="14" t="n">
        <f aca="false">Inputs!$C$8</f>
        <v>19500000</v>
      </c>
      <c r="D52" s="13" t="s">
        <v>66</v>
      </c>
      <c r="F52" s="13"/>
    </row>
    <row r="53" customFormat="false" ht="15" hidden="false" customHeight="false" outlineLevel="0" collapsed="false">
      <c r="B53" s="15" t="s">
        <v>185</v>
      </c>
      <c r="C53" s="28" t="n">
        <f aca="false">C51-C52</f>
        <v>840460.731845871</v>
      </c>
      <c r="D53" s="13" t="s">
        <v>66</v>
      </c>
      <c r="F53" s="13"/>
    </row>
    <row r="54" customFormat="false" ht="15" hidden="false" customHeight="false" outlineLevel="0" collapsed="false">
      <c r="B54" s="16" t="s">
        <v>42</v>
      </c>
      <c r="C54" s="17" t="n">
        <f aca="false">C51/C8</f>
        <v>0.706258309472336</v>
      </c>
      <c r="D54" s="16" t="s">
        <v>71</v>
      </c>
      <c r="E54" s="25"/>
      <c r="F54" s="16" t="s">
        <v>186</v>
      </c>
    </row>
    <row r="56" customFormat="false" ht="15" hidden="false" customHeight="false" outlineLevel="0" collapsed="false">
      <c r="B56" s="11" t="s">
        <v>187</v>
      </c>
      <c r="C56" s="12"/>
      <c r="D56" s="12"/>
      <c r="E56" s="12"/>
      <c r="F56" s="12"/>
    </row>
    <row r="57" customFormat="false" ht="15" hidden="false" customHeight="false" outlineLevel="0" collapsed="false">
      <c r="B57" s="3" t="s">
        <v>188</v>
      </c>
      <c r="C57" s="3" t="s">
        <v>36</v>
      </c>
      <c r="D57" s="3" t="s">
        <v>63</v>
      </c>
      <c r="E57" s="3"/>
      <c r="F57" s="3" t="s">
        <v>189</v>
      </c>
    </row>
    <row r="58" customFormat="false" ht="15" hidden="false" customHeight="false" outlineLevel="0" collapsed="false">
      <c r="B58" s="13" t="s">
        <v>190</v>
      </c>
      <c r="C58" s="23" t="n">
        <f aca="false">$C$15/C8</f>
        <v>0.0314375293062565</v>
      </c>
      <c r="D58" s="13" t="s">
        <v>71</v>
      </c>
      <c r="F58" s="13" t="s">
        <v>191</v>
      </c>
    </row>
    <row r="59" customFormat="false" ht="15" hidden="false" customHeight="false" outlineLevel="0" collapsed="false">
      <c r="B59" s="13" t="s">
        <v>192</v>
      </c>
      <c r="C59" s="23" t="n">
        <f aca="false">(C8-C22-$C$15)/C8</f>
        <v>0.0836394252848535</v>
      </c>
      <c r="D59" s="13" t="s">
        <v>71</v>
      </c>
      <c r="F59" s="13" t="s">
        <v>193</v>
      </c>
    </row>
    <row r="60" customFormat="false" ht="15" hidden="false" customHeight="false" outlineLevel="0" collapsed="false">
      <c r="B60" s="16" t="s">
        <v>194</v>
      </c>
      <c r="C60" s="29" t="n">
        <f aca="false">$F$40/C22</f>
        <v>0.0271207943119609</v>
      </c>
      <c r="D60" s="16" t="s">
        <v>71</v>
      </c>
      <c r="E60" s="25"/>
      <c r="F60" s="16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U1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1" min="2" style="0" width="13"/>
  </cols>
  <sheetData>
    <row r="2" customFormat="false" ht="15" hidden="false" customHeight="false" outlineLevel="0" collapsed="false">
      <c r="B2" s="8" t="s">
        <v>10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customFormat="false" ht="15" hidden="false" customHeight="false" outlineLevel="0" collapsed="false">
      <c r="B3" s="10" t="s">
        <v>196</v>
      </c>
    </row>
    <row r="5" customFormat="false" ht="31.5" hidden="false" customHeight="true" outlineLevel="0" collapsed="false">
      <c r="B5" s="30" t="s">
        <v>197</v>
      </c>
      <c r="C5" s="30" t="s">
        <v>198</v>
      </c>
      <c r="D5" s="30" t="s">
        <v>199</v>
      </c>
      <c r="E5" s="30" t="s">
        <v>200</v>
      </c>
      <c r="F5" s="30" t="s">
        <v>201</v>
      </c>
      <c r="G5" s="30" t="s">
        <v>202</v>
      </c>
      <c r="H5" s="30" t="s">
        <v>203</v>
      </c>
      <c r="I5" s="30" t="s">
        <v>204</v>
      </c>
      <c r="J5" s="30" t="s">
        <v>205</v>
      </c>
      <c r="K5" s="30" t="s">
        <v>206</v>
      </c>
      <c r="L5" s="30" t="s">
        <v>207</v>
      </c>
      <c r="M5" s="30" t="s">
        <v>208</v>
      </c>
      <c r="N5" s="30" t="s">
        <v>209</v>
      </c>
      <c r="O5" s="30" t="s">
        <v>210</v>
      </c>
      <c r="P5" s="30" t="s">
        <v>211</v>
      </c>
      <c r="Q5" s="30" t="s">
        <v>212</v>
      </c>
      <c r="R5" s="30" t="s">
        <v>213</v>
      </c>
      <c r="S5" s="30" t="s">
        <v>159</v>
      </c>
      <c r="T5" s="30" t="s">
        <v>214</v>
      </c>
      <c r="U5" s="30" t="s">
        <v>215</v>
      </c>
    </row>
    <row r="6" customFormat="false" ht="15" hidden="false" customHeight="false" outlineLevel="0" collapsed="false">
      <c r="B6" s="13" t="s">
        <v>216</v>
      </c>
      <c r="C6" s="13" t="s">
        <v>217</v>
      </c>
      <c r="D6" s="19" t="n">
        <v>625</v>
      </c>
      <c r="E6" s="23" t="n">
        <v>0.2233</v>
      </c>
      <c r="F6" s="19" t="n">
        <v>72</v>
      </c>
      <c r="G6" s="19" t="n">
        <v>10</v>
      </c>
      <c r="H6" s="14" t="n">
        <v>21820</v>
      </c>
      <c r="I6" s="14" t="n">
        <v>20226.03</v>
      </c>
      <c r="J6" s="24" t="n">
        <v>1.183</v>
      </c>
      <c r="K6" s="19" t="n">
        <v>0</v>
      </c>
      <c r="L6" s="13" t="str">
        <f aca="false">IF(D6&gt;=Inputs!$C$14,"Near-prime","Non-prime")</f>
        <v>Near-prime</v>
      </c>
      <c r="M6" s="19" t="n">
        <f aca="false">IF(K6&lt;=Inputs!$C$19,1,0)</f>
        <v>1</v>
      </c>
      <c r="N6" s="19" t="n">
        <f aca="false">IF(F6&lt;=Inputs!$C$20,1,0)</f>
        <v>1</v>
      </c>
      <c r="O6" s="19" t="n">
        <f aca="false">IF(J6&lt;=Inputs!$C$21,1,0)</f>
        <v>1</v>
      </c>
      <c r="P6" s="19" t="n">
        <f aca="false">IF(D6&gt;=Inputs!$C$22,1,0)</f>
        <v>1</v>
      </c>
      <c r="Q6" s="19" t="n">
        <f aca="false">IF(I6&lt;=Inputs!$C$23,1,0)</f>
        <v>1</v>
      </c>
      <c r="R6" s="19" t="n">
        <f aca="false">M6*N6*O6*P6*Q6</f>
        <v>1</v>
      </c>
      <c r="S6" s="14" t="n">
        <f aca="false">I6*R6</f>
        <v>20226.03</v>
      </c>
      <c r="T6" s="19" t="n">
        <f aca="false">IF(F6&gt;72,1,0)</f>
        <v>0</v>
      </c>
      <c r="U6" s="19" t="n">
        <f aca="false">IF(J6&gt;1.25,1,0)</f>
        <v>0</v>
      </c>
    </row>
    <row r="7" customFormat="false" ht="15" hidden="false" customHeight="false" outlineLevel="0" collapsed="false">
      <c r="B7" s="13" t="s">
        <v>218</v>
      </c>
      <c r="C7" s="13" t="s">
        <v>219</v>
      </c>
      <c r="D7" s="19" t="n">
        <v>621</v>
      </c>
      <c r="E7" s="23" t="n">
        <v>0.2132</v>
      </c>
      <c r="F7" s="19" t="n">
        <v>60</v>
      </c>
      <c r="G7" s="19" t="n">
        <v>10</v>
      </c>
      <c r="H7" s="14" t="n">
        <v>17700</v>
      </c>
      <c r="I7" s="14" t="n">
        <v>15883.82</v>
      </c>
      <c r="J7" s="24" t="n">
        <v>1.04</v>
      </c>
      <c r="K7" s="19" t="n">
        <v>0</v>
      </c>
      <c r="L7" s="13" t="str">
        <f aca="false">IF(D7&gt;=Inputs!$C$14,"Near-prime","Non-prime")</f>
        <v>Near-prime</v>
      </c>
      <c r="M7" s="19" t="n">
        <f aca="false">IF(K7&lt;=Inputs!$C$19,1,0)</f>
        <v>1</v>
      </c>
      <c r="N7" s="19" t="n">
        <f aca="false">IF(F7&lt;=Inputs!$C$20,1,0)</f>
        <v>1</v>
      </c>
      <c r="O7" s="19" t="n">
        <f aca="false">IF(J7&lt;=Inputs!$C$21,1,0)</f>
        <v>1</v>
      </c>
      <c r="P7" s="19" t="n">
        <f aca="false">IF(D7&gt;=Inputs!$C$22,1,0)</f>
        <v>1</v>
      </c>
      <c r="Q7" s="19" t="n">
        <f aca="false">IF(I7&lt;=Inputs!$C$23,1,0)</f>
        <v>1</v>
      </c>
      <c r="R7" s="19" t="n">
        <f aca="false">M7*N7*O7*P7*Q7</f>
        <v>1</v>
      </c>
      <c r="S7" s="14" t="n">
        <f aca="false">I7*R7</f>
        <v>15883.82</v>
      </c>
      <c r="T7" s="19" t="n">
        <f aca="false">IF(F7&gt;72,1,0)</f>
        <v>0</v>
      </c>
      <c r="U7" s="19" t="n">
        <f aca="false">IF(J7&gt;1.25,1,0)</f>
        <v>0</v>
      </c>
    </row>
    <row r="8" customFormat="false" ht="15" hidden="false" customHeight="false" outlineLevel="0" collapsed="false">
      <c r="B8" s="13" t="s">
        <v>220</v>
      </c>
      <c r="C8" s="13" t="s">
        <v>221</v>
      </c>
      <c r="D8" s="19" t="n">
        <v>565</v>
      </c>
      <c r="E8" s="23" t="n">
        <v>0.2236</v>
      </c>
      <c r="F8" s="19" t="n">
        <v>72</v>
      </c>
      <c r="G8" s="19" t="n">
        <v>6</v>
      </c>
      <c r="H8" s="14" t="n">
        <v>25440</v>
      </c>
      <c r="I8" s="14" t="n">
        <v>24367.36</v>
      </c>
      <c r="J8" s="24" t="n">
        <v>1.106</v>
      </c>
      <c r="K8" s="19" t="n">
        <v>0</v>
      </c>
      <c r="L8" s="13" t="str">
        <f aca="false">IF(D8&gt;=Inputs!$C$14,"Near-prime","Non-prime")</f>
        <v>Non-prime</v>
      </c>
      <c r="M8" s="19" t="n">
        <f aca="false">IF(K8&lt;=Inputs!$C$19,1,0)</f>
        <v>1</v>
      </c>
      <c r="N8" s="19" t="n">
        <f aca="false">IF(F8&lt;=Inputs!$C$20,1,0)</f>
        <v>1</v>
      </c>
      <c r="O8" s="19" t="n">
        <f aca="false">IF(J8&lt;=Inputs!$C$21,1,0)</f>
        <v>1</v>
      </c>
      <c r="P8" s="19" t="n">
        <f aca="false">IF(D8&gt;=Inputs!$C$22,1,0)</f>
        <v>1</v>
      </c>
      <c r="Q8" s="19" t="n">
        <f aca="false">IF(I8&lt;=Inputs!$C$23,1,0)</f>
        <v>1</v>
      </c>
      <c r="R8" s="19" t="n">
        <f aca="false">M8*N8*O8*P8*Q8</f>
        <v>1</v>
      </c>
      <c r="S8" s="14" t="n">
        <f aca="false">I8*R8</f>
        <v>24367.36</v>
      </c>
      <c r="T8" s="19" t="n">
        <f aca="false">IF(F8&gt;72,1,0)</f>
        <v>0</v>
      </c>
      <c r="U8" s="19" t="n">
        <f aca="false">IF(J8&gt;1.25,1,0)</f>
        <v>0</v>
      </c>
    </row>
    <row r="9" customFormat="false" ht="15" hidden="false" customHeight="false" outlineLevel="0" collapsed="false">
      <c r="B9" s="13" t="s">
        <v>222</v>
      </c>
      <c r="C9" s="13" t="s">
        <v>223</v>
      </c>
      <c r="D9" s="19" t="n">
        <v>626</v>
      </c>
      <c r="E9" s="23" t="n">
        <v>0.2109</v>
      </c>
      <c r="F9" s="19" t="n">
        <v>72</v>
      </c>
      <c r="G9" s="19" t="n">
        <v>7</v>
      </c>
      <c r="H9" s="14" t="n">
        <v>37380</v>
      </c>
      <c r="I9" s="14" t="n">
        <v>35445.12</v>
      </c>
      <c r="J9" s="24" t="n">
        <v>0.926</v>
      </c>
      <c r="K9" s="19" t="n">
        <v>15</v>
      </c>
      <c r="L9" s="13" t="str">
        <f aca="false">IF(D9&gt;=Inputs!$C$14,"Near-prime","Non-prime")</f>
        <v>Near-prime</v>
      </c>
      <c r="M9" s="19" t="n">
        <f aca="false">IF(K9&lt;=Inputs!$C$19,1,0)</f>
        <v>1</v>
      </c>
      <c r="N9" s="19" t="n">
        <f aca="false">IF(F9&lt;=Inputs!$C$20,1,0)</f>
        <v>1</v>
      </c>
      <c r="O9" s="19" t="n">
        <f aca="false">IF(J9&lt;=Inputs!$C$21,1,0)</f>
        <v>1</v>
      </c>
      <c r="P9" s="19" t="n">
        <f aca="false">IF(D9&gt;=Inputs!$C$22,1,0)</f>
        <v>1</v>
      </c>
      <c r="Q9" s="19" t="n">
        <f aca="false">IF(I9&lt;=Inputs!$C$23,1,0)</f>
        <v>1</v>
      </c>
      <c r="R9" s="19" t="n">
        <f aca="false">M9*N9*O9*P9*Q9</f>
        <v>1</v>
      </c>
      <c r="S9" s="14" t="n">
        <f aca="false">I9*R9</f>
        <v>35445.12</v>
      </c>
      <c r="T9" s="19" t="n">
        <f aca="false">IF(F9&gt;72,1,0)</f>
        <v>0</v>
      </c>
      <c r="U9" s="19" t="n">
        <f aca="false">IF(J9&gt;1.25,1,0)</f>
        <v>0</v>
      </c>
    </row>
    <row r="10" customFormat="false" ht="15" hidden="false" customHeight="false" outlineLevel="0" collapsed="false">
      <c r="B10" s="13" t="s">
        <v>224</v>
      </c>
      <c r="C10" s="13" t="s">
        <v>223</v>
      </c>
      <c r="D10" s="19" t="n">
        <v>667</v>
      </c>
      <c r="E10" s="23" t="n">
        <v>0.2182</v>
      </c>
      <c r="F10" s="19" t="n">
        <v>72</v>
      </c>
      <c r="G10" s="19" t="n">
        <v>4</v>
      </c>
      <c r="H10" s="14" t="n">
        <v>22800</v>
      </c>
      <c r="I10" s="14" t="n">
        <v>22159.34</v>
      </c>
      <c r="J10" s="24" t="n">
        <v>1.196</v>
      </c>
      <c r="K10" s="19" t="n">
        <v>0</v>
      </c>
      <c r="L10" s="13" t="str">
        <f aca="false">IF(D10&gt;=Inputs!$C$14,"Near-prime","Non-prime")</f>
        <v>Near-prime</v>
      </c>
      <c r="M10" s="19" t="n">
        <f aca="false">IF(K10&lt;=Inputs!$C$19,1,0)</f>
        <v>1</v>
      </c>
      <c r="N10" s="19" t="n">
        <f aca="false">IF(F10&lt;=Inputs!$C$20,1,0)</f>
        <v>1</v>
      </c>
      <c r="O10" s="19" t="n">
        <f aca="false">IF(J10&lt;=Inputs!$C$21,1,0)</f>
        <v>1</v>
      </c>
      <c r="P10" s="19" t="n">
        <f aca="false">IF(D10&gt;=Inputs!$C$22,1,0)</f>
        <v>1</v>
      </c>
      <c r="Q10" s="19" t="n">
        <f aca="false">IF(I10&lt;=Inputs!$C$23,1,0)</f>
        <v>1</v>
      </c>
      <c r="R10" s="19" t="n">
        <f aca="false">M10*N10*O10*P10*Q10</f>
        <v>1</v>
      </c>
      <c r="S10" s="14" t="n">
        <f aca="false">I10*R10</f>
        <v>22159.34</v>
      </c>
      <c r="T10" s="19" t="n">
        <f aca="false">IF(F10&gt;72,1,0)</f>
        <v>0</v>
      </c>
      <c r="U10" s="19" t="n">
        <f aca="false">IF(J10&gt;1.25,1,0)</f>
        <v>0</v>
      </c>
    </row>
    <row r="11" customFormat="false" ht="15" hidden="false" customHeight="false" outlineLevel="0" collapsed="false">
      <c r="B11" s="13" t="s">
        <v>225</v>
      </c>
      <c r="C11" s="13" t="s">
        <v>226</v>
      </c>
      <c r="D11" s="19" t="n">
        <v>585</v>
      </c>
      <c r="E11" s="23" t="n">
        <v>0.2062</v>
      </c>
      <c r="F11" s="19" t="n">
        <v>48</v>
      </c>
      <c r="G11" s="19" t="n">
        <v>10</v>
      </c>
      <c r="H11" s="14" t="n">
        <v>36830</v>
      </c>
      <c r="I11" s="14" t="n">
        <v>31424.14</v>
      </c>
      <c r="J11" s="24" t="n">
        <v>1.085</v>
      </c>
      <c r="K11" s="19" t="n">
        <v>0</v>
      </c>
      <c r="L11" s="13" t="str">
        <f aca="false">IF(D11&gt;=Inputs!$C$14,"Near-prime","Non-prime")</f>
        <v>Non-prime</v>
      </c>
      <c r="M11" s="19" t="n">
        <f aca="false">IF(K11&lt;=Inputs!$C$19,1,0)</f>
        <v>1</v>
      </c>
      <c r="N11" s="19" t="n">
        <f aca="false">IF(F11&lt;=Inputs!$C$20,1,0)</f>
        <v>1</v>
      </c>
      <c r="O11" s="19" t="n">
        <f aca="false">IF(J11&lt;=Inputs!$C$21,1,0)</f>
        <v>1</v>
      </c>
      <c r="P11" s="19" t="n">
        <f aca="false">IF(D11&gt;=Inputs!$C$22,1,0)</f>
        <v>1</v>
      </c>
      <c r="Q11" s="19" t="n">
        <f aca="false">IF(I11&lt;=Inputs!$C$23,1,0)</f>
        <v>1</v>
      </c>
      <c r="R11" s="19" t="n">
        <f aca="false">M11*N11*O11*P11*Q11</f>
        <v>1</v>
      </c>
      <c r="S11" s="14" t="n">
        <f aca="false">I11*R11</f>
        <v>31424.14</v>
      </c>
      <c r="T11" s="19" t="n">
        <f aca="false">IF(F11&gt;72,1,0)</f>
        <v>0</v>
      </c>
      <c r="U11" s="19" t="n">
        <f aca="false">IF(J11&gt;1.25,1,0)</f>
        <v>0</v>
      </c>
    </row>
    <row r="12" customFormat="false" ht="15" hidden="false" customHeight="false" outlineLevel="0" collapsed="false">
      <c r="B12" s="13" t="s">
        <v>227</v>
      </c>
      <c r="C12" s="13" t="s">
        <v>228</v>
      </c>
      <c r="D12" s="19" t="n">
        <v>658</v>
      </c>
      <c r="E12" s="23" t="n">
        <v>0.2086</v>
      </c>
      <c r="F12" s="19" t="n">
        <v>72</v>
      </c>
      <c r="G12" s="19" t="n">
        <v>2</v>
      </c>
      <c r="H12" s="14" t="n">
        <v>17590</v>
      </c>
      <c r="I12" s="14" t="n">
        <v>17339.09</v>
      </c>
      <c r="J12" s="24" t="n">
        <v>1.066</v>
      </c>
      <c r="K12" s="19" t="n">
        <v>0</v>
      </c>
      <c r="L12" s="13" t="str">
        <f aca="false">IF(D12&gt;=Inputs!$C$14,"Near-prime","Non-prime")</f>
        <v>Near-prime</v>
      </c>
      <c r="M12" s="19" t="n">
        <f aca="false">IF(K12&lt;=Inputs!$C$19,1,0)</f>
        <v>1</v>
      </c>
      <c r="N12" s="19" t="n">
        <f aca="false">IF(F12&lt;=Inputs!$C$20,1,0)</f>
        <v>1</v>
      </c>
      <c r="O12" s="19" t="n">
        <f aca="false">IF(J12&lt;=Inputs!$C$21,1,0)</f>
        <v>1</v>
      </c>
      <c r="P12" s="19" t="n">
        <f aca="false">IF(D12&gt;=Inputs!$C$22,1,0)</f>
        <v>1</v>
      </c>
      <c r="Q12" s="19" t="n">
        <f aca="false">IF(I12&lt;=Inputs!$C$23,1,0)</f>
        <v>1</v>
      </c>
      <c r="R12" s="19" t="n">
        <f aca="false">M12*N12*O12*P12*Q12</f>
        <v>1</v>
      </c>
      <c r="S12" s="14" t="n">
        <f aca="false">I12*R12</f>
        <v>17339.09</v>
      </c>
      <c r="T12" s="19" t="n">
        <f aca="false">IF(F12&gt;72,1,0)</f>
        <v>0</v>
      </c>
      <c r="U12" s="19" t="n">
        <f aca="false">IF(J12&gt;1.25,1,0)</f>
        <v>0</v>
      </c>
    </row>
    <row r="13" customFormat="false" ht="15" hidden="false" customHeight="false" outlineLevel="0" collapsed="false">
      <c r="B13" s="13" t="s">
        <v>229</v>
      </c>
      <c r="C13" s="13" t="s">
        <v>217</v>
      </c>
      <c r="D13" s="19" t="n">
        <v>539</v>
      </c>
      <c r="E13" s="23" t="n">
        <v>0.2599</v>
      </c>
      <c r="F13" s="19" t="n">
        <v>60</v>
      </c>
      <c r="G13" s="19" t="n">
        <v>0</v>
      </c>
      <c r="H13" s="14" t="n">
        <v>25610</v>
      </c>
      <c r="I13" s="14" t="n">
        <v>25610</v>
      </c>
      <c r="J13" s="24" t="n">
        <v>1.296</v>
      </c>
      <c r="K13" s="19" t="n">
        <v>0</v>
      </c>
      <c r="L13" s="13" t="str">
        <f aca="false">IF(D13&gt;=Inputs!$C$14,"Near-prime","Non-prime")</f>
        <v>Non-prime</v>
      </c>
      <c r="M13" s="19" t="n">
        <f aca="false">IF(K13&lt;=Inputs!$C$19,1,0)</f>
        <v>1</v>
      </c>
      <c r="N13" s="19" t="n">
        <f aca="false">IF(F13&lt;=Inputs!$C$20,1,0)</f>
        <v>1</v>
      </c>
      <c r="O13" s="19" t="n">
        <f aca="false">IF(J13&lt;=Inputs!$C$21,1,0)</f>
        <v>1</v>
      </c>
      <c r="P13" s="19" t="n">
        <f aca="false">IF(D13&gt;=Inputs!$C$22,1,0)</f>
        <v>0</v>
      </c>
      <c r="Q13" s="19" t="n">
        <f aca="false">IF(I13&lt;=Inputs!$C$23,1,0)</f>
        <v>1</v>
      </c>
      <c r="R13" s="19" t="n">
        <f aca="false">M13*N13*O13*P13*Q13</f>
        <v>0</v>
      </c>
      <c r="S13" s="14" t="n">
        <f aca="false">I13*R13</f>
        <v>0</v>
      </c>
      <c r="T13" s="19" t="n">
        <f aca="false">IF(F13&gt;72,1,0)</f>
        <v>0</v>
      </c>
      <c r="U13" s="19" t="n">
        <f aca="false">IF(J13&gt;1.25,1,0)</f>
        <v>1</v>
      </c>
    </row>
    <row r="14" customFormat="false" ht="15" hidden="false" customHeight="false" outlineLevel="0" collapsed="false">
      <c r="B14" s="13" t="s">
        <v>230</v>
      </c>
      <c r="C14" s="13" t="s">
        <v>219</v>
      </c>
      <c r="D14" s="19" t="n">
        <v>671</v>
      </c>
      <c r="E14" s="23" t="n">
        <v>0.2025</v>
      </c>
      <c r="F14" s="19" t="n">
        <v>60</v>
      </c>
      <c r="G14" s="19" t="n">
        <v>4</v>
      </c>
      <c r="H14" s="14" t="n">
        <v>29970</v>
      </c>
      <c r="I14" s="14" t="n">
        <v>28770.24</v>
      </c>
      <c r="J14" s="24" t="n">
        <v>1.172</v>
      </c>
      <c r="K14" s="19" t="n">
        <v>0</v>
      </c>
      <c r="L14" s="13" t="str">
        <f aca="false">IF(D14&gt;=Inputs!$C$14,"Near-prime","Non-prime")</f>
        <v>Near-prime</v>
      </c>
      <c r="M14" s="19" t="n">
        <f aca="false">IF(K14&lt;=Inputs!$C$19,1,0)</f>
        <v>1</v>
      </c>
      <c r="N14" s="19" t="n">
        <f aca="false">IF(F14&lt;=Inputs!$C$20,1,0)</f>
        <v>1</v>
      </c>
      <c r="O14" s="19" t="n">
        <f aca="false">IF(J14&lt;=Inputs!$C$21,1,0)</f>
        <v>1</v>
      </c>
      <c r="P14" s="19" t="n">
        <f aca="false">IF(D14&gt;=Inputs!$C$22,1,0)</f>
        <v>1</v>
      </c>
      <c r="Q14" s="19" t="n">
        <f aca="false">IF(I14&lt;=Inputs!$C$23,1,0)</f>
        <v>1</v>
      </c>
      <c r="R14" s="19" t="n">
        <f aca="false">M14*N14*O14*P14*Q14</f>
        <v>1</v>
      </c>
      <c r="S14" s="14" t="n">
        <f aca="false">I14*R14</f>
        <v>28770.24</v>
      </c>
      <c r="T14" s="19" t="n">
        <f aca="false">IF(F14&gt;72,1,0)</f>
        <v>0</v>
      </c>
      <c r="U14" s="19" t="n">
        <f aca="false">IF(J14&gt;1.25,1,0)</f>
        <v>0</v>
      </c>
    </row>
    <row r="15" customFormat="false" ht="15" hidden="false" customHeight="false" outlineLevel="0" collapsed="false">
      <c r="B15" s="13" t="s">
        <v>231</v>
      </c>
      <c r="C15" s="13" t="s">
        <v>223</v>
      </c>
      <c r="D15" s="19" t="n">
        <v>615</v>
      </c>
      <c r="E15" s="23" t="n">
        <v>0.2245</v>
      </c>
      <c r="F15" s="19" t="n">
        <v>60</v>
      </c>
      <c r="G15" s="19" t="n">
        <v>3</v>
      </c>
      <c r="H15" s="14" t="n">
        <v>28490</v>
      </c>
      <c r="I15" s="14" t="n">
        <v>27691.74</v>
      </c>
      <c r="J15" s="24" t="n">
        <v>1.206</v>
      </c>
      <c r="K15" s="19" t="n">
        <v>0</v>
      </c>
      <c r="L15" s="13" t="str">
        <f aca="false">IF(D15&gt;=Inputs!$C$14,"Near-prime","Non-prime")</f>
        <v>Non-prime</v>
      </c>
      <c r="M15" s="19" t="n">
        <f aca="false">IF(K15&lt;=Inputs!$C$19,1,0)</f>
        <v>1</v>
      </c>
      <c r="N15" s="19" t="n">
        <f aca="false">IF(F15&lt;=Inputs!$C$20,1,0)</f>
        <v>1</v>
      </c>
      <c r="O15" s="19" t="n">
        <f aca="false">IF(J15&lt;=Inputs!$C$21,1,0)</f>
        <v>1</v>
      </c>
      <c r="P15" s="19" t="n">
        <f aca="false">IF(D15&gt;=Inputs!$C$22,1,0)</f>
        <v>1</v>
      </c>
      <c r="Q15" s="19" t="n">
        <f aca="false">IF(I15&lt;=Inputs!$C$23,1,0)</f>
        <v>1</v>
      </c>
      <c r="R15" s="19" t="n">
        <f aca="false">M15*N15*O15*P15*Q15</f>
        <v>1</v>
      </c>
      <c r="S15" s="14" t="n">
        <f aca="false">I15*R15</f>
        <v>27691.74</v>
      </c>
      <c r="T15" s="19" t="n">
        <f aca="false">IF(F15&gt;72,1,0)</f>
        <v>0</v>
      </c>
      <c r="U15" s="19" t="n">
        <f aca="false">IF(J15&gt;1.25,1,0)</f>
        <v>0</v>
      </c>
    </row>
    <row r="16" customFormat="false" ht="15" hidden="false" customHeight="false" outlineLevel="0" collapsed="false">
      <c r="B16" s="13" t="s">
        <v>232</v>
      </c>
      <c r="C16" s="13" t="s">
        <v>233</v>
      </c>
      <c r="D16" s="19" t="n">
        <v>575</v>
      </c>
      <c r="E16" s="23" t="n">
        <v>0.2151</v>
      </c>
      <c r="F16" s="19" t="n">
        <v>72</v>
      </c>
      <c r="G16" s="19" t="n">
        <v>5</v>
      </c>
      <c r="H16" s="14" t="n">
        <v>22320</v>
      </c>
      <c r="I16" s="14" t="n">
        <v>21520.57</v>
      </c>
      <c r="J16" s="24" t="n">
        <v>1.065</v>
      </c>
      <c r="K16" s="19" t="n">
        <v>15</v>
      </c>
      <c r="L16" s="13" t="str">
        <f aca="false">IF(D16&gt;=Inputs!$C$14,"Near-prime","Non-prime")</f>
        <v>Non-prime</v>
      </c>
      <c r="M16" s="19" t="n">
        <f aca="false">IF(K16&lt;=Inputs!$C$19,1,0)</f>
        <v>1</v>
      </c>
      <c r="N16" s="19" t="n">
        <f aca="false">IF(F16&lt;=Inputs!$C$20,1,0)</f>
        <v>1</v>
      </c>
      <c r="O16" s="19" t="n">
        <f aca="false">IF(J16&lt;=Inputs!$C$21,1,0)</f>
        <v>1</v>
      </c>
      <c r="P16" s="19" t="n">
        <f aca="false">IF(D16&gt;=Inputs!$C$22,1,0)</f>
        <v>1</v>
      </c>
      <c r="Q16" s="19" t="n">
        <f aca="false">IF(I16&lt;=Inputs!$C$23,1,0)</f>
        <v>1</v>
      </c>
      <c r="R16" s="19" t="n">
        <f aca="false">M16*N16*O16*P16*Q16</f>
        <v>1</v>
      </c>
      <c r="S16" s="14" t="n">
        <f aca="false">I16*R16</f>
        <v>21520.57</v>
      </c>
      <c r="T16" s="19" t="n">
        <f aca="false">IF(F16&gt;72,1,0)</f>
        <v>0</v>
      </c>
      <c r="U16" s="19" t="n">
        <f aca="false">IF(J16&gt;1.25,1,0)</f>
        <v>0</v>
      </c>
    </row>
    <row r="17" customFormat="false" ht="15" hidden="false" customHeight="false" outlineLevel="0" collapsed="false">
      <c r="B17" s="13" t="s">
        <v>234</v>
      </c>
      <c r="C17" s="13" t="s">
        <v>228</v>
      </c>
      <c r="D17" s="19" t="n">
        <v>702</v>
      </c>
      <c r="E17" s="23" t="n">
        <v>0.1892</v>
      </c>
      <c r="F17" s="19" t="n">
        <v>72</v>
      </c>
      <c r="G17" s="19" t="n">
        <v>1</v>
      </c>
      <c r="H17" s="14" t="n">
        <v>12080</v>
      </c>
      <c r="I17" s="14" t="n">
        <v>11988.62</v>
      </c>
      <c r="J17" s="24" t="n">
        <v>1.012</v>
      </c>
      <c r="K17" s="19" t="n">
        <v>0</v>
      </c>
      <c r="L17" s="13" t="str">
        <f aca="false">IF(D17&gt;=Inputs!$C$14,"Near-prime","Non-prime")</f>
        <v>Near-prime</v>
      </c>
      <c r="M17" s="19" t="n">
        <f aca="false">IF(K17&lt;=Inputs!$C$19,1,0)</f>
        <v>1</v>
      </c>
      <c r="N17" s="19" t="n">
        <f aca="false">IF(F17&lt;=Inputs!$C$20,1,0)</f>
        <v>1</v>
      </c>
      <c r="O17" s="19" t="n">
        <f aca="false">IF(J17&lt;=Inputs!$C$21,1,0)</f>
        <v>1</v>
      </c>
      <c r="P17" s="19" t="n">
        <f aca="false">IF(D17&gt;=Inputs!$C$22,1,0)</f>
        <v>1</v>
      </c>
      <c r="Q17" s="19" t="n">
        <f aca="false">IF(I17&lt;=Inputs!$C$23,1,0)</f>
        <v>1</v>
      </c>
      <c r="R17" s="19" t="n">
        <f aca="false">M17*N17*O17*P17*Q17</f>
        <v>1</v>
      </c>
      <c r="S17" s="14" t="n">
        <f aca="false">I17*R17</f>
        <v>11988.62</v>
      </c>
      <c r="T17" s="19" t="n">
        <f aca="false">IF(F17&gt;72,1,0)</f>
        <v>0</v>
      </c>
      <c r="U17" s="19" t="n">
        <f aca="false">IF(J17&gt;1.25,1,0)</f>
        <v>0</v>
      </c>
    </row>
    <row r="18" customFormat="false" ht="15" hidden="false" customHeight="false" outlineLevel="0" collapsed="false">
      <c r="B18" s="13" t="s">
        <v>235</v>
      </c>
      <c r="C18" s="13" t="s">
        <v>219</v>
      </c>
      <c r="D18" s="19" t="n">
        <v>669</v>
      </c>
      <c r="E18" s="23" t="n">
        <v>0.2037</v>
      </c>
      <c r="F18" s="19" t="n">
        <v>72</v>
      </c>
      <c r="G18" s="19" t="n">
        <v>9</v>
      </c>
      <c r="H18" s="14" t="n">
        <v>22560</v>
      </c>
      <c r="I18" s="14" t="n">
        <v>20996.39</v>
      </c>
      <c r="J18" s="24" t="n">
        <v>1.103</v>
      </c>
      <c r="K18" s="19" t="n">
        <v>75</v>
      </c>
      <c r="L18" s="13" t="str">
        <f aca="false">IF(D18&gt;=Inputs!$C$14,"Near-prime","Non-prime")</f>
        <v>Near-prime</v>
      </c>
      <c r="M18" s="19" t="n">
        <f aca="false">IF(K18&lt;=Inputs!$C$19,1,0)</f>
        <v>0</v>
      </c>
      <c r="N18" s="19" t="n">
        <f aca="false">IF(F18&lt;=Inputs!$C$20,1,0)</f>
        <v>1</v>
      </c>
      <c r="O18" s="19" t="n">
        <f aca="false">IF(J18&lt;=Inputs!$C$21,1,0)</f>
        <v>1</v>
      </c>
      <c r="P18" s="19" t="n">
        <f aca="false">IF(D18&gt;=Inputs!$C$22,1,0)</f>
        <v>1</v>
      </c>
      <c r="Q18" s="19" t="n">
        <f aca="false">IF(I18&lt;=Inputs!$C$23,1,0)</f>
        <v>1</v>
      </c>
      <c r="R18" s="19" t="n">
        <f aca="false">M18*N18*O18*P18*Q18</f>
        <v>0</v>
      </c>
      <c r="S18" s="14" t="n">
        <f aca="false">I18*R18</f>
        <v>0</v>
      </c>
      <c r="T18" s="19" t="n">
        <f aca="false">IF(F18&gt;72,1,0)</f>
        <v>0</v>
      </c>
      <c r="U18" s="19" t="n">
        <f aca="false">IF(J18&gt;1.25,1,0)</f>
        <v>0</v>
      </c>
    </row>
    <row r="19" customFormat="false" ht="15" hidden="false" customHeight="false" outlineLevel="0" collapsed="false">
      <c r="B19" s="13" t="s">
        <v>236</v>
      </c>
      <c r="C19" s="13" t="s">
        <v>237</v>
      </c>
      <c r="D19" s="19" t="n">
        <v>694</v>
      </c>
      <c r="E19" s="23" t="n">
        <v>0.1963</v>
      </c>
      <c r="F19" s="19" t="n">
        <v>75</v>
      </c>
      <c r="G19" s="19" t="n">
        <v>7</v>
      </c>
      <c r="H19" s="14" t="n">
        <v>32580</v>
      </c>
      <c r="I19" s="14" t="n">
        <v>30931.26</v>
      </c>
      <c r="J19" s="24" t="n">
        <v>1.128</v>
      </c>
      <c r="K19" s="19" t="n">
        <v>0</v>
      </c>
      <c r="L19" s="13" t="str">
        <f aca="false">IF(D19&gt;=Inputs!$C$14,"Near-prime","Non-prime")</f>
        <v>Near-prime</v>
      </c>
      <c r="M19" s="19" t="n">
        <f aca="false">IF(K19&lt;=Inputs!$C$19,1,0)</f>
        <v>1</v>
      </c>
      <c r="N19" s="19" t="n">
        <f aca="false">IF(F19&lt;=Inputs!$C$20,1,0)</f>
        <v>1</v>
      </c>
      <c r="O19" s="19" t="n">
        <f aca="false">IF(J19&lt;=Inputs!$C$21,1,0)</f>
        <v>1</v>
      </c>
      <c r="P19" s="19" t="n">
        <f aca="false">IF(D19&gt;=Inputs!$C$22,1,0)</f>
        <v>1</v>
      </c>
      <c r="Q19" s="19" t="n">
        <f aca="false">IF(I19&lt;=Inputs!$C$23,1,0)</f>
        <v>1</v>
      </c>
      <c r="R19" s="19" t="n">
        <f aca="false">M19*N19*O19*P19*Q19</f>
        <v>1</v>
      </c>
      <c r="S19" s="14" t="n">
        <f aca="false">I19*R19</f>
        <v>30931.26</v>
      </c>
      <c r="T19" s="19" t="n">
        <f aca="false">IF(F19&gt;72,1,0)</f>
        <v>1</v>
      </c>
      <c r="U19" s="19" t="n">
        <f aca="false">IF(J19&gt;1.25,1,0)</f>
        <v>0</v>
      </c>
    </row>
    <row r="20" customFormat="false" ht="15" hidden="false" customHeight="false" outlineLevel="0" collapsed="false">
      <c r="B20" s="13" t="s">
        <v>238</v>
      </c>
      <c r="C20" s="13" t="s">
        <v>221</v>
      </c>
      <c r="D20" s="19" t="n">
        <v>661</v>
      </c>
      <c r="E20" s="23" t="n">
        <v>0.1931</v>
      </c>
      <c r="F20" s="19" t="n">
        <v>66</v>
      </c>
      <c r="G20" s="19" t="n">
        <v>10</v>
      </c>
      <c r="H20" s="14" t="n">
        <v>29710</v>
      </c>
      <c r="I20" s="14" t="n">
        <v>26957.08</v>
      </c>
      <c r="J20" s="24" t="n">
        <v>1.098</v>
      </c>
      <c r="K20" s="19" t="n">
        <v>0</v>
      </c>
      <c r="L20" s="13" t="str">
        <f aca="false">IF(D20&gt;=Inputs!$C$14,"Near-prime","Non-prime")</f>
        <v>Near-prime</v>
      </c>
      <c r="M20" s="19" t="n">
        <f aca="false">IF(K20&lt;=Inputs!$C$19,1,0)</f>
        <v>1</v>
      </c>
      <c r="N20" s="19" t="n">
        <f aca="false">IF(F20&lt;=Inputs!$C$20,1,0)</f>
        <v>1</v>
      </c>
      <c r="O20" s="19" t="n">
        <f aca="false">IF(J20&lt;=Inputs!$C$21,1,0)</f>
        <v>1</v>
      </c>
      <c r="P20" s="19" t="n">
        <f aca="false">IF(D20&gt;=Inputs!$C$22,1,0)</f>
        <v>1</v>
      </c>
      <c r="Q20" s="19" t="n">
        <f aca="false">IF(I20&lt;=Inputs!$C$23,1,0)</f>
        <v>1</v>
      </c>
      <c r="R20" s="19" t="n">
        <f aca="false">M20*N20*O20*P20*Q20</f>
        <v>1</v>
      </c>
      <c r="S20" s="14" t="n">
        <f aca="false">I20*R20</f>
        <v>26957.08</v>
      </c>
      <c r="T20" s="19" t="n">
        <f aca="false">IF(F20&gt;72,1,0)</f>
        <v>0</v>
      </c>
      <c r="U20" s="19" t="n">
        <f aca="false">IF(J20&gt;1.25,1,0)</f>
        <v>0</v>
      </c>
    </row>
    <row r="21" customFormat="false" ht="15" hidden="false" customHeight="false" outlineLevel="0" collapsed="false">
      <c r="B21" s="13" t="s">
        <v>239</v>
      </c>
      <c r="C21" s="13" t="s">
        <v>226</v>
      </c>
      <c r="D21" s="19" t="n">
        <v>662</v>
      </c>
      <c r="E21" s="23" t="n">
        <v>0.214</v>
      </c>
      <c r="F21" s="19" t="n">
        <v>60</v>
      </c>
      <c r="G21" s="19" t="n">
        <v>5</v>
      </c>
      <c r="H21" s="14" t="n">
        <v>22890</v>
      </c>
      <c r="I21" s="14" t="n">
        <v>21769.71</v>
      </c>
      <c r="J21" s="24" t="n">
        <v>1.117</v>
      </c>
      <c r="K21" s="19" t="n">
        <v>0</v>
      </c>
      <c r="L21" s="13" t="str">
        <f aca="false">IF(D21&gt;=Inputs!$C$14,"Near-prime","Non-prime")</f>
        <v>Near-prime</v>
      </c>
      <c r="M21" s="19" t="n">
        <f aca="false">IF(K21&lt;=Inputs!$C$19,1,0)</f>
        <v>1</v>
      </c>
      <c r="N21" s="19" t="n">
        <f aca="false">IF(F21&lt;=Inputs!$C$20,1,0)</f>
        <v>1</v>
      </c>
      <c r="O21" s="19" t="n">
        <f aca="false">IF(J21&lt;=Inputs!$C$21,1,0)</f>
        <v>1</v>
      </c>
      <c r="P21" s="19" t="n">
        <f aca="false">IF(D21&gt;=Inputs!$C$22,1,0)</f>
        <v>1</v>
      </c>
      <c r="Q21" s="19" t="n">
        <f aca="false">IF(I21&lt;=Inputs!$C$23,1,0)</f>
        <v>1</v>
      </c>
      <c r="R21" s="19" t="n">
        <f aca="false">M21*N21*O21*P21*Q21</f>
        <v>1</v>
      </c>
      <c r="S21" s="14" t="n">
        <f aca="false">I21*R21</f>
        <v>21769.71</v>
      </c>
      <c r="T21" s="19" t="n">
        <f aca="false">IF(F21&gt;72,1,0)</f>
        <v>0</v>
      </c>
      <c r="U21" s="19" t="n">
        <f aca="false">IF(J21&gt;1.25,1,0)</f>
        <v>0</v>
      </c>
    </row>
    <row r="22" customFormat="false" ht="15" hidden="false" customHeight="false" outlineLevel="0" collapsed="false">
      <c r="B22" s="13" t="s">
        <v>240</v>
      </c>
      <c r="C22" s="13" t="s">
        <v>221</v>
      </c>
      <c r="D22" s="19" t="n">
        <v>624</v>
      </c>
      <c r="E22" s="23" t="n">
        <v>0.2072</v>
      </c>
      <c r="F22" s="19" t="n">
        <v>60</v>
      </c>
      <c r="G22" s="19" t="n">
        <v>2</v>
      </c>
      <c r="H22" s="14" t="n">
        <v>38330</v>
      </c>
      <c r="I22" s="14" t="n">
        <v>37585.44</v>
      </c>
      <c r="J22" s="24" t="n">
        <v>1.165</v>
      </c>
      <c r="K22" s="19" t="n">
        <v>0</v>
      </c>
      <c r="L22" s="13" t="str">
        <f aca="false">IF(D22&gt;=Inputs!$C$14,"Near-prime","Non-prime")</f>
        <v>Near-prime</v>
      </c>
      <c r="M22" s="19" t="n">
        <f aca="false">IF(K22&lt;=Inputs!$C$19,1,0)</f>
        <v>1</v>
      </c>
      <c r="N22" s="19" t="n">
        <f aca="false">IF(F22&lt;=Inputs!$C$20,1,0)</f>
        <v>1</v>
      </c>
      <c r="O22" s="19" t="n">
        <f aca="false">IF(J22&lt;=Inputs!$C$21,1,0)</f>
        <v>1</v>
      </c>
      <c r="P22" s="19" t="n">
        <f aca="false">IF(D22&gt;=Inputs!$C$22,1,0)</f>
        <v>1</v>
      </c>
      <c r="Q22" s="19" t="n">
        <f aca="false">IF(I22&lt;=Inputs!$C$23,1,0)</f>
        <v>1</v>
      </c>
      <c r="R22" s="19" t="n">
        <f aca="false">M22*N22*O22*P22*Q22</f>
        <v>1</v>
      </c>
      <c r="S22" s="14" t="n">
        <f aca="false">I22*R22</f>
        <v>37585.44</v>
      </c>
      <c r="T22" s="19" t="n">
        <f aca="false">IF(F22&gt;72,1,0)</f>
        <v>0</v>
      </c>
      <c r="U22" s="19" t="n">
        <f aca="false">IF(J22&gt;1.25,1,0)</f>
        <v>0</v>
      </c>
    </row>
    <row r="23" customFormat="false" ht="15" hidden="false" customHeight="false" outlineLevel="0" collapsed="false">
      <c r="B23" s="13" t="s">
        <v>241</v>
      </c>
      <c r="C23" s="13" t="s">
        <v>223</v>
      </c>
      <c r="D23" s="19" t="n">
        <v>666</v>
      </c>
      <c r="E23" s="23" t="n">
        <v>0.2121</v>
      </c>
      <c r="F23" s="19" t="n">
        <v>60</v>
      </c>
      <c r="G23" s="19" t="n">
        <v>5</v>
      </c>
      <c r="H23" s="14" t="n">
        <v>16320</v>
      </c>
      <c r="I23" s="14" t="n">
        <v>15517.19</v>
      </c>
      <c r="J23" s="24" t="n">
        <v>1.261</v>
      </c>
      <c r="K23" s="19" t="n">
        <v>100</v>
      </c>
      <c r="L23" s="13" t="str">
        <f aca="false">IF(D23&gt;=Inputs!$C$14,"Near-prime","Non-prime")</f>
        <v>Near-prime</v>
      </c>
      <c r="M23" s="19" t="n">
        <f aca="false">IF(K23&lt;=Inputs!$C$19,1,0)</f>
        <v>0</v>
      </c>
      <c r="N23" s="19" t="n">
        <f aca="false">IF(F23&lt;=Inputs!$C$20,1,0)</f>
        <v>1</v>
      </c>
      <c r="O23" s="19" t="n">
        <f aca="false">IF(J23&lt;=Inputs!$C$21,1,0)</f>
        <v>1</v>
      </c>
      <c r="P23" s="19" t="n">
        <f aca="false">IF(D23&gt;=Inputs!$C$22,1,0)</f>
        <v>1</v>
      </c>
      <c r="Q23" s="19" t="n">
        <f aca="false">IF(I23&lt;=Inputs!$C$23,1,0)</f>
        <v>1</v>
      </c>
      <c r="R23" s="19" t="n">
        <f aca="false">M23*N23*O23*P23*Q23</f>
        <v>0</v>
      </c>
      <c r="S23" s="14" t="n">
        <f aca="false">I23*R23</f>
        <v>0</v>
      </c>
      <c r="T23" s="19" t="n">
        <f aca="false">IF(F23&gt;72,1,0)</f>
        <v>0</v>
      </c>
      <c r="U23" s="19" t="n">
        <f aca="false">IF(J23&gt;1.25,1,0)</f>
        <v>1</v>
      </c>
    </row>
    <row r="24" customFormat="false" ht="15" hidden="false" customHeight="false" outlineLevel="0" collapsed="false">
      <c r="B24" s="13" t="s">
        <v>242</v>
      </c>
      <c r="C24" s="13" t="s">
        <v>223</v>
      </c>
      <c r="D24" s="19" t="n">
        <v>640</v>
      </c>
      <c r="E24" s="23" t="n">
        <v>0.2082</v>
      </c>
      <c r="F24" s="19" t="n">
        <v>72</v>
      </c>
      <c r="G24" s="19" t="n">
        <v>0</v>
      </c>
      <c r="H24" s="14" t="n">
        <v>27550</v>
      </c>
      <c r="I24" s="14" t="n">
        <v>27550</v>
      </c>
      <c r="J24" s="24" t="n">
        <v>0.913</v>
      </c>
      <c r="K24" s="19" t="n">
        <v>0</v>
      </c>
      <c r="L24" s="13" t="str">
        <f aca="false">IF(D24&gt;=Inputs!$C$14,"Near-prime","Non-prime")</f>
        <v>Near-prime</v>
      </c>
      <c r="M24" s="19" t="n">
        <f aca="false">IF(K24&lt;=Inputs!$C$19,1,0)</f>
        <v>1</v>
      </c>
      <c r="N24" s="19" t="n">
        <f aca="false">IF(F24&lt;=Inputs!$C$20,1,0)</f>
        <v>1</v>
      </c>
      <c r="O24" s="19" t="n">
        <f aca="false">IF(J24&lt;=Inputs!$C$21,1,0)</f>
        <v>1</v>
      </c>
      <c r="P24" s="19" t="n">
        <f aca="false">IF(D24&gt;=Inputs!$C$22,1,0)</f>
        <v>1</v>
      </c>
      <c r="Q24" s="19" t="n">
        <f aca="false">IF(I24&lt;=Inputs!$C$23,1,0)</f>
        <v>1</v>
      </c>
      <c r="R24" s="19" t="n">
        <f aca="false">M24*N24*O24*P24*Q24</f>
        <v>1</v>
      </c>
      <c r="S24" s="14" t="n">
        <f aca="false">I24*R24</f>
        <v>27550</v>
      </c>
      <c r="T24" s="19" t="n">
        <f aca="false">IF(F24&gt;72,1,0)</f>
        <v>0</v>
      </c>
      <c r="U24" s="19" t="n">
        <f aca="false">IF(J24&gt;1.25,1,0)</f>
        <v>0</v>
      </c>
    </row>
    <row r="25" customFormat="false" ht="15" hidden="false" customHeight="false" outlineLevel="0" collapsed="false">
      <c r="B25" s="13" t="s">
        <v>243</v>
      </c>
      <c r="C25" s="13" t="s">
        <v>217</v>
      </c>
      <c r="D25" s="19" t="n">
        <v>611</v>
      </c>
      <c r="E25" s="23" t="n">
        <v>0.2321</v>
      </c>
      <c r="F25" s="19" t="n">
        <v>72</v>
      </c>
      <c r="G25" s="19" t="n">
        <v>3</v>
      </c>
      <c r="H25" s="14" t="n">
        <v>42590</v>
      </c>
      <c r="I25" s="14" t="n">
        <v>41742.33</v>
      </c>
      <c r="J25" s="24" t="n">
        <v>0.939</v>
      </c>
      <c r="K25" s="19" t="n">
        <v>0</v>
      </c>
      <c r="L25" s="13" t="str">
        <f aca="false">IF(D25&gt;=Inputs!$C$14,"Near-prime","Non-prime")</f>
        <v>Non-prime</v>
      </c>
      <c r="M25" s="19" t="n">
        <f aca="false">IF(K25&lt;=Inputs!$C$19,1,0)</f>
        <v>1</v>
      </c>
      <c r="N25" s="19" t="n">
        <f aca="false">IF(F25&lt;=Inputs!$C$20,1,0)</f>
        <v>1</v>
      </c>
      <c r="O25" s="19" t="n">
        <f aca="false">IF(J25&lt;=Inputs!$C$21,1,0)</f>
        <v>1</v>
      </c>
      <c r="P25" s="19" t="n">
        <f aca="false">IF(D25&gt;=Inputs!$C$22,1,0)</f>
        <v>1</v>
      </c>
      <c r="Q25" s="19" t="n">
        <f aca="false">IF(I25&lt;=Inputs!$C$23,1,0)</f>
        <v>1</v>
      </c>
      <c r="R25" s="19" t="n">
        <f aca="false">M25*N25*O25*P25*Q25</f>
        <v>1</v>
      </c>
      <c r="S25" s="14" t="n">
        <f aca="false">I25*R25</f>
        <v>41742.33</v>
      </c>
      <c r="T25" s="19" t="n">
        <f aca="false">IF(F25&gt;72,1,0)</f>
        <v>0</v>
      </c>
      <c r="U25" s="19" t="n">
        <f aca="false">IF(J25&gt;1.25,1,0)</f>
        <v>0</v>
      </c>
    </row>
    <row r="26" customFormat="false" ht="15" hidden="false" customHeight="false" outlineLevel="0" collapsed="false">
      <c r="B26" s="13" t="s">
        <v>244</v>
      </c>
      <c r="C26" s="13" t="s">
        <v>221</v>
      </c>
      <c r="D26" s="19" t="n">
        <v>635</v>
      </c>
      <c r="E26" s="23" t="n">
        <v>0.2085</v>
      </c>
      <c r="F26" s="19" t="n">
        <v>66</v>
      </c>
      <c r="G26" s="19" t="n">
        <v>2</v>
      </c>
      <c r="H26" s="14" t="n">
        <v>41390</v>
      </c>
      <c r="I26" s="14" t="n">
        <v>40704.72</v>
      </c>
      <c r="J26" s="24" t="n">
        <v>0.617</v>
      </c>
      <c r="K26" s="19" t="n">
        <v>0</v>
      </c>
      <c r="L26" s="13" t="str">
        <f aca="false">IF(D26&gt;=Inputs!$C$14,"Near-prime","Non-prime")</f>
        <v>Near-prime</v>
      </c>
      <c r="M26" s="19" t="n">
        <f aca="false">IF(K26&lt;=Inputs!$C$19,1,0)</f>
        <v>1</v>
      </c>
      <c r="N26" s="19" t="n">
        <f aca="false">IF(F26&lt;=Inputs!$C$20,1,0)</f>
        <v>1</v>
      </c>
      <c r="O26" s="19" t="n">
        <f aca="false">IF(J26&lt;=Inputs!$C$21,1,0)</f>
        <v>1</v>
      </c>
      <c r="P26" s="19" t="n">
        <f aca="false">IF(D26&gt;=Inputs!$C$22,1,0)</f>
        <v>1</v>
      </c>
      <c r="Q26" s="19" t="n">
        <f aca="false">IF(I26&lt;=Inputs!$C$23,1,0)</f>
        <v>1</v>
      </c>
      <c r="R26" s="19" t="n">
        <f aca="false">M26*N26*O26*P26*Q26</f>
        <v>1</v>
      </c>
      <c r="S26" s="14" t="n">
        <f aca="false">I26*R26</f>
        <v>40704.72</v>
      </c>
      <c r="T26" s="19" t="n">
        <f aca="false">IF(F26&gt;72,1,0)</f>
        <v>0</v>
      </c>
      <c r="U26" s="19" t="n">
        <f aca="false">IF(J26&gt;1.25,1,0)</f>
        <v>0</v>
      </c>
    </row>
    <row r="27" customFormat="false" ht="15" hidden="false" customHeight="false" outlineLevel="0" collapsed="false">
      <c r="B27" s="13" t="s">
        <v>245</v>
      </c>
      <c r="C27" s="13" t="s">
        <v>221</v>
      </c>
      <c r="D27" s="19" t="n">
        <v>578</v>
      </c>
      <c r="E27" s="23" t="n">
        <v>0.2128</v>
      </c>
      <c r="F27" s="19" t="n">
        <v>60</v>
      </c>
      <c r="G27" s="19" t="n">
        <v>9</v>
      </c>
      <c r="H27" s="14" t="n">
        <v>47520</v>
      </c>
      <c r="I27" s="14" t="n">
        <v>43166.8</v>
      </c>
      <c r="J27" s="24" t="n">
        <v>1.099</v>
      </c>
      <c r="K27" s="19" t="n">
        <v>0</v>
      </c>
      <c r="L27" s="13" t="str">
        <f aca="false">IF(D27&gt;=Inputs!$C$14,"Near-prime","Non-prime")</f>
        <v>Non-prime</v>
      </c>
      <c r="M27" s="19" t="n">
        <f aca="false">IF(K27&lt;=Inputs!$C$19,1,0)</f>
        <v>1</v>
      </c>
      <c r="N27" s="19" t="n">
        <f aca="false">IF(F27&lt;=Inputs!$C$20,1,0)</f>
        <v>1</v>
      </c>
      <c r="O27" s="19" t="n">
        <f aca="false">IF(J27&lt;=Inputs!$C$21,1,0)</f>
        <v>1</v>
      </c>
      <c r="P27" s="19" t="n">
        <f aca="false">IF(D27&gt;=Inputs!$C$22,1,0)</f>
        <v>1</v>
      </c>
      <c r="Q27" s="19" t="n">
        <f aca="false">IF(I27&lt;=Inputs!$C$23,1,0)</f>
        <v>1</v>
      </c>
      <c r="R27" s="19" t="n">
        <f aca="false">M27*N27*O27*P27*Q27</f>
        <v>1</v>
      </c>
      <c r="S27" s="14" t="n">
        <f aca="false">I27*R27</f>
        <v>43166.8</v>
      </c>
      <c r="T27" s="19" t="n">
        <f aca="false">IF(F27&gt;72,1,0)</f>
        <v>0</v>
      </c>
      <c r="U27" s="19" t="n">
        <f aca="false">IF(J27&gt;1.25,1,0)</f>
        <v>0</v>
      </c>
    </row>
    <row r="28" customFormat="false" ht="15" hidden="false" customHeight="false" outlineLevel="0" collapsed="false">
      <c r="B28" s="13" t="s">
        <v>246</v>
      </c>
      <c r="C28" s="13" t="s">
        <v>219</v>
      </c>
      <c r="D28" s="19" t="n">
        <v>643</v>
      </c>
      <c r="E28" s="23" t="n">
        <v>0.2222</v>
      </c>
      <c r="F28" s="19" t="n">
        <v>66</v>
      </c>
      <c r="G28" s="19" t="n">
        <v>2</v>
      </c>
      <c r="H28" s="14" t="n">
        <v>15400</v>
      </c>
      <c r="I28" s="14" t="n">
        <v>15155.75</v>
      </c>
      <c r="J28" s="24" t="n">
        <v>0.886</v>
      </c>
      <c r="K28" s="19" t="n">
        <v>0</v>
      </c>
      <c r="L28" s="13" t="str">
        <f aca="false">IF(D28&gt;=Inputs!$C$14,"Near-prime","Non-prime")</f>
        <v>Near-prime</v>
      </c>
      <c r="M28" s="19" t="n">
        <f aca="false">IF(K28&lt;=Inputs!$C$19,1,0)</f>
        <v>1</v>
      </c>
      <c r="N28" s="19" t="n">
        <f aca="false">IF(F28&lt;=Inputs!$C$20,1,0)</f>
        <v>1</v>
      </c>
      <c r="O28" s="19" t="n">
        <f aca="false">IF(J28&lt;=Inputs!$C$21,1,0)</f>
        <v>1</v>
      </c>
      <c r="P28" s="19" t="n">
        <f aca="false">IF(D28&gt;=Inputs!$C$22,1,0)</f>
        <v>1</v>
      </c>
      <c r="Q28" s="19" t="n">
        <f aca="false">IF(I28&lt;=Inputs!$C$23,1,0)</f>
        <v>1</v>
      </c>
      <c r="R28" s="19" t="n">
        <f aca="false">M28*N28*O28*P28*Q28</f>
        <v>1</v>
      </c>
      <c r="S28" s="14" t="n">
        <f aca="false">I28*R28</f>
        <v>15155.75</v>
      </c>
      <c r="T28" s="19" t="n">
        <f aca="false">IF(F28&gt;72,1,0)</f>
        <v>0</v>
      </c>
      <c r="U28" s="19" t="n">
        <f aca="false">IF(J28&gt;1.25,1,0)</f>
        <v>0</v>
      </c>
    </row>
    <row r="29" customFormat="false" ht="15" hidden="false" customHeight="false" outlineLevel="0" collapsed="false">
      <c r="B29" s="13" t="s">
        <v>247</v>
      </c>
      <c r="C29" s="13" t="s">
        <v>217</v>
      </c>
      <c r="D29" s="19" t="n">
        <v>667</v>
      </c>
      <c r="E29" s="23" t="n">
        <v>0.1868</v>
      </c>
      <c r="F29" s="19" t="n">
        <v>72</v>
      </c>
      <c r="G29" s="19" t="n">
        <v>5</v>
      </c>
      <c r="H29" s="14" t="n">
        <v>20630</v>
      </c>
      <c r="I29" s="14" t="n">
        <v>19818.37</v>
      </c>
      <c r="J29" s="24" t="n">
        <v>0.773</v>
      </c>
      <c r="K29" s="19" t="n">
        <v>0</v>
      </c>
      <c r="L29" s="13" t="str">
        <f aca="false">IF(D29&gt;=Inputs!$C$14,"Near-prime","Non-prime")</f>
        <v>Near-prime</v>
      </c>
      <c r="M29" s="19" t="n">
        <f aca="false">IF(K29&lt;=Inputs!$C$19,1,0)</f>
        <v>1</v>
      </c>
      <c r="N29" s="19" t="n">
        <f aca="false">IF(F29&lt;=Inputs!$C$20,1,0)</f>
        <v>1</v>
      </c>
      <c r="O29" s="19" t="n">
        <f aca="false">IF(J29&lt;=Inputs!$C$21,1,0)</f>
        <v>1</v>
      </c>
      <c r="P29" s="19" t="n">
        <f aca="false">IF(D29&gt;=Inputs!$C$22,1,0)</f>
        <v>1</v>
      </c>
      <c r="Q29" s="19" t="n">
        <f aca="false">IF(I29&lt;=Inputs!$C$23,1,0)</f>
        <v>1</v>
      </c>
      <c r="R29" s="19" t="n">
        <f aca="false">M29*N29*O29*P29*Q29</f>
        <v>1</v>
      </c>
      <c r="S29" s="14" t="n">
        <f aca="false">I29*R29</f>
        <v>19818.37</v>
      </c>
      <c r="T29" s="19" t="n">
        <f aca="false">IF(F29&gt;72,1,0)</f>
        <v>0</v>
      </c>
      <c r="U29" s="19" t="n">
        <f aca="false">IF(J29&gt;1.25,1,0)</f>
        <v>0</v>
      </c>
    </row>
    <row r="30" customFormat="false" ht="15" hidden="false" customHeight="false" outlineLevel="0" collapsed="false">
      <c r="B30" s="13" t="s">
        <v>248</v>
      </c>
      <c r="C30" s="13" t="s">
        <v>221</v>
      </c>
      <c r="D30" s="19" t="n">
        <v>651</v>
      </c>
      <c r="E30" s="23" t="n">
        <v>0.2024</v>
      </c>
      <c r="F30" s="19" t="n">
        <v>60</v>
      </c>
      <c r="G30" s="19" t="n">
        <v>8</v>
      </c>
      <c r="H30" s="14" t="n">
        <v>25130</v>
      </c>
      <c r="I30" s="14" t="n">
        <v>23047.83</v>
      </c>
      <c r="J30" s="24" t="n">
        <v>1.054</v>
      </c>
      <c r="K30" s="19" t="n">
        <v>0</v>
      </c>
      <c r="L30" s="13" t="str">
        <f aca="false">IF(D30&gt;=Inputs!$C$14,"Near-prime","Non-prime")</f>
        <v>Near-prime</v>
      </c>
      <c r="M30" s="19" t="n">
        <f aca="false">IF(K30&lt;=Inputs!$C$19,1,0)</f>
        <v>1</v>
      </c>
      <c r="N30" s="19" t="n">
        <f aca="false">IF(F30&lt;=Inputs!$C$20,1,0)</f>
        <v>1</v>
      </c>
      <c r="O30" s="19" t="n">
        <f aca="false">IF(J30&lt;=Inputs!$C$21,1,0)</f>
        <v>1</v>
      </c>
      <c r="P30" s="19" t="n">
        <f aca="false">IF(D30&gt;=Inputs!$C$22,1,0)</f>
        <v>1</v>
      </c>
      <c r="Q30" s="19" t="n">
        <f aca="false">IF(I30&lt;=Inputs!$C$23,1,0)</f>
        <v>1</v>
      </c>
      <c r="R30" s="19" t="n">
        <f aca="false">M30*N30*O30*P30*Q30</f>
        <v>1</v>
      </c>
      <c r="S30" s="14" t="n">
        <f aca="false">I30*R30</f>
        <v>23047.83</v>
      </c>
      <c r="T30" s="19" t="n">
        <f aca="false">IF(F30&gt;72,1,0)</f>
        <v>0</v>
      </c>
      <c r="U30" s="19" t="n">
        <f aca="false">IF(J30&gt;1.25,1,0)</f>
        <v>0</v>
      </c>
    </row>
    <row r="31" customFormat="false" ht="15" hidden="false" customHeight="false" outlineLevel="0" collapsed="false">
      <c r="B31" s="13" t="s">
        <v>249</v>
      </c>
      <c r="C31" s="13" t="s">
        <v>223</v>
      </c>
      <c r="D31" s="19" t="n">
        <v>674</v>
      </c>
      <c r="E31" s="23" t="n">
        <v>0.1982</v>
      </c>
      <c r="F31" s="19" t="n">
        <v>66</v>
      </c>
      <c r="G31" s="19" t="n">
        <v>0</v>
      </c>
      <c r="H31" s="14" t="n">
        <v>31630</v>
      </c>
      <c r="I31" s="14" t="n">
        <v>31630</v>
      </c>
      <c r="J31" s="24" t="n">
        <v>0.926</v>
      </c>
      <c r="K31" s="19" t="n">
        <v>0</v>
      </c>
      <c r="L31" s="13" t="str">
        <f aca="false">IF(D31&gt;=Inputs!$C$14,"Near-prime","Non-prime")</f>
        <v>Near-prime</v>
      </c>
      <c r="M31" s="19" t="n">
        <f aca="false">IF(K31&lt;=Inputs!$C$19,1,0)</f>
        <v>1</v>
      </c>
      <c r="N31" s="19" t="n">
        <f aca="false">IF(F31&lt;=Inputs!$C$20,1,0)</f>
        <v>1</v>
      </c>
      <c r="O31" s="19" t="n">
        <f aca="false">IF(J31&lt;=Inputs!$C$21,1,0)</f>
        <v>1</v>
      </c>
      <c r="P31" s="19" t="n">
        <f aca="false">IF(D31&gt;=Inputs!$C$22,1,0)</f>
        <v>1</v>
      </c>
      <c r="Q31" s="19" t="n">
        <f aca="false">IF(I31&lt;=Inputs!$C$23,1,0)</f>
        <v>1</v>
      </c>
      <c r="R31" s="19" t="n">
        <f aca="false">M31*N31*O31*P31*Q31</f>
        <v>1</v>
      </c>
      <c r="S31" s="14" t="n">
        <f aca="false">I31*R31</f>
        <v>31630</v>
      </c>
      <c r="T31" s="19" t="n">
        <f aca="false">IF(F31&gt;72,1,0)</f>
        <v>0</v>
      </c>
      <c r="U31" s="19" t="n">
        <f aca="false">IF(J31&gt;1.25,1,0)</f>
        <v>0</v>
      </c>
    </row>
    <row r="32" customFormat="false" ht="15" hidden="false" customHeight="false" outlineLevel="0" collapsed="false">
      <c r="B32" s="13" t="s">
        <v>250</v>
      </c>
      <c r="C32" s="13" t="s">
        <v>217</v>
      </c>
      <c r="D32" s="19" t="n">
        <v>628</v>
      </c>
      <c r="E32" s="23" t="n">
        <v>0.2243</v>
      </c>
      <c r="F32" s="19" t="n">
        <v>60</v>
      </c>
      <c r="G32" s="19" t="n">
        <v>2</v>
      </c>
      <c r="H32" s="14" t="n">
        <v>15650</v>
      </c>
      <c r="I32" s="14" t="n">
        <v>15360.22</v>
      </c>
      <c r="J32" s="24" t="n">
        <v>1.239</v>
      </c>
      <c r="K32" s="19" t="n">
        <v>0</v>
      </c>
      <c r="L32" s="13" t="str">
        <f aca="false">IF(D32&gt;=Inputs!$C$14,"Near-prime","Non-prime")</f>
        <v>Near-prime</v>
      </c>
      <c r="M32" s="19" t="n">
        <f aca="false">IF(K32&lt;=Inputs!$C$19,1,0)</f>
        <v>1</v>
      </c>
      <c r="N32" s="19" t="n">
        <f aca="false">IF(F32&lt;=Inputs!$C$20,1,0)</f>
        <v>1</v>
      </c>
      <c r="O32" s="19" t="n">
        <f aca="false">IF(J32&lt;=Inputs!$C$21,1,0)</f>
        <v>1</v>
      </c>
      <c r="P32" s="19" t="n">
        <f aca="false">IF(D32&gt;=Inputs!$C$22,1,0)</f>
        <v>1</v>
      </c>
      <c r="Q32" s="19" t="n">
        <f aca="false">IF(I32&lt;=Inputs!$C$23,1,0)</f>
        <v>1</v>
      </c>
      <c r="R32" s="19" t="n">
        <f aca="false">M32*N32*O32*P32*Q32</f>
        <v>1</v>
      </c>
      <c r="S32" s="14" t="n">
        <f aca="false">I32*R32</f>
        <v>15360.22</v>
      </c>
      <c r="T32" s="19" t="n">
        <f aca="false">IF(F32&gt;72,1,0)</f>
        <v>0</v>
      </c>
      <c r="U32" s="19" t="n">
        <f aca="false">IF(J32&gt;1.25,1,0)</f>
        <v>0</v>
      </c>
    </row>
    <row r="33" customFormat="false" ht="15" hidden="false" customHeight="false" outlineLevel="0" collapsed="false">
      <c r="B33" s="13" t="s">
        <v>251</v>
      </c>
      <c r="C33" s="13" t="s">
        <v>252</v>
      </c>
      <c r="D33" s="19" t="n">
        <v>646</v>
      </c>
      <c r="E33" s="23" t="n">
        <v>0.2134</v>
      </c>
      <c r="F33" s="19" t="n">
        <v>72</v>
      </c>
      <c r="G33" s="19" t="n">
        <v>1</v>
      </c>
      <c r="H33" s="14" t="n">
        <v>26370</v>
      </c>
      <c r="I33" s="14" t="n">
        <v>26186.66</v>
      </c>
      <c r="J33" s="24" t="n">
        <v>1.282</v>
      </c>
      <c r="K33" s="19" t="n">
        <v>0</v>
      </c>
      <c r="L33" s="13" t="str">
        <f aca="false">IF(D33&gt;=Inputs!$C$14,"Near-prime","Non-prime")</f>
        <v>Near-prime</v>
      </c>
      <c r="M33" s="19" t="n">
        <f aca="false">IF(K33&lt;=Inputs!$C$19,1,0)</f>
        <v>1</v>
      </c>
      <c r="N33" s="19" t="n">
        <f aca="false">IF(F33&lt;=Inputs!$C$20,1,0)</f>
        <v>1</v>
      </c>
      <c r="O33" s="19" t="n">
        <f aca="false">IF(J33&lt;=Inputs!$C$21,1,0)</f>
        <v>1</v>
      </c>
      <c r="P33" s="19" t="n">
        <f aca="false">IF(D33&gt;=Inputs!$C$22,1,0)</f>
        <v>1</v>
      </c>
      <c r="Q33" s="19" t="n">
        <f aca="false">IF(I33&lt;=Inputs!$C$23,1,0)</f>
        <v>1</v>
      </c>
      <c r="R33" s="19" t="n">
        <f aca="false">M33*N33*O33*P33*Q33</f>
        <v>1</v>
      </c>
      <c r="S33" s="14" t="n">
        <f aca="false">I33*R33</f>
        <v>26186.66</v>
      </c>
      <c r="T33" s="19" t="n">
        <f aca="false">IF(F33&gt;72,1,0)</f>
        <v>0</v>
      </c>
      <c r="U33" s="19" t="n">
        <f aca="false">IF(J33&gt;1.25,1,0)</f>
        <v>1</v>
      </c>
    </row>
    <row r="34" customFormat="false" ht="15" hidden="false" customHeight="false" outlineLevel="0" collapsed="false">
      <c r="B34" s="13" t="s">
        <v>253</v>
      </c>
      <c r="C34" s="13" t="s">
        <v>221</v>
      </c>
      <c r="D34" s="19" t="n">
        <v>646</v>
      </c>
      <c r="E34" s="23" t="n">
        <v>0.21</v>
      </c>
      <c r="F34" s="19" t="n">
        <v>66</v>
      </c>
      <c r="G34" s="19" t="n">
        <v>0</v>
      </c>
      <c r="H34" s="14" t="n">
        <v>17750</v>
      </c>
      <c r="I34" s="14" t="n">
        <v>17750</v>
      </c>
      <c r="J34" s="24" t="n">
        <v>1.183</v>
      </c>
      <c r="K34" s="19" t="n">
        <v>0</v>
      </c>
      <c r="L34" s="13" t="str">
        <f aca="false">IF(D34&gt;=Inputs!$C$14,"Near-prime","Non-prime")</f>
        <v>Near-prime</v>
      </c>
      <c r="M34" s="19" t="n">
        <f aca="false">IF(K34&lt;=Inputs!$C$19,1,0)</f>
        <v>1</v>
      </c>
      <c r="N34" s="19" t="n">
        <f aca="false">IF(F34&lt;=Inputs!$C$20,1,0)</f>
        <v>1</v>
      </c>
      <c r="O34" s="19" t="n">
        <f aca="false">IF(J34&lt;=Inputs!$C$21,1,0)</f>
        <v>1</v>
      </c>
      <c r="P34" s="19" t="n">
        <f aca="false">IF(D34&gt;=Inputs!$C$22,1,0)</f>
        <v>1</v>
      </c>
      <c r="Q34" s="19" t="n">
        <f aca="false">IF(I34&lt;=Inputs!$C$23,1,0)</f>
        <v>1</v>
      </c>
      <c r="R34" s="19" t="n">
        <f aca="false">M34*N34*O34*P34*Q34</f>
        <v>1</v>
      </c>
      <c r="S34" s="14" t="n">
        <f aca="false">I34*R34</f>
        <v>17750</v>
      </c>
      <c r="T34" s="19" t="n">
        <f aca="false">IF(F34&gt;72,1,0)</f>
        <v>0</v>
      </c>
      <c r="U34" s="19" t="n">
        <f aca="false">IF(J34&gt;1.25,1,0)</f>
        <v>0</v>
      </c>
    </row>
    <row r="35" customFormat="false" ht="15" hidden="false" customHeight="false" outlineLevel="0" collapsed="false">
      <c r="B35" s="13" t="s">
        <v>254</v>
      </c>
      <c r="C35" s="13" t="s">
        <v>223</v>
      </c>
      <c r="D35" s="19" t="n">
        <v>744</v>
      </c>
      <c r="E35" s="23" t="n">
        <v>0.2057</v>
      </c>
      <c r="F35" s="19" t="n">
        <v>66</v>
      </c>
      <c r="G35" s="19" t="n">
        <v>6</v>
      </c>
      <c r="H35" s="14" t="n">
        <v>22900</v>
      </c>
      <c r="I35" s="14" t="n">
        <v>21712.45</v>
      </c>
      <c r="J35" s="24" t="n">
        <v>1.013</v>
      </c>
      <c r="K35" s="19" t="n">
        <v>0</v>
      </c>
      <c r="L35" s="13" t="str">
        <f aca="false">IF(D35&gt;=Inputs!$C$14,"Near-prime","Non-prime")</f>
        <v>Near-prime</v>
      </c>
      <c r="M35" s="19" t="n">
        <f aca="false">IF(K35&lt;=Inputs!$C$19,1,0)</f>
        <v>1</v>
      </c>
      <c r="N35" s="19" t="n">
        <f aca="false">IF(F35&lt;=Inputs!$C$20,1,0)</f>
        <v>1</v>
      </c>
      <c r="O35" s="19" t="n">
        <f aca="false">IF(J35&lt;=Inputs!$C$21,1,0)</f>
        <v>1</v>
      </c>
      <c r="P35" s="19" t="n">
        <f aca="false">IF(D35&gt;=Inputs!$C$22,1,0)</f>
        <v>1</v>
      </c>
      <c r="Q35" s="19" t="n">
        <f aca="false">IF(I35&lt;=Inputs!$C$23,1,0)</f>
        <v>1</v>
      </c>
      <c r="R35" s="19" t="n">
        <f aca="false">M35*N35*O35*P35*Q35</f>
        <v>1</v>
      </c>
      <c r="S35" s="14" t="n">
        <f aca="false">I35*R35</f>
        <v>21712.45</v>
      </c>
      <c r="T35" s="19" t="n">
        <f aca="false">IF(F35&gt;72,1,0)</f>
        <v>0</v>
      </c>
      <c r="U35" s="19" t="n">
        <f aca="false">IF(J35&gt;1.25,1,0)</f>
        <v>0</v>
      </c>
    </row>
    <row r="36" customFormat="false" ht="15" hidden="false" customHeight="false" outlineLevel="0" collapsed="false">
      <c r="B36" s="13" t="s">
        <v>255</v>
      </c>
      <c r="C36" s="13" t="s">
        <v>217</v>
      </c>
      <c r="D36" s="19" t="n">
        <v>577</v>
      </c>
      <c r="E36" s="23" t="n">
        <v>0.2245</v>
      </c>
      <c r="F36" s="19" t="n">
        <v>66</v>
      </c>
      <c r="G36" s="19" t="n">
        <v>3</v>
      </c>
      <c r="H36" s="14" t="n">
        <v>13510</v>
      </c>
      <c r="I36" s="14" t="n">
        <v>13187.92</v>
      </c>
      <c r="J36" s="24" t="n">
        <v>0.856</v>
      </c>
      <c r="K36" s="19" t="n">
        <v>0</v>
      </c>
      <c r="L36" s="13" t="str">
        <f aca="false">IF(D36&gt;=Inputs!$C$14,"Near-prime","Non-prime")</f>
        <v>Non-prime</v>
      </c>
      <c r="M36" s="19" t="n">
        <f aca="false">IF(K36&lt;=Inputs!$C$19,1,0)</f>
        <v>1</v>
      </c>
      <c r="N36" s="19" t="n">
        <f aca="false">IF(F36&lt;=Inputs!$C$20,1,0)</f>
        <v>1</v>
      </c>
      <c r="O36" s="19" t="n">
        <f aca="false">IF(J36&lt;=Inputs!$C$21,1,0)</f>
        <v>1</v>
      </c>
      <c r="P36" s="19" t="n">
        <f aca="false">IF(D36&gt;=Inputs!$C$22,1,0)</f>
        <v>1</v>
      </c>
      <c r="Q36" s="19" t="n">
        <f aca="false">IF(I36&lt;=Inputs!$C$23,1,0)</f>
        <v>1</v>
      </c>
      <c r="R36" s="19" t="n">
        <f aca="false">M36*N36*O36*P36*Q36</f>
        <v>1</v>
      </c>
      <c r="S36" s="14" t="n">
        <f aca="false">I36*R36</f>
        <v>13187.92</v>
      </c>
      <c r="T36" s="19" t="n">
        <f aca="false">IF(F36&gt;72,1,0)</f>
        <v>0</v>
      </c>
      <c r="U36" s="19" t="n">
        <f aca="false">IF(J36&gt;1.25,1,0)</f>
        <v>0</v>
      </c>
    </row>
    <row r="37" customFormat="false" ht="15" hidden="false" customHeight="false" outlineLevel="0" collapsed="false">
      <c r="B37" s="13" t="s">
        <v>256</v>
      </c>
      <c r="C37" s="13" t="s">
        <v>257</v>
      </c>
      <c r="D37" s="19" t="n">
        <v>749</v>
      </c>
      <c r="E37" s="23" t="n">
        <v>0.1693</v>
      </c>
      <c r="F37" s="19" t="n">
        <v>60</v>
      </c>
      <c r="G37" s="19" t="n">
        <v>7</v>
      </c>
      <c r="H37" s="14" t="n">
        <v>29650</v>
      </c>
      <c r="I37" s="14" t="n">
        <v>27331.55</v>
      </c>
      <c r="J37" s="24" t="n">
        <v>0.935</v>
      </c>
      <c r="K37" s="19" t="n">
        <v>0</v>
      </c>
      <c r="L37" s="13" t="str">
        <f aca="false">IF(D37&gt;=Inputs!$C$14,"Near-prime","Non-prime")</f>
        <v>Near-prime</v>
      </c>
      <c r="M37" s="19" t="n">
        <f aca="false">IF(K37&lt;=Inputs!$C$19,1,0)</f>
        <v>1</v>
      </c>
      <c r="N37" s="19" t="n">
        <f aca="false">IF(F37&lt;=Inputs!$C$20,1,0)</f>
        <v>1</v>
      </c>
      <c r="O37" s="19" t="n">
        <f aca="false">IF(J37&lt;=Inputs!$C$21,1,0)</f>
        <v>1</v>
      </c>
      <c r="P37" s="19" t="n">
        <f aca="false">IF(D37&gt;=Inputs!$C$22,1,0)</f>
        <v>1</v>
      </c>
      <c r="Q37" s="19" t="n">
        <f aca="false">IF(I37&lt;=Inputs!$C$23,1,0)</f>
        <v>1</v>
      </c>
      <c r="R37" s="19" t="n">
        <f aca="false">M37*N37*O37*P37*Q37</f>
        <v>1</v>
      </c>
      <c r="S37" s="14" t="n">
        <f aca="false">I37*R37</f>
        <v>27331.55</v>
      </c>
      <c r="T37" s="19" t="n">
        <f aca="false">IF(F37&gt;72,1,0)</f>
        <v>0</v>
      </c>
      <c r="U37" s="19" t="n">
        <f aca="false">IF(J37&gt;1.25,1,0)</f>
        <v>0</v>
      </c>
    </row>
    <row r="38" customFormat="false" ht="15" hidden="false" customHeight="false" outlineLevel="0" collapsed="false">
      <c r="B38" s="13" t="s">
        <v>258</v>
      </c>
      <c r="C38" s="13" t="s">
        <v>226</v>
      </c>
      <c r="D38" s="19" t="n">
        <v>607</v>
      </c>
      <c r="E38" s="23" t="n">
        <v>0.2027</v>
      </c>
      <c r="F38" s="19" t="n">
        <v>75</v>
      </c>
      <c r="G38" s="19" t="n">
        <v>8</v>
      </c>
      <c r="H38" s="14" t="n">
        <v>12110</v>
      </c>
      <c r="I38" s="14" t="n">
        <v>11418.8</v>
      </c>
      <c r="J38" s="24" t="n">
        <v>0.924</v>
      </c>
      <c r="K38" s="19" t="n">
        <v>0</v>
      </c>
      <c r="L38" s="13" t="str">
        <f aca="false">IF(D38&gt;=Inputs!$C$14,"Near-prime","Non-prime")</f>
        <v>Non-prime</v>
      </c>
      <c r="M38" s="19" t="n">
        <f aca="false">IF(K38&lt;=Inputs!$C$19,1,0)</f>
        <v>1</v>
      </c>
      <c r="N38" s="19" t="n">
        <f aca="false">IF(F38&lt;=Inputs!$C$20,1,0)</f>
        <v>1</v>
      </c>
      <c r="O38" s="19" t="n">
        <f aca="false">IF(J38&lt;=Inputs!$C$21,1,0)</f>
        <v>1</v>
      </c>
      <c r="P38" s="19" t="n">
        <f aca="false">IF(D38&gt;=Inputs!$C$22,1,0)</f>
        <v>1</v>
      </c>
      <c r="Q38" s="19" t="n">
        <f aca="false">IF(I38&lt;=Inputs!$C$23,1,0)</f>
        <v>1</v>
      </c>
      <c r="R38" s="19" t="n">
        <f aca="false">M38*N38*O38*P38*Q38</f>
        <v>1</v>
      </c>
      <c r="S38" s="14" t="n">
        <f aca="false">I38*R38</f>
        <v>11418.8</v>
      </c>
      <c r="T38" s="19" t="n">
        <f aca="false">IF(F38&gt;72,1,0)</f>
        <v>1</v>
      </c>
      <c r="U38" s="19" t="n">
        <f aca="false">IF(J38&gt;1.25,1,0)</f>
        <v>0</v>
      </c>
    </row>
    <row r="39" customFormat="false" ht="15" hidden="false" customHeight="false" outlineLevel="0" collapsed="false">
      <c r="B39" s="13" t="s">
        <v>259</v>
      </c>
      <c r="C39" s="13" t="s">
        <v>252</v>
      </c>
      <c r="D39" s="19" t="n">
        <v>627</v>
      </c>
      <c r="E39" s="23" t="n">
        <v>0.1949</v>
      </c>
      <c r="F39" s="19" t="n">
        <v>48</v>
      </c>
      <c r="G39" s="19" t="n">
        <v>8</v>
      </c>
      <c r="H39" s="14" t="n">
        <v>27250</v>
      </c>
      <c r="I39" s="14" t="n">
        <v>24037.77</v>
      </c>
      <c r="J39" s="24" t="n">
        <v>1.015</v>
      </c>
      <c r="K39" s="19" t="n">
        <v>0</v>
      </c>
      <c r="L39" s="13" t="str">
        <f aca="false">IF(D39&gt;=Inputs!$C$14,"Near-prime","Non-prime")</f>
        <v>Near-prime</v>
      </c>
      <c r="M39" s="19" t="n">
        <f aca="false">IF(K39&lt;=Inputs!$C$19,1,0)</f>
        <v>1</v>
      </c>
      <c r="N39" s="19" t="n">
        <f aca="false">IF(F39&lt;=Inputs!$C$20,1,0)</f>
        <v>1</v>
      </c>
      <c r="O39" s="19" t="n">
        <f aca="false">IF(J39&lt;=Inputs!$C$21,1,0)</f>
        <v>1</v>
      </c>
      <c r="P39" s="19" t="n">
        <f aca="false">IF(D39&gt;=Inputs!$C$22,1,0)</f>
        <v>1</v>
      </c>
      <c r="Q39" s="19" t="n">
        <f aca="false">IF(I39&lt;=Inputs!$C$23,1,0)</f>
        <v>1</v>
      </c>
      <c r="R39" s="19" t="n">
        <f aca="false">M39*N39*O39*P39*Q39</f>
        <v>1</v>
      </c>
      <c r="S39" s="14" t="n">
        <f aca="false">I39*R39</f>
        <v>24037.77</v>
      </c>
      <c r="T39" s="19" t="n">
        <f aca="false">IF(F39&gt;72,1,0)</f>
        <v>0</v>
      </c>
      <c r="U39" s="19" t="n">
        <f aca="false">IF(J39&gt;1.25,1,0)</f>
        <v>0</v>
      </c>
    </row>
    <row r="40" customFormat="false" ht="15" hidden="false" customHeight="false" outlineLevel="0" collapsed="false">
      <c r="B40" s="13" t="s">
        <v>260</v>
      </c>
      <c r="C40" s="13" t="s">
        <v>223</v>
      </c>
      <c r="D40" s="19" t="n">
        <v>659</v>
      </c>
      <c r="E40" s="23" t="n">
        <v>0.2044</v>
      </c>
      <c r="F40" s="19" t="n">
        <v>60</v>
      </c>
      <c r="G40" s="19" t="n">
        <v>3</v>
      </c>
      <c r="H40" s="14" t="n">
        <v>15290</v>
      </c>
      <c r="I40" s="14" t="n">
        <v>14837.16</v>
      </c>
      <c r="J40" s="24" t="n">
        <v>1.028</v>
      </c>
      <c r="K40" s="19" t="n">
        <v>0</v>
      </c>
      <c r="L40" s="13" t="str">
        <f aca="false">IF(D40&gt;=Inputs!$C$14,"Near-prime","Non-prime")</f>
        <v>Near-prime</v>
      </c>
      <c r="M40" s="19" t="n">
        <f aca="false">IF(K40&lt;=Inputs!$C$19,1,0)</f>
        <v>1</v>
      </c>
      <c r="N40" s="19" t="n">
        <f aca="false">IF(F40&lt;=Inputs!$C$20,1,0)</f>
        <v>1</v>
      </c>
      <c r="O40" s="19" t="n">
        <f aca="false">IF(J40&lt;=Inputs!$C$21,1,0)</f>
        <v>1</v>
      </c>
      <c r="P40" s="19" t="n">
        <f aca="false">IF(D40&gt;=Inputs!$C$22,1,0)</f>
        <v>1</v>
      </c>
      <c r="Q40" s="19" t="n">
        <f aca="false">IF(I40&lt;=Inputs!$C$23,1,0)</f>
        <v>1</v>
      </c>
      <c r="R40" s="19" t="n">
        <f aca="false">M40*N40*O40*P40*Q40</f>
        <v>1</v>
      </c>
      <c r="S40" s="14" t="n">
        <f aca="false">I40*R40</f>
        <v>14837.16</v>
      </c>
      <c r="T40" s="19" t="n">
        <f aca="false">IF(F40&gt;72,1,0)</f>
        <v>0</v>
      </c>
      <c r="U40" s="19" t="n">
        <f aca="false">IF(J40&gt;1.25,1,0)</f>
        <v>0</v>
      </c>
    </row>
    <row r="41" customFormat="false" ht="15" hidden="false" customHeight="false" outlineLevel="0" collapsed="false">
      <c r="B41" s="13" t="s">
        <v>261</v>
      </c>
      <c r="C41" s="13" t="s">
        <v>228</v>
      </c>
      <c r="D41" s="19" t="n">
        <v>674</v>
      </c>
      <c r="E41" s="23" t="n">
        <v>0.2005</v>
      </c>
      <c r="F41" s="19" t="n">
        <v>60</v>
      </c>
      <c r="G41" s="19" t="n">
        <v>2</v>
      </c>
      <c r="H41" s="14" t="n">
        <v>17900</v>
      </c>
      <c r="I41" s="14" t="n">
        <v>17545.75</v>
      </c>
      <c r="J41" s="24" t="n">
        <v>1.359</v>
      </c>
      <c r="K41" s="19" t="n">
        <v>0</v>
      </c>
      <c r="L41" s="13" t="str">
        <f aca="false">IF(D41&gt;=Inputs!$C$14,"Near-prime","Non-prime")</f>
        <v>Near-prime</v>
      </c>
      <c r="M41" s="19" t="n">
        <f aca="false">IF(K41&lt;=Inputs!$C$19,1,0)</f>
        <v>1</v>
      </c>
      <c r="N41" s="19" t="n">
        <f aca="false">IF(F41&lt;=Inputs!$C$20,1,0)</f>
        <v>1</v>
      </c>
      <c r="O41" s="19" t="n">
        <f aca="false">IF(J41&lt;=Inputs!$C$21,1,0)</f>
        <v>1</v>
      </c>
      <c r="P41" s="19" t="n">
        <f aca="false">IF(D41&gt;=Inputs!$C$22,1,0)</f>
        <v>1</v>
      </c>
      <c r="Q41" s="19" t="n">
        <f aca="false">IF(I41&lt;=Inputs!$C$23,1,0)</f>
        <v>1</v>
      </c>
      <c r="R41" s="19" t="n">
        <f aca="false">M41*N41*O41*P41*Q41</f>
        <v>1</v>
      </c>
      <c r="S41" s="14" t="n">
        <f aca="false">I41*R41</f>
        <v>17545.75</v>
      </c>
      <c r="T41" s="19" t="n">
        <f aca="false">IF(F41&gt;72,1,0)</f>
        <v>0</v>
      </c>
      <c r="U41" s="19" t="n">
        <f aca="false">IF(J41&gt;1.25,1,0)</f>
        <v>1</v>
      </c>
    </row>
    <row r="42" customFormat="false" ht="15" hidden="false" customHeight="false" outlineLevel="0" collapsed="false">
      <c r="B42" s="13" t="s">
        <v>262</v>
      </c>
      <c r="C42" s="13" t="s">
        <v>252</v>
      </c>
      <c r="D42" s="19" t="n">
        <v>643</v>
      </c>
      <c r="E42" s="23" t="n">
        <v>0.2123</v>
      </c>
      <c r="F42" s="19" t="n">
        <v>60</v>
      </c>
      <c r="G42" s="19" t="n">
        <v>10</v>
      </c>
      <c r="H42" s="14" t="n">
        <v>29230</v>
      </c>
      <c r="I42" s="14" t="n">
        <v>26224.09</v>
      </c>
      <c r="J42" s="24" t="n">
        <v>1.213</v>
      </c>
      <c r="K42" s="19" t="n">
        <v>0</v>
      </c>
      <c r="L42" s="13" t="str">
        <f aca="false">IF(D42&gt;=Inputs!$C$14,"Near-prime","Non-prime")</f>
        <v>Near-prime</v>
      </c>
      <c r="M42" s="19" t="n">
        <f aca="false">IF(K42&lt;=Inputs!$C$19,1,0)</f>
        <v>1</v>
      </c>
      <c r="N42" s="19" t="n">
        <f aca="false">IF(F42&lt;=Inputs!$C$20,1,0)</f>
        <v>1</v>
      </c>
      <c r="O42" s="19" t="n">
        <f aca="false">IF(J42&lt;=Inputs!$C$21,1,0)</f>
        <v>1</v>
      </c>
      <c r="P42" s="19" t="n">
        <f aca="false">IF(D42&gt;=Inputs!$C$22,1,0)</f>
        <v>1</v>
      </c>
      <c r="Q42" s="19" t="n">
        <f aca="false">IF(I42&lt;=Inputs!$C$23,1,0)</f>
        <v>1</v>
      </c>
      <c r="R42" s="19" t="n">
        <f aca="false">M42*N42*O42*P42*Q42</f>
        <v>1</v>
      </c>
      <c r="S42" s="14" t="n">
        <f aca="false">I42*R42</f>
        <v>26224.09</v>
      </c>
      <c r="T42" s="19" t="n">
        <f aca="false">IF(F42&gt;72,1,0)</f>
        <v>0</v>
      </c>
      <c r="U42" s="19" t="n">
        <f aca="false">IF(J42&gt;1.25,1,0)</f>
        <v>0</v>
      </c>
    </row>
    <row r="43" customFormat="false" ht="15" hidden="false" customHeight="false" outlineLevel="0" collapsed="false">
      <c r="B43" s="13" t="s">
        <v>263</v>
      </c>
      <c r="C43" s="13" t="s">
        <v>221</v>
      </c>
      <c r="D43" s="19" t="n">
        <v>656</v>
      </c>
      <c r="E43" s="23" t="n">
        <v>0.2081</v>
      </c>
      <c r="F43" s="19" t="n">
        <v>72</v>
      </c>
      <c r="G43" s="19" t="n">
        <v>1</v>
      </c>
      <c r="H43" s="14" t="n">
        <v>26390</v>
      </c>
      <c r="I43" s="14" t="n">
        <v>26203.08</v>
      </c>
      <c r="J43" s="24" t="n">
        <v>1.381</v>
      </c>
      <c r="K43" s="19" t="n">
        <v>0</v>
      </c>
      <c r="L43" s="13" t="str">
        <f aca="false">IF(D43&gt;=Inputs!$C$14,"Near-prime","Non-prime")</f>
        <v>Near-prime</v>
      </c>
      <c r="M43" s="19" t="n">
        <f aca="false">IF(K43&lt;=Inputs!$C$19,1,0)</f>
        <v>1</v>
      </c>
      <c r="N43" s="19" t="n">
        <f aca="false">IF(F43&lt;=Inputs!$C$20,1,0)</f>
        <v>1</v>
      </c>
      <c r="O43" s="19" t="n">
        <f aca="false">IF(J43&lt;=Inputs!$C$21,1,0)</f>
        <v>1</v>
      </c>
      <c r="P43" s="19" t="n">
        <f aca="false">IF(D43&gt;=Inputs!$C$22,1,0)</f>
        <v>1</v>
      </c>
      <c r="Q43" s="19" t="n">
        <f aca="false">IF(I43&lt;=Inputs!$C$23,1,0)</f>
        <v>1</v>
      </c>
      <c r="R43" s="19" t="n">
        <f aca="false">M43*N43*O43*P43*Q43</f>
        <v>1</v>
      </c>
      <c r="S43" s="14" t="n">
        <f aca="false">I43*R43</f>
        <v>26203.08</v>
      </c>
      <c r="T43" s="19" t="n">
        <f aca="false">IF(F43&gt;72,1,0)</f>
        <v>0</v>
      </c>
      <c r="U43" s="19" t="n">
        <f aca="false">IF(J43&gt;1.25,1,0)</f>
        <v>1</v>
      </c>
    </row>
    <row r="44" customFormat="false" ht="15" hidden="false" customHeight="false" outlineLevel="0" collapsed="false">
      <c r="B44" s="13" t="s">
        <v>264</v>
      </c>
      <c r="C44" s="13" t="s">
        <v>228</v>
      </c>
      <c r="D44" s="19" t="n">
        <v>716</v>
      </c>
      <c r="E44" s="23" t="n">
        <v>0.1943</v>
      </c>
      <c r="F44" s="19" t="n">
        <v>48</v>
      </c>
      <c r="G44" s="19" t="n">
        <v>7</v>
      </c>
      <c r="H44" s="14" t="n">
        <v>15260</v>
      </c>
      <c r="I44" s="14" t="n">
        <v>13697.08</v>
      </c>
      <c r="J44" s="24" t="n">
        <v>1.117</v>
      </c>
      <c r="K44" s="19" t="n">
        <v>0</v>
      </c>
      <c r="L44" s="13" t="str">
        <f aca="false">IF(D44&gt;=Inputs!$C$14,"Near-prime","Non-prime")</f>
        <v>Near-prime</v>
      </c>
      <c r="M44" s="19" t="n">
        <f aca="false">IF(K44&lt;=Inputs!$C$19,1,0)</f>
        <v>1</v>
      </c>
      <c r="N44" s="19" t="n">
        <f aca="false">IF(F44&lt;=Inputs!$C$20,1,0)</f>
        <v>1</v>
      </c>
      <c r="O44" s="19" t="n">
        <f aca="false">IF(J44&lt;=Inputs!$C$21,1,0)</f>
        <v>1</v>
      </c>
      <c r="P44" s="19" t="n">
        <f aca="false">IF(D44&gt;=Inputs!$C$22,1,0)</f>
        <v>1</v>
      </c>
      <c r="Q44" s="19" t="n">
        <f aca="false">IF(I44&lt;=Inputs!$C$23,1,0)</f>
        <v>1</v>
      </c>
      <c r="R44" s="19" t="n">
        <f aca="false">M44*N44*O44*P44*Q44</f>
        <v>1</v>
      </c>
      <c r="S44" s="14" t="n">
        <f aca="false">I44*R44</f>
        <v>13697.08</v>
      </c>
      <c r="T44" s="19" t="n">
        <f aca="false">IF(F44&gt;72,1,0)</f>
        <v>0</v>
      </c>
      <c r="U44" s="19" t="n">
        <f aca="false">IF(J44&gt;1.25,1,0)</f>
        <v>0</v>
      </c>
    </row>
    <row r="45" customFormat="false" ht="15" hidden="false" customHeight="false" outlineLevel="0" collapsed="false">
      <c r="B45" s="13" t="s">
        <v>265</v>
      </c>
      <c r="C45" s="13" t="s">
        <v>223</v>
      </c>
      <c r="D45" s="19" t="n">
        <v>779</v>
      </c>
      <c r="E45" s="23" t="n">
        <v>0.1985</v>
      </c>
      <c r="F45" s="19" t="n">
        <v>72</v>
      </c>
      <c r="G45" s="19" t="n">
        <v>4</v>
      </c>
      <c r="H45" s="14" t="n">
        <v>10180</v>
      </c>
      <c r="I45" s="14" t="n">
        <v>9874.27</v>
      </c>
      <c r="J45" s="24" t="n">
        <v>0.939</v>
      </c>
      <c r="K45" s="19" t="n">
        <v>0</v>
      </c>
      <c r="L45" s="13" t="str">
        <f aca="false">IF(D45&gt;=Inputs!$C$14,"Near-prime","Non-prime")</f>
        <v>Near-prime</v>
      </c>
      <c r="M45" s="19" t="n">
        <f aca="false">IF(K45&lt;=Inputs!$C$19,1,0)</f>
        <v>1</v>
      </c>
      <c r="N45" s="19" t="n">
        <f aca="false">IF(F45&lt;=Inputs!$C$20,1,0)</f>
        <v>1</v>
      </c>
      <c r="O45" s="19" t="n">
        <f aca="false">IF(J45&lt;=Inputs!$C$21,1,0)</f>
        <v>1</v>
      </c>
      <c r="P45" s="19" t="n">
        <f aca="false">IF(D45&gt;=Inputs!$C$22,1,0)</f>
        <v>1</v>
      </c>
      <c r="Q45" s="19" t="n">
        <f aca="false">IF(I45&lt;=Inputs!$C$23,1,0)</f>
        <v>1</v>
      </c>
      <c r="R45" s="19" t="n">
        <f aca="false">M45*N45*O45*P45*Q45</f>
        <v>1</v>
      </c>
      <c r="S45" s="14" t="n">
        <f aca="false">I45*R45</f>
        <v>9874.27</v>
      </c>
      <c r="T45" s="19" t="n">
        <f aca="false">IF(F45&gt;72,1,0)</f>
        <v>0</v>
      </c>
      <c r="U45" s="19" t="n">
        <f aca="false">IF(J45&gt;1.25,1,0)</f>
        <v>0</v>
      </c>
    </row>
    <row r="46" customFormat="false" ht="15" hidden="false" customHeight="false" outlineLevel="0" collapsed="false">
      <c r="B46" s="13" t="s">
        <v>266</v>
      </c>
      <c r="C46" s="13" t="s">
        <v>219</v>
      </c>
      <c r="D46" s="19" t="n">
        <v>666</v>
      </c>
      <c r="E46" s="23" t="n">
        <v>0.207</v>
      </c>
      <c r="F46" s="19" t="n">
        <v>72</v>
      </c>
      <c r="G46" s="19" t="n">
        <v>10</v>
      </c>
      <c r="H46" s="14" t="n">
        <v>25300</v>
      </c>
      <c r="I46" s="14" t="n">
        <v>23354.83</v>
      </c>
      <c r="J46" s="24" t="n">
        <v>0.978</v>
      </c>
      <c r="K46" s="19" t="n">
        <v>0</v>
      </c>
      <c r="L46" s="13" t="str">
        <f aca="false">IF(D46&gt;=Inputs!$C$14,"Near-prime","Non-prime")</f>
        <v>Near-prime</v>
      </c>
      <c r="M46" s="19" t="n">
        <f aca="false">IF(K46&lt;=Inputs!$C$19,1,0)</f>
        <v>1</v>
      </c>
      <c r="N46" s="19" t="n">
        <f aca="false">IF(F46&lt;=Inputs!$C$20,1,0)</f>
        <v>1</v>
      </c>
      <c r="O46" s="19" t="n">
        <f aca="false">IF(J46&lt;=Inputs!$C$21,1,0)</f>
        <v>1</v>
      </c>
      <c r="P46" s="19" t="n">
        <f aca="false">IF(D46&gt;=Inputs!$C$22,1,0)</f>
        <v>1</v>
      </c>
      <c r="Q46" s="19" t="n">
        <f aca="false">IF(I46&lt;=Inputs!$C$23,1,0)</f>
        <v>1</v>
      </c>
      <c r="R46" s="19" t="n">
        <f aca="false">M46*N46*O46*P46*Q46</f>
        <v>1</v>
      </c>
      <c r="S46" s="14" t="n">
        <f aca="false">I46*R46</f>
        <v>23354.83</v>
      </c>
      <c r="T46" s="19" t="n">
        <f aca="false">IF(F46&gt;72,1,0)</f>
        <v>0</v>
      </c>
      <c r="U46" s="19" t="n">
        <f aca="false">IF(J46&gt;1.25,1,0)</f>
        <v>0</v>
      </c>
    </row>
    <row r="47" customFormat="false" ht="15" hidden="false" customHeight="false" outlineLevel="0" collapsed="false">
      <c r="B47" s="13" t="s">
        <v>267</v>
      </c>
      <c r="C47" s="13" t="s">
        <v>223</v>
      </c>
      <c r="D47" s="19" t="n">
        <v>680</v>
      </c>
      <c r="E47" s="23" t="n">
        <v>0.19</v>
      </c>
      <c r="F47" s="19" t="n">
        <v>60</v>
      </c>
      <c r="G47" s="19" t="n">
        <v>0</v>
      </c>
      <c r="H47" s="14" t="n">
        <v>25410</v>
      </c>
      <c r="I47" s="14" t="n">
        <v>25410</v>
      </c>
      <c r="J47" s="24" t="n">
        <v>1.074</v>
      </c>
      <c r="K47" s="19" t="n">
        <v>0</v>
      </c>
      <c r="L47" s="13" t="str">
        <f aca="false">IF(D47&gt;=Inputs!$C$14,"Near-prime","Non-prime")</f>
        <v>Near-prime</v>
      </c>
      <c r="M47" s="19" t="n">
        <f aca="false">IF(K47&lt;=Inputs!$C$19,1,0)</f>
        <v>1</v>
      </c>
      <c r="N47" s="19" t="n">
        <f aca="false">IF(F47&lt;=Inputs!$C$20,1,0)</f>
        <v>1</v>
      </c>
      <c r="O47" s="19" t="n">
        <f aca="false">IF(J47&lt;=Inputs!$C$21,1,0)</f>
        <v>1</v>
      </c>
      <c r="P47" s="19" t="n">
        <f aca="false">IF(D47&gt;=Inputs!$C$22,1,0)</f>
        <v>1</v>
      </c>
      <c r="Q47" s="19" t="n">
        <f aca="false">IF(I47&lt;=Inputs!$C$23,1,0)</f>
        <v>1</v>
      </c>
      <c r="R47" s="19" t="n">
        <f aca="false">M47*N47*O47*P47*Q47</f>
        <v>1</v>
      </c>
      <c r="S47" s="14" t="n">
        <f aca="false">I47*R47</f>
        <v>25410</v>
      </c>
      <c r="T47" s="19" t="n">
        <f aca="false">IF(F47&gt;72,1,0)</f>
        <v>0</v>
      </c>
      <c r="U47" s="19" t="n">
        <f aca="false">IF(J47&gt;1.25,1,0)</f>
        <v>0</v>
      </c>
    </row>
    <row r="48" customFormat="false" ht="15" hidden="false" customHeight="false" outlineLevel="0" collapsed="false">
      <c r="B48" s="13" t="s">
        <v>268</v>
      </c>
      <c r="C48" s="13" t="s">
        <v>223</v>
      </c>
      <c r="D48" s="19" t="n">
        <v>639</v>
      </c>
      <c r="E48" s="23" t="n">
        <v>0.2033</v>
      </c>
      <c r="F48" s="19" t="n">
        <v>60</v>
      </c>
      <c r="G48" s="19" t="n">
        <v>4</v>
      </c>
      <c r="H48" s="14" t="n">
        <v>13890</v>
      </c>
      <c r="I48" s="14" t="n">
        <v>13335.16</v>
      </c>
      <c r="J48" s="24" t="n">
        <v>1.142</v>
      </c>
      <c r="K48" s="19" t="n">
        <v>0</v>
      </c>
      <c r="L48" s="13" t="str">
        <f aca="false">IF(D48&gt;=Inputs!$C$14,"Near-prime","Non-prime")</f>
        <v>Near-prime</v>
      </c>
      <c r="M48" s="19" t="n">
        <f aca="false">IF(K48&lt;=Inputs!$C$19,1,0)</f>
        <v>1</v>
      </c>
      <c r="N48" s="19" t="n">
        <f aca="false">IF(F48&lt;=Inputs!$C$20,1,0)</f>
        <v>1</v>
      </c>
      <c r="O48" s="19" t="n">
        <f aca="false">IF(J48&lt;=Inputs!$C$21,1,0)</f>
        <v>1</v>
      </c>
      <c r="P48" s="19" t="n">
        <f aca="false">IF(D48&gt;=Inputs!$C$22,1,0)</f>
        <v>1</v>
      </c>
      <c r="Q48" s="19" t="n">
        <f aca="false">IF(I48&lt;=Inputs!$C$23,1,0)</f>
        <v>1</v>
      </c>
      <c r="R48" s="19" t="n">
        <f aca="false">M48*N48*O48*P48*Q48</f>
        <v>1</v>
      </c>
      <c r="S48" s="14" t="n">
        <f aca="false">I48*R48</f>
        <v>13335.16</v>
      </c>
      <c r="T48" s="19" t="n">
        <f aca="false">IF(F48&gt;72,1,0)</f>
        <v>0</v>
      </c>
      <c r="U48" s="19" t="n">
        <f aca="false">IF(J48&gt;1.25,1,0)</f>
        <v>0</v>
      </c>
    </row>
    <row r="49" customFormat="false" ht="15" hidden="false" customHeight="false" outlineLevel="0" collapsed="false">
      <c r="B49" s="13" t="s">
        <v>269</v>
      </c>
      <c r="C49" s="13" t="s">
        <v>237</v>
      </c>
      <c r="D49" s="19" t="n">
        <v>730</v>
      </c>
      <c r="E49" s="23" t="n">
        <v>0.1832</v>
      </c>
      <c r="F49" s="19" t="n">
        <v>66</v>
      </c>
      <c r="G49" s="19" t="n">
        <v>7</v>
      </c>
      <c r="H49" s="14" t="n">
        <v>44260</v>
      </c>
      <c r="I49" s="14" t="n">
        <v>41377.9</v>
      </c>
      <c r="J49" s="24" t="n">
        <v>1.264</v>
      </c>
      <c r="K49" s="19" t="n">
        <v>0</v>
      </c>
      <c r="L49" s="13" t="str">
        <f aca="false">IF(D49&gt;=Inputs!$C$14,"Near-prime","Non-prime")</f>
        <v>Near-prime</v>
      </c>
      <c r="M49" s="19" t="n">
        <f aca="false">IF(K49&lt;=Inputs!$C$19,1,0)</f>
        <v>1</v>
      </c>
      <c r="N49" s="19" t="n">
        <f aca="false">IF(F49&lt;=Inputs!$C$20,1,0)</f>
        <v>1</v>
      </c>
      <c r="O49" s="19" t="n">
        <f aca="false">IF(J49&lt;=Inputs!$C$21,1,0)</f>
        <v>1</v>
      </c>
      <c r="P49" s="19" t="n">
        <f aca="false">IF(D49&gt;=Inputs!$C$22,1,0)</f>
        <v>1</v>
      </c>
      <c r="Q49" s="19" t="n">
        <f aca="false">IF(I49&lt;=Inputs!$C$23,1,0)</f>
        <v>1</v>
      </c>
      <c r="R49" s="19" t="n">
        <f aca="false">M49*N49*O49*P49*Q49</f>
        <v>1</v>
      </c>
      <c r="S49" s="14" t="n">
        <f aca="false">I49*R49</f>
        <v>41377.9</v>
      </c>
      <c r="T49" s="19" t="n">
        <f aca="false">IF(F49&gt;72,1,0)</f>
        <v>0</v>
      </c>
      <c r="U49" s="19" t="n">
        <f aca="false">IF(J49&gt;1.25,1,0)</f>
        <v>1</v>
      </c>
    </row>
    <row r="50" customFormat="false" ht="15" hidden="false" customHeight="false" outlineLevel="0" collapsed="false">
      <c r="B50" s="13" t="s">
        <v>270</v>
      </c>
      <c r="C50" s="13" t="s">
        <v>217</v>
      </c>
      <c r="D50" s="19" t="n">
        <v>639</v>
      </c>
      <c r="E50" s="23" t="n">
        <v>0.2081</v>
      </c>
      <c r="F50" s="19" t="n">
        <v>60</v>
      </c>
      <c r="G50" s="19" t="n">
        <v>3</v>
      </c>
      <c r="H50" s="14" t="n">
        <v>32100</v>
      </c>
      <c r="I50" s="14" t="n">
        <v>31158.91</v>
      </c>
      <c r="J50" s="24" t="n">
        <v>0.987</v>
      </c>
      <c r="K50" s="19" t="n">
        <v>0</v>
      </c>
      <c r="L50" s="13" t="str">
        <f aca="false">IF(D50&gt;=Inputs!$C$14,"Near-prime","Non-prime")</f>
        <v>Near-prime</v>
      </c>
      <c r="M50" s="19" t="n">
        <f aca="false">IF(K50&lt;=Inputs!$C$19,1,0)</f>
        <v>1</v>
      </c>
      <c r="N50" s="19" t="n">
        <f aca="false">IF(F50&lt;=Inputs!$C$20,1,0)</f>
        <v>1</v>
      </c>
      <c r="O50" s="19" t="n">
        <f aca="false">IF(J50&lt;=Inputs!$C$21,1,0)</f>
        <v>1</v>
      </c>
      <c r="P50" s="19" t="n">
        <f aca="false">IF(D50&gt;=Inputs!$C$22,1,0)</f>
        <v>1</v>
      </c>
      <c r="Q50" s="19" t="n">
        <f aca="false">IF(I50&lt;=Inputs!$C$23,1,0)</f>
        <v>1</v>
      </c>
      <c r="R50" s="19" t="n">
        <f aca="false">M50*N50*O50*P50*Q50</f>
        <v>1</v>
      </c>
      <c r="S50" s="14" t="n">
        <f aca="false">I50*R50</f>
        <v>31158.91</v>
      </c>
      <c r="T50" s="19" t="n">
        <f aca="false">IF(F50&gt;72,1,0)</f>
        <v>0</v>
      </c>
      <c r="U50" s="19" t="n">
        <f aca="false">IF(J50&gt;1.25,1,0)</f>
        <v>0</v>
      </c>
    </row>
    <row r="51" customFormat="false" ht="15" hidden="false" customHeight="false" outlineLevel="0" collapsed="false">
      <c r="B51" s="13" t="s">
        <v>271</v>
      </c>
      <c r="C51" s="13" t="s">
        <v>221</v>
      </c>
      <c r="D51" s="19" t="n">
        <v>671</v>
      </c>
      <c r="E51" s="23" t="n">
        <v>0.1845</v>
      </c>
      <c r="F51" s="19" t="n">
        <v>60</v>
      </c>
      <c r="G51" s="19" t="n">
        <v>9</v>
      </c>
      <c r="H51" s="14" t="n">
        <v>14000</v>
      </c>
      <c r="I51" s="14" t="n">
        <v>12624.3</v>
      </c>
      <c r="J51" s="24" t="n">
        <v>1.018</v>
      </c>
      <c r="K51" s="19" t="n">
        <v>0</v>
      </c>
      <c r="L51" s="13" t="str">
        <f aca="false">IF(D51&gt;=Inputs!$C$14,"Near-prime","Non-prime")</f>
        <v>Near-prime</v>
      </c>
      <c r="M51" s="19" t="n">
        <f aca="false">IF(K51&lt;=Inputs!$C$19,1,0)</f>
        <v>1</v>
      </c>
      <c r="N51" s="19" t="n">
        <f aca="false">IF(F51&lt;=Inputs!$C$20,1,0)</f>
        <v>1</v>
      </c>
      <c r="O51" s="19" t="n">
        <f aca="false">IF(J51&lt;=Inputs!$C$21,1,0)</f>
        <v>1</v>
      </c>
      <c r="P51" s="19" t="n">
        <f aca="false">IF(D51&gt;=Inputs!$C$22,1,0)</f>
        <v>1</v>
      </c>
      <c r="Q51" s="19" t="n">
        <f aca="false">IF(I51&lt;=Inputs!$C$23,1,0)</f>
        <v>1</v>
      </c>
      <c r="R51" s="19" t="n">
        <f aca="false">M51*N51*O51*P51*Q51</f>
        <v>1</v>
      </c>
      <c r="S51" s="14" t="n">
        <f aca="false">I51*R51</f>
        <v>12624.3</v>
      </c>
      <c r="T51" s="19" t="n">
        <f aca="false">IF(F51&gt;72,1,0)</f>
        <v>0</v>
      </c>
      <c r="U51" s="19" t="n">
        <f aca="false">IF(J51&gt;1.25,1,0)</f>
        <v>0</v>
      </c>
    </row>
    <row r="52" customFormat="false" ht="15" hidden="false" customHeight="false" outlineLevel="0" collapsed="false">
      <c r="B52" s="13" t="s">
        <v>272</v>
      </c>
      <c r="C52" s="13" t="s">
        <v>252</v>
      </c>
      <c r="D52" s="19" t="n">
        <v>591</v>
      </c>
      <c r="E52" s="23" t="n">
        <v>0.2324</v>
      </c>
      <c r="F52" s="19" t="n">
        <v>72</v>
      </c>
      <c r="G52" s="19" t="n">
        <v>9</v>
      </c>
      <c r="H52" s="14" t="n">
        <v>32260</v>
      </c>
      <c r="I52" s="14" t="n">
        <v>30219.56</v>
      </c>
      <c r="J52" s="24" t="n">
        <v>1.11</v>
      </c>
      <c r="K52" s="19" t="n">
        <v>45</v>
      </c>
      <c r="L52" s="13" t="str">
        <f aca="false">IF(D52&gt;=Inputs!$C$14,"Near-prime","Non-prime")</f>
        <v>Non-prime</v>
      </c>
      <c r="M52" s="19" t="n">
        <f aca="false">IF(K52&lt;=Inputs!$C$19,1,0)</f>
        <v>1</v>
      </c>
      <c r="N52" s="19" t="n">
        <f aca="false">IF(F52&lt;=Inputs!$C$20,1,0)</f>
        <v>1</v>
      </c>
      <c r="O52" s="19" t="n">
        <f aca="false">IF(J52&lt;=Inputs!$C$21,1,0)</f>
        <v>1</v>
      </c>
      <c r="P52" s="19" t="n">
        <f aca="false">IF(D52&gt;=Inputs!$C$22,1,0)</f>
        <v>1</v>
      </c>
      <c r="Q52" s="19" t="n">
        <f aca="false">IF(I52&lt;=Inputs!$C$23,1,0)</f>
        <v>1</v>
      </c>
      <c r="R52" s="19" t="n">
        <f aca="false">M52*N52*O52*P52*Q52</f>
        <v>1</v>
      </c>
      <c r="S52" s="14" t="n">
        <f aca="false">I52*R52</f>
        <v>30219.56</v>
      </c>
      <c r="T52" s="19" t="n">
        <f aca="false">IF(F52&gt;72,1,0)</f>
        <v>0</v>
      </c>
      <c r="U52" s="19" t="n">
        <f aca="false">IF(J52&gt;1.25,1,0)</f>
        <v>0</v>
      </c>
    </row>
    <row r="53" customFormat="false" ht="15" hidden="false" customHeight="false" outlineLevel="0" collapsed="false">
      <c r="B53" s="13" t="s">
        <v>273</v>
      </c>
      <c r="C53" s="13" t="s">
        <v>217</v>
      </c>
      <c r="D53" s="19" t="n">
        <v>520</v>
      </c>
      <c r="E53" s="23" t="n">
        <v>0.2202</v>
      </c>
      <c r="F53" s="19" t="n">
        <v>60</v>
      </c>
      <c r="G53" s="19" t="n">
        <v>4</v>
      </c>
      <c r="H53" s="14" t="n">
        <v>14650</v>
      </c>
      <c r="I53" s="14" t="n">
        <v>14091.02</v>
      </c>
      <c r="J53" s="24" t="n">
        <v>1.292</v>
      </c>
      <c r="K53" s="19" t="n">
        <v>0</v>
      </c>
      <c r="L53" s="13" t="str">
        <f aca="false">IF(D53&gt;=Inputs!$C$14,"Near-prime","Non-prime")</f>
        <v>Non-prime</v>
      </c>
      <c r="M53" s="19" t="n">
        <f aca="false">IF(K53&lt;=Inputs!$C$19,1,0)</f>
        <v>1</v>
      </c>
      <c r="N53" s="19" t="n">
        <f aca="false">IF(F53&lt;=Inputs!$C$20,1,0)</f>
        <v>1</v>
      </c>
      <c r="O53" s="19" t="n">
        <f aca="false">IF(J53&lt;=Inputs!$C$21,1,0)</f>
        <v>1</v>
      </c>
      <c r="P53" s="19" t="n">
        <f aca="false">IF(D53&gt;=Inputs!$C$22,1,0)</f>
        <v>0</v>
      </c>
      <c r="Q53" s="19" t="n">
        <f aca="false">IF(I53&lt;=Inputs!$C$23,1,0)</f>
        <v>1</v>
      </c>
      <c r="R53" s="19" t="n">
        <f aca="false">M53*N53*O53*P53*Q53</f>
        <v>0</v>
      </c>
      <c r="S53" s="14" t="n">
        <f aca="false">I53*R53</f>
        <v>0</v>
      </c>
      <c r="T53" s="19" t="n">
        <f aca="false">IF(F53&gt;72,1,0)</f>
        <v>0</v>
      </c>
      <c r="U53" s="19" t="n">
        <f aca="false">IF(J53&gt;1.25,1,0)</f>
        <v>1</v>
      </c>
    </row>
    <row r="54" customFormat="false" ht="15" hidden="false" customHeight="false" outlineLevel="0" collapsed="false">
      <c r="B54" s="13" t="s">
        <v>274</v>
      </c>
      <c r="C54" s="13" t="s">
        <v>237</v>
      </c>
      <c r="D54" s="19" t="n">
        <v>762</v>
      </c>
      <c r="E54" s="23" t="n">
        <v>0.1878</v>
      </c>
      <c r="F54" s="19" t="n">
        <v>72</v>
      </c>
      <c r="G54" s="19" t="n">
        <v>4</v>
      </c>
      <c r="H54" s="14" t="n">
        <v>40900</v>
      </c>
      <c r="I54" s="14" t="n">
        <v>39626.99</v>
      </c>
      <c r="J54" s="24" t="n">
        <v>1.01</v>
      </c>
      <c r="K54" s="19" t="n">
        <v>0</v>
      </c>
      <c r="L54" s="13" t="str">
        <f aca="false">IF(D54&gt;=Inputs!$C$14,"Near-prime","Non-prime")</f>
        <v>Near-prime</v>
      </c>
      <c r="M54" s="19" t="n">
        <f aca="false">IF(K54&lt;=Inputs!$C$19,1,0)</f>
        <v>1</v>
      </c>
      <c r="N54" s="19" t="n">
        <f aca="false">IF(F54&lt;=Inputs!$C$20,1,0)</f>
        <v>1</v>
      </c>
      <c r="O54" s="19" t="n">
        <f aca="false">IF(J54&lt;=Inputs!$C$21,1,0)</f>
        <v>1</v>
      </c>
      <c r="P54" s="19" t="n">
        <f aca="false">IF(D54&gt;=Inputs!$C$22,1,0)</f>
        <v>1</v>
      </c>
      <c r="Q54" s="19" t="n">
        <f aca="false">IF(I54&lt;=Inputs!$C$23,1,0)</f>
        <v>1</v>
      </c>
      <c r="R54" s="19" t="n">
        <f aca="false">M54*N54*O54*P54*Q54</f>
        <v>1</v>
      </c>
      <c r="S54" s="14" t="n">
        <f aca="false">I54*R54</f>
        <v>39626.99</v>
      </c>
      <c r="T54" s="19" t="n">
        <f aca="false">IF(F54&gt;72,1,0)</f>
        <v>0</v>
      </c>
      <c r="U54" s="19" t="n">
        <f aca="false">IF(J54&gt;1.25,1,0)</f>
        <v>0</v>
      </c>
    </row>
    <row r="55" customFormat="false" ht="15" hidden="false" customHeight="false" outlineLevel="0" collapsed="false">
      <c r="B55" s="13" t="s">
        <v>275</v>
      </c>
      <c r="C55" s="13" t="s">
        <v>252</v>
      </c>
      <c r="D55" s="19" t="n">
        <v>700</v>
      </c>
      <c r="E55" s="23" t="n">
        <v>0.2059</v>
      </c>
      <c r="F55" s="19" t="n">
        <v>60</v>
      </c>
      <c r="G55" s="19" t="n">
        <v>0</v>
      </c>
      <c r="H55" s="14" t="n">
        <v>42710</v>
      </c>
      <c r="I55" s="14" t="n">
        <v>42710</v>
      </c>
      <c r="J55" s="24" t="n">
        <v>1.162</v>
      </c>
      <c r="K55" s="19" t="n">
        <v>0</v>
      </c>
      <c r="L55" s="13" t="str">
        <f aca="false">IF(D55&gt;=Inputs!$C$14,"Near-prime","Non-prime")</f>
        <v>Near-prime</v>
      </c>
      <c r="M55" s="19" t="n">
        <f aca="false">IF(K55&lt;=Inputs!$C$19,1,0)</f>
        <v>1</v>
      </c>
      <c r="N55" s="19" t="n">
        <f aca="false">IF(F55&lt;=Inputs!$C$20,1,0)</f>
        <v>1</v>
      </c>
      <c r="O55" s="19" t="n">
        <f aca="false">IF(J55&lt;=Inputs!$C$21,1,0)</f>
        <v>1</v>
      </c>
      <c r="P55" s="19" t="n">
        <f aca="false">IF(D55&gt;=Inputs!$C$22,1,0)</f>
        <v>1</v>
      </c>
      <c r="Q55" s="19" t="n">
        <f aca="false">IF(I55&lt;=Inputs!$C$23,1,0)</f>
        <v>1</v>
      </c>
      <c r="R55" s="19" t="n">
        <f aca="false">M55*N55*O55*P55*Q55</f>
        <v>1</v>
      </c>
      <c r="S55" s="14" t="n">
        <f aca="false">I55*R55</f>
        <v>42710</v>
      </c>
      <c r="T55" s="19" t="n">
        <f aca="false">IF(F55&gt;72,1,0)</f>
        <v>0</v>
      </c>
      <c r="U55" s="19" t="n">
        <f aca="false">IF(J55&gt;1.25,1,0)</f>
        <v>0</v>
      </c>
    </row>
    <row r="56" customFormat="false" ht="15" hidden="false" customHeight="false" outlineLevel="0" collapsed="false">
      <c r="B56" s="13" t="s">
        <v>276</v>
      </c>
      <c r="C56" s="13" t="s">
        <v>219</v>
      </c>
      <c r="D56" s="19" t="n">
        <v>692</v>
      </c>
      <c r="E56" s="23" t="n">
        <v>0.2057</v>
      </c>
      <c r="F56" s="19" t="n">
        <v>72</v>
      </c>
      <c r="G56" s="19" t="n">
        <v>8</v>
      </c>
      <c r="H56" s="14" t="n">
        <v>43990</v>
      </c>
      <c r="I56" s="14" t="n">
        <v>41320.25</v>
      </c>
      <c r="J56" s="24" t="n">
        <v>0.904</v>
      </c>
      <c r="K56" s="19" t="n">
        <v>0</v>
      </c>
      <c r="L56" s="13" t="str">
        <f aca="false">IF(D56&gt;=Inputs!$C$14,"Near-prime","Non-prime")</f>
        <v>Near-prime</v>
      </c>
      <c r="M56" s="19" t="n">
        <f aca="false">IF(K56&lt;=Inputs!$C$19,1,0)</f>
        <v>1</v>
      </c>
      <c r="N56" s="19" t="n">
        <f aca="false">IF(F56&lt;=Inputs!$C$20,1,0)</f>
        <v>1</v>
      </c>
      <c r="O56" s="19" t="n">
        <f aca="false">IF(J56&lt;=Inputs!$C$21,1,0)</f>
        <v>1</v>
      </c>
      <c r="P56" s="19" t="n">
        <f aca="false">IF(D56&gt;=Inputs!$C$22,1,0)</f>
        <v>1</v>
      </c>
      <c r="Q56" s="19" t="n">
        <f aca="false">IF(I56&lt;=Inputs!$C$23,1,0)</f>
        <v>1</v>
      </c>
      <c r="R56" s="19" t="n">
        <f aca="false">M56*N56*O56*P56*Q56</f>
        <v>1</v>
      </c>
      <c r="S56" s="14" t="n">
        <f aca="false">I56*R56</f>
        <v>41320.25</v>
      </c>
      <c r="T56" s="19" t="n">
        <f aca="false">IF(F56&gt;72,1,0)</f>
        <v>0</v>
      </c>
      <c r="U56" s="19" t="n">
        <f aca="false">IF(J56&gt;1.25,1,0)</f>
        <v>0</v>
      </c>
    </row>
    <row r="57" customFormat="false" ht="15" hidden="false" customHeight="false" outlineLevel="0" collapsed="false">
      <c r="B57" s="13" t="s">
        <v>277</v>
      </c>
      <c r="C57" s="13" t="s">
        <v>223</v>
      </c>
      <c r="D57" s="19" t="n">
        <v>597</v>
      </c>
      <c r="E57" s="23" t="n">
        <v>0.2205</v>
      </c>
      <c r="F57" s="19" t="n">
        <v>75</v>
      </c>
      <c r="G57" s="19" t="n">
        <v>10</v>
      </c>
      <c r="H57" s="14" t="n">
        <v>15140</v>
      </c>
      <c r="I57" s="14" t="n">
        <v>14103.84</v>
      </c>
      <c r="J57" s="24" t="n">
        <v>1.145</v>
      </c>
      <c r="K57" s="19" t="n">
        <v>0</v>
      </c>
      <c r="L57" s="13" t="str">
        <f aca="false">IF(D57&gt;=Inputs!$C$14,"Near-prime","Non-prime")</f>
        <v>Non-prime</v>
      </c>
      <c r="M57" s="19" t="n">
        <f aca="false">IF(K57&lt;=Inputs!$C$19,1,0)</f>
        <v>1</v>
      </c>
      <c r="N57" s="19" t="n">
        <f aca="false">IF(F57&lt;=Inputs!$C$20,1,0)</f>
        <v>1</v>
      </c>
      <c r="O57" s="19" t="n">
        <f aca="false">IF(J57&lt;=Inputs!$C$21,1,0)</f>
        <v>1</v>
      </c>
      <c r="P57" s="19" t="n">
        <f aca="false">IF(D57&gt;=Inputs!$C$22,1,0)</f>
        <v>1</v>
      </c>
      <c r="Q57" s="19" t="n">
        <f aca="false">IF(I57&lt;=Inputs!$C$23,1,0)</f>
        <v>1</v>
      </c>
      <c r="R57" s="19" t="n">
        <f aca="false">M57*N57*O57*P57*Q57</f>
        <v>1</v>
      </c>
      <c r="S57" s="14" t="n">
        <f aca="false">I57*R57</f>
        <v>14103.84</v>
      </c>
      <c r="T57" s="19" t="n">
        <f aca="false">IF(F57&gt;72,1,0)</f>
        <v>1</v>
      </c>
      <c r="U57" s="19" t="n">
        <f aca="false">IF(J57&gt;1.25,1,0)</f>
        <v>0</v>
      </c>
    </row>
    <row r="58" customFormat="false" ht="15" hidden="false" customHeight="false" outlineLevel="0" collapsed="false">
      <c r="B58" s="13" t="s">
        <v>278</v>
      </c>
      <c r="C58" s="13" t="s">
        <v>221</v>
      </c>
      <c r="D58" s="19" t="n">
        <v>561</v>
      </c>
      <c r="E58" s="23" t="n">
        <v>0.2269</v>
      </c>
      <c r="F58" s="19" t="n">
        <v>72</v>
      </c>
      <c r="G58" s="19" t="n">
        <v>2</v>
      </c>
      <c r="H58" s="14" t="n">
        <v>20870</v>
      </c>
      <c r="I58" s="14" t="n">
        <v>20590.69</v>
      </c>
      <c r="J58" s="24" t="n">
        <v>1.158</v>
      </c>
      <c r="K58" s="19" t="n">
        <v>0</v>
      </c>
      <c r="L58" s="13" t="str">
        <f aca="false">IF(D58&gt;=Inputs!$C$14,"Near-prime","Non-prime")</f>
        <v>Non-prime</v>
      </c>
      <c r="M58" s="19" t="n">
        <f aca="false">IF(K58&lt;=Inputs!$C$19,1,0)</f>
        <v>1</v>
      </c>
      <c r="N58" s="19" t="n">
        <f aca="false">IF(F58&lt;=Inputs!$C$20,1,0)</f>
        <v>1</v>
      </c>
      <c r="O58" s="19" t="n">
        <f aca="false">IF(J58&lt;=Inputs!$C$21,1,0)</f>
        <v>1</v>
      </c>
      <c r="P58" s="19" t="n">
        <f aca="false">IF(D58&gt;=Inputs!$C$22,1,0)</f>
        <v>1</v>
      </c>
      <c r="Q58" s="19" t="n">
        <f aca="false">IF(I58&lt;=Inputs!$C$23,1,0)</f>
        <v>1</v>
      </c>
      <c r="R58" s="19" t="n">
        <f aca="false">M58*N58*O58*P58*Q58</f>
        <v>1</v>
      </c>
      <c r="S58" s="14" t="n">
        <f aca="false">I58*R58</f>
        <v>20590.69</v>
      </c>
      <c r="T58" s="19" t="n">
        <f aca="false">IF(F58&gt;72,1,0)</f>
        <v>0</v>
      </c>
      <c r="U58" s="19" t="n">
        <f aca="false">IF(J58&gt;1.25,1,0)</f>
        <v>0</v>
      </c>
    </row>
    <row r="59" customFormat="false" ht="15" hidden="false" customHeight="false" outlineLevel="0" collapsed="false">
      <c r="B59" s="13" t="s">
        <v>279</v>
      </c>
      <c r="C59" s="13" t="s">
        <v>221</v>
      </c>
      <c r="D59" s="19" t="n">
        <v>632</v>
      </c>
      <c r="E59" s="23" t="n">
        <v>0.2302</v>
      </c>
      <c r="F59" s="19" t="n">
        <v>60</v>
      </c>
      <c r="G59" s="19" t="n">
        <v>10</v>
      </c>
      <c r="H59" s="14" t="n">
        <v>15030</v>
      </c>
      <c r="I59" s="14" t="n">
        <v>13551.29</v>
      </c>
      <c r="J59" s="24" t="n">
        <v>1.172</v>
      </c>
      <c r="K59" s="19" t="n">
        <v>0</v>
      </c>
      <c r="L59" s="13" t="str">
        <f aca="false">IF(D59&gt;=Inputs!$C$14,"Near-prime","Non-prime")</f>
        <v>Near-prime</v>
      </c>
      <c r="M59" s="19" t="n">
        <f aca="false">IF(K59&lt;=Inputs!$C$19,1,0)</f>
        <v>1</v>
      </c>
      <c r="N59" s="19" t="n">
        <f aca="false">IF(F59&lt;=Inputs!$C$20,1,0)</f>
        <v>1</v>
      </c>
      <c r="O59" s="19" t="n">
        <f aca="false">IF(J59&lt;=Inputs!$C$21,1,0)</f>
        <v>1</v>
      </c>
      <c r="P59" s="19" t="n">
        <f aca="false">IF(D59&gt;=Inputs!$C$22,1,0)</f>
        <v>1</v>
      </c>
      <c r="Q59" s="19" t="n">
        <f aca="false">IF(I59&lt;=Inputs!$C$23,1,0)</f>
        <v>1</v>
      </c>
      <c r="R59" s="19" t="n">
        <f aca="false">M59*N59*O59*P59*Q59</f>
        <v>1</v>
      </c>
      <c r="S59" s="14" t="n">
        <f aca="false">I59*R59</f>
        <v>13551.29</v>
      </c>
      <c r="T59" s="19" t="n">
        <f aca="false">IF(F59&gt;72,1,0)</f>
        <v>0</v>
      </c>
      <c r="U59" s="19" t="n">
        <f aca="false">IF(J59&gt;1.25,1,0)</f>
        <v>0</v>
      </c>
    </row>
    <row r="60" customFormat="false" ht="15" hidden="false" customHeight="false" outlineLevel="0" collapsed="false">
      <c r="B60" s="13" t="s">
        <v>280</v>
      </c>
      <c r="C60" s="13" t="s">
        <v>221</v>
      </c>
      <c r="D60" s="19" t="n">
        <v>651</v>
      </c>
      <c r="E60" s="23" t="n">
        <v>0.2156</v>
      </c>
      <c r="F60" s="19" t="n">
        <v>72</v>
      </c>
      <c r="G60" s="19" t="n">
        <v>3</v>
      </c>
      <c r="H60" s="14" t="n">
        <v>16760</v>
      </c>
      <c r="I60" s="14" t="n">
        <v>16406.85</v>
      </c>
      <c r="J60" s="24" t="n">
        <v>1.291</v>
      </c>
      <c r="K60" s="19" t="n">
        <v>0</v>
      </c>
      <c r="L60" s="13" t="str">
        <f aca="false">IF(D60&gt;=Inputs!$C$14,"Near-prime","Non-prime")</f>
        <v>Near-prime</v>
      </c>
      <c r="M60" s="19" t="n">
        <f aca="false">IF(K60&lt;=Inputs!$C$19,1,0)</f>
        <v>1</v>
      </c>
      <c r="N60" s="19" t="n">
        <f aca="false">IF(F60&lt;=Inputs!$C$20,1,0)</f>
        <v>1</v>
      </c>
      <c r="O60" s="19" t="n">
        <f aca="false">IF(J60&lt;=Inputs!$C$21,1,0)</f>
        <v>1</v>
      </c>
      <c r="P60" s="19" t="n">
        <f aca="false">IF(D60&gt;=Inputs!$C$22,1,0)</f>
        <v>1</v>
      </c>
      <c r="Q60" s="19" t="n">
        <f aca="false">IF(I60&lt;=Inputs!$C$23,1,0)</f>
        <v>1</v>
      </c>
      <c r="R60" s="19" t="n">
        <f aca="false">M60*N60*O60*P60*Q60</f>
        <v>1</v>
      </c>
      <c r="S60" s="14" t="n">
        <f aca="false">I60*R60</f>
        <v>16406.85</v>
      </c>
      <c r="T60" s="19" t="n">
        <f aca="false">IF(F60&gt;72,1,0)</f>
        <v>0</v>
      </c>
      <c r="U60" s="19" t="n">
        <f aca="false">IF(J60&gt;1.25,1,0)</f>
        <v>1</v>
      </c>
    </row>
    <row r="61" customFormat="false" ht="15" hidden="false" customHeight="false" outlineLevel="0" collapsed="false">
      <c r="B61" s="13" t="s">
        <v>281</v>
      </c>
      <c r="C61" s="13" t="s">
        <v>219</v>
      </c>
      <c r="D61" s="19" t="n">
        <v>682</v>
      </c>
      <c r="E61" s="23" t="n">
        <v>0.1839</v>
      </c>
      <c r="F61" s="19" t="n">
        <v>72</v>
      </c>
      <c r="G61" s="19" t="n">
        <v>3</v>
      </c>
      <c r="H61" s="14" t="n">
        <v>48630</v>
      </c>
      <c r="I61" s="14" t="n">
        <v>47488.78</v>
      </c>
      <c r="J61" s="24" t="n">
        <v>1.071</v>
      </c>
      <c r="K61" s="19" t="n">
        <v>0</v>
      </c>
      <c r="L61" s="13" t="str">
        <f aca="false">IF(D61&gt;=Inputs!$C$14,"Near-prime","Non-prime")</f>
        <v>Near-prime</v>
      </c>
      <c r="M61" s="19" t="n">
        <f aca="false">IF(K61&lt;=Inputs!$C$19,1,0)</f>
        <v>1</v>
      </c>
      <c r="N61" s="19" t="n">
        <f aca="false">IF(F61&lt;=Inputs!$C$20,1,0)</f>
        <v>1</v>
      </c>
      <c r="O61" s="19" t="n">
        <f aca="false">IF(J61&lt;=Inputs!$C$21,1,0)</f>
        <v>1</v>
      </c>
      <c r="P61" s="19" t="n">
        <f aca="false">IF(D61&gt;=Inputs!$C$22,1,0)</f>
        <v>1</v>
      </c>
      <c r="Q61" s="19" t="n">
        <f aca="false">IF(I61&lt;=Inputs!$C$23,1,0)</f>
        <v>1</v>
      </c>
      <c r="R61" s="19" t="n">
        <f aca="false">M61*N61*O61*P61*Q61</f>
        <v>1</v>
      </c>
      <c r="S61" s="14" t="n">
        <f aca="false">I61*R61</f>
        <v>47488.78</v>
      </c>
      <c r="T61" s="19" t="n">
        <f aca="false">IF(F61&gt;72,1,0)</f>
        <v>0</v>
      </c>
      <c r="U61" s="19" t="n">
        <f aca="false">IF(J61&gt;1.25,1,0)</f>
        <v>0</v>
      </c>
    </row>
    <row r="62" customFormat="false" ht="15" hidden="false" customHeight="false" outlineLevel="0" collapsed="false">
      <c r="B62" s="13" t="s">
        <v>282</v>
      </c>
      <c r="C62" s="13" t="s">
        <v>252</v>
      </c>
      <c r="D62" s="19" t="n">
        <v>645</v>
      </c>
      <c r="E62" s="23" t="n">
        <v>0.2151</v>
      </c>
      <c r="F62" s="19" t="n">
        <v>60</v>
      </c>
      <c r="G62" s="19" t="n">
        <v>1</v>
      </c>
      <c r="H62" s="14" t="n">
        <v>24770</v>
      </c>
      <c r="I62" s="14" t="n">
        <v>24536.76</v>
      </c>
      <c r="J62" s="24" t="n">
        <v>1.186</v>
      </c>
      <c r="K62" s="19" t="n">
        <v>0</v>
      </c>
      <c r="L62" s="13" t="str">
        <f aca="false">IF(D62&gt;=Inputs!$C$14,"Near-prime","Non-prime")</f>
        <v>Near-prime</v>
      </c>
      <c r="M62" s="19" t="n">
        <f aca="false">IF(K62&lt;=Inputs!$C$19,1,0)</f>
        <v>1</v>
      </c>
      <c r="N62" s="19" t="n">
        <f aca="false">IF(F62&lt;=Inputs!$C$20,1,0)</f>
        <v>1</v>
      </c>
      <c r="O62" s="19" t="n">
        <f aca="false">IF(J62&lt;=Inputs!$C$21,1,0)</f>
        <v>1</v>
      </c>
      <c r="P62" s="19" t="n">
        <f aca="false">IF(D62&gt;=Inputs!$C$22,1,0)</f>
        <v>1</v>
      </c>
      <c r="Q62" s="19" t="n">
        <f aca="false">IF(I62&lt;=Inputs!$C$23,1,0)</f>
        <v>1</v>
      </c>
      <c r="R62" s="19" t="n">
        <f aca="false">M62*N62*O62*P62*Q62</f>
        <v>1</v>
      </c>
      <c r="S62" s="14" t="n">
        <f aca="false">I62*R62</f>
        <v>24536.76</v>
      </c>
      <c r="T62" s="19" t="n">
        <f aca="false">IF(F62&gt;72,1,0)</f>
        <v>0</v>
      </c>
      <c r="U62" s="19" t="n">
        <f aca="false">IF(J62&gt;1.25,1,0)</f>
        <v>0</v>
      </c>
    </row>
    <row r="63" customFormat="false" ht="15" hidden="false" customHeight="false" outlineLevel="0" collapsed="false">
      <c r="B63" s="13" t="s">
        <v>283</v>
      </c>
      <c r="C63" s="13" t="s">
        <v>221</v>
      </c>
      <c r="D63" s="19" t="n">
        <v>711</v>
      </c>
      <c r="E63" s="23" t="n">
        <v>0.1803</v>
      </c>
      <c r="F63" s="19" t="n">
        <v>66</v>
      </c>
      <c r="G63" s="19" t="n">
        <v>8</v>
      </c>
      <c r="H63" s="14" t="n">
        <v>21680</v>
      </c>
      <c r="I63" s="14" t="n">
        <v>20040.75</v>
      </c>
      <c r="J63" s="24" t="n">
        <v>0.937</v>
      </c>
      <c r="K63" s="19" t="n">
        <v>0</v>
      </c>
      <c r="L63" s="13" t="str">
        <f aca="false">IF(D63&gt;=Inputs!$C$14,"Near-prime","Non-prime")</f>
        <v>Near-prime</v>
      </c>
      <c r="M63" s="19" t="n">
        <f aca="false">IF(K63&lt;=Inputs!$C$19,1,0)</f>
        <v>1</v>
      </c>
      <c r="N63" s="19" t="n">
        <f aca="false">IF(F63&lt;=Inputs!$C$20,1,0)</f>
        <v>1</v>
      </c>
      <c r="O63" s="19" t="n">
        <f aca="false">IF(J63&lt;=Inputs!$C$21,1,0)</f>
        <v>1</v>
      </c>
      <c r="P63" s="19" t="n">
        <f aca="false">IF(D63&gt;=Inputs!$C$22,1,0)</f>
        <v>1</v>
      </c>
      <c r="Q63" s="19" t="n">
        <f aca="false">IF(I63&lt;=Inputs!$C$23,1,0)</f>
        <v>1</v>
      </c>
      <c r="R63" s="19" t="n">
        <f aca="false">M63*N63*O63*P63*Q63</f>
        <v>1</v>
      </c>
      <c r="S63" s="14" t="n">
        <f aca="false">I63*R63</f>
        <v>20040.75</v>
      </c>
      <c r="T63" s="19" t="n">
        <f aca="false">IF(F63&gt;72,1,0)</f>
        <v>0</v>
      </c>
      <c r="U63" s="19" t="n">
        <f aca="false">IF(J63&gt;1.25,1,0)</f>
        <v>0</v>
      </c>
    </row>
    <row r="64" customFormat="false" ht="15" hidden="false" customHeight="false" outlineLevel="0" collapsed="false">
      <c r="B64" s="13" t="s">
        <v>284</v>
      </c>
      <c r="C64" s="13" t="s">
        <v>217</v>
      </c>
      <c r="D64" s="19" t="n">
        <v>663</v>
      </c>
      <c r="E64" s="23" t="n">
        <v>0.2136</v>
      </c>
      <c r="F64" s="19" t="n">
        <v>60</v>
      </c>
      <c r="G64" s="19" t="n">
        <v>9</v>
      </c>
      <c r="H64" s="14" t="n">
        <v>22110</v>
      </c>
      <c r="I64" s="14" t="n">
        <v>20088.61</v>
      </c>
      <c r="J64" s="24" t="n">
        <v>0.89</v>
      </c>
      <c r="K64" s="19" t="n">
        <v>0</v>
      </c>
      <c r="L64" s="13" t="str">
        <f aca="false">IF(D64&gt;=Inputs!$C$14,"Near-prime","Non-prime")</f>
        <v>Near-prime</v>
      </c>
      <c r="M64" s="19" t="n">
        <f aca="false">IF(K64&lt;=Inputs!$C$19,1,0)</f>
        <v>1</v>
      </c>
      <c r="N64" s="19" t="n">
        <f aca="false">IF(F64&lt;=Inputs!$C$20,1,0)</f>
        <v>1</v>
      </c>
      <c r="O64" s="19" t="n">
        <f aca="false">IF(J64&lt;=Inputs!$C$21,1,0)</f>
        <v>1</v>
      </c>
      <c r="P64" s="19" t="n">
        <f aca="false">IF(D64&gt;=Inputs!$C$22,1,0)</f>
        <v>1</v>
      </c>
      <c r="Q64" s="19" t="n">
        <f aca="false">IF(I64&lt;=Inputs!$C$23,1,0)</f>
        <v>1</v>
      </c>
      <c r="R64" s="19" t="n">
        <f aca="false">M64*N64*O64*P64*Q64</f>
        <v>1</v>
      </c>
      <c r="S64" s="14" t="n">
        <f aca="false">I64*R64</f>
        <v>20088.61</v>
      </c>
      <c r="T64" s="19" t="n">
        <f aca="false">IF(F64&gt;72,1,0)</f>
        <v>0</v>
      </c>
      <c r="U64" s="19" t="n">
        <f aca="false">IF(J64&gt;1.25,1,0)</f>
        <v>0</v>
      </c>
    </row>
    <row r="65" customFormat="false" ht="15" hidden="false" customHeight="false" outlineLevel="0" collapsed="false">
      <c r="B65" s="13" t="s">
        <v>285</v>
      </c>
      <c r="C65" s="13" t="s">
        <v>226</v>
      </c>
      <c r="D65" s="19" t="n">
        <v>661</v>
      </c>
      <c r="E65" s="23" t="n">
        <v>0.2138</v>
      </c>
      <c r="F65" s="19" t="n">
        <v>66</v>
      </c>
      <c r="G65" s="19" t="n">
        <v>2</v>
      </c>
      <c r="H65" s="14" t="n">
        <v>17570</v>
      </c>
      <c r="I65" s="14" t="n">
        <v>17283.88</v>
      </c>
      <c r="J65" s="24" t="n">
        <v>1.071</v>
      </c>
      <c r="K65" s="19" t="n">
        <v>0</v>
      </c>
      <c r="L65" s="13" t="str">
        <f aca="false">IF(D65&gt;=Inputs!$C$14,"Near-prime","Non-prime")</f>
        <v>Near-prime</v>
      </c>
      <c r="M65" s="19" t="n">
        <f aca="false">IF(K65&lt;=Inputs!$C$19,1,0)</f>
        <v>1</v>
      </c>
      <c r="N65" s="19" t="n">
        <f aca="false">IF(F65&lt;=Inputs!$C$20,1,0)</f>
        <v>1</v>
      </c>
      <c r="O65" s="19" t="n">
        <f aca="false">IF(J65&lt;=Inputs!$C$21,1,0)</f>
        <v>1</v>
      </c>
      <c r="P65" s="19" t="n">
        <f aca="false">IF(D65&gt;=Inputs!$C$22,1,0)</f>
        <v>1</v>
      </c>
      <c r="Q65" s="19" t="n">
        <f aca="false">IF(I65&lt;=Inputs!$C$23,1,0)</f>
        <v>1</v>
      </c>
      <c r="R65" s="19" t="n">
        <f aca="false">M65*N65*O65*P65*Q65</f>
        <v>1</v>
      </c>
      <c r="S65" s="14" t="n">
        <f aca="false">I65*R65</f>
        <v>17283.88</v>
      </c>
      <c r="T65" s="19" t="n">
        <f aca="false">IF(F65&gt;72,1,0)</f>
        <v>0</v>
      </c>
      <c r="U65" s="19" t="n">
        <f aca="false">IF(J65&gt;1.25,1,0)</f>
        <v>0</v>
      </c>
    </row>
    <row r="66" customFormat="false" ht="15" hidden="false" customHeight="false" outlineLevel="0" collapsed="false">
      <c r="B66" s="13" t="s">
        <v>286</v>
      </c>
      <c r="C66" s="13" t="s">
        <v>221</v>
      </c>
      <c r="D66" s="19" t="n">
        <v>705</v>
      </c>
      <c r="E66" s="23" t="n">
        <v>0.2257</v>
      </c>
      <c r="F66" s="19" t="n">
        <v>66</v>
      </c>
      <c r="G66" s="19" t="n">
        <v>3</v>
      </c>
      <c r="H66" s="14" t="n">
        <v>19450</v>
      </c>
      <c r="I66" s="14" t="n">
        <v>18988.04</v>
      </c>
      <c r="J66" s="24" t="n">
        <v>1.039</v>
      </c>
      <c r="K66" s="19" t="n">
        <v>0</v>
      </c>
      <c r="L66" s="13" t="str">
        <f aca="false">IF(D66&gt;=Inputs!$C$14,"Near-prime","Non-prime")</f>
        <v>Near-prime</v>
      </c>
      <c r="M66" s="19" t="n">
        <f aca="false">IF(K66&lt;=Inputs!$C$19,1,0)</f>
        <v>1</v>
      </c>
      <c r="N66" s="19" t="n">
        <f aca="false">IF(F66&lt;=Inputs!$C$20,1,0)</f>
        <v>1</v>
      </c>
      <c r="O66" s="19" t="n">
        <f aca="false">IF(J66&lt;=Inputs!$C$21,1,0)</f>
        <v>1</v>
      </c>
      <c r="P66" s="19" t="n">
        <f aca="false">IF(D66&gt;=Inputs!$C$22,1,0)</f>
        <v>1</v>
      </c>
      <c r="Q66" s="19" t="n">
        <f aca="false">IF(I66&lt;=Inputs!$C$23,1,0)</f>
        <v>1</v>
      </c>
      <c r="R66" s="19" t="n">
        <f aca="false">M66*N66*O66*P66*Q66</f>
        <v>1</v>
      </c>
      <c r="S66" s="14" t="n">
        <f aca="false">I66*R66</f>
        <v>18988.04</v>
      </c>
      <c r="T66" s="19" t="n">
        <f aca="false">IF(F66&gt;72,1,0)</f>
        <v>0</v>
      </c>
      <c r="U66" s="19" t="n">
        <f aca="false">IF(J66&gt;1.25,1,0)</f>
        <v>0</v>
      </c>
    </row>
    <row r="67" customFormat="false" ht="15" hidden="false" customHeight="false" outlineLevel="0" collapsed="false">
      <c r="B67" s="13" t="s">
        <v>287</v>
      </c>
      <c r="C67" s="13" t="s">
        <v>223</v>
      </c>
      <c r="D67" s="19" t="n">
        <v>610</v>
      </c>
      <c r="E67" s="23" t="n">
        <v>0.2176</v>
      </c>
      <c r="F67" s="19" t="n">
        <v>60</v>
      </c>
      <c r="G67" s="19" t="n">
        <v>8</v>
      </c>
      <c r="H67" s="14" t="n">
        <v>28350</v>
      </c>
      <c r="I67" s="14" t="n">
        <v>26090.01</v>
      </c>
      <c r="J67" s="24" t="n">
        <v>1.352</v>
      </c>
      <c r="K67" s="19" t="n">
        <v>45</v>
      </c>
      <c r="L67" s="13" t="str">
        <f aca="false">IF(D67&gt;=Inputs!$C$14,"Near-prime","Non-prime")</f>
        <v>Non-prime</v>
      </c>
      <c r="M67" s="19" t="n">
        <f aca="false">IF(K67&lt;=Inputs!$C$19,1,0)</f>
        <v>1</v>
      </c>
      <c r="N67" s="19" t="n">
        <f aca="false">IF(F67&lt;=Inputs!$C$20,1,0)</f>
        <v>1</v>
      </c>
      <c r="O67" s="19" t="n">
        <f aca="false">IF(J67&lt;=Inputs!$C$21,1,0)</f>
        <v>1</v>
      </c>
      <c r="P67" s="19" t="n">
        <f aca="false">IF(D67&gt;=Inputs!$C$22,1,0)</f>
        <v>1</v>
      </c>
      <c r="Q67" s="19" t="n">
        <f aca="false">IF(I67&lt;=Inputs!$C$23,1,0)</f>
        <v>1</v>
      </c>
      <c r="R67" s="19" t="n">
        <f aca="false">M67*N67*O67*P67*Q67</f>
        <v>1</v>
      </c>
      <c r="S67" s="14" t="n">
        <f aca="false">I67*R67</f>
        <v>26090.01</v>
      </c>
      <c r="T67" s="19" t="n">
        <f aca="false">IF(F67&gt;72,1,0)</f>
        <v>0</v>
      </c>
      <c r="U67" s="19" t="n">
        <f aca="false">IF(J67&gt;1.25,1,0)</f>
        <v>1</v>
      </c>
    </row>
    <row r="68" customFormat="false" ht="15" hidden="false" customHeight="false" outlineLevel="0" collapsed="false">
      <c r="B68" s="13" t="s">
        <v>288</v>
      </c>
      <c r="C68" s="13" t="s">
        <v>221</v>
      </c>
      <c r="D68" s="19" t="n">
        <v>665</v>
      </c>
      <c r="E68" s="23" t="n">
        <v>0.2013</v>
      </c>
      <c r="F68" s="19" t="n">
        <v>60</v>
      </c>
      <c r="G68" s="19" t="n">
        <v>2</v>
      </c>
      <c r="H68" s="14" t="n">
        <v>21190</v>
      </c>
      <c r="I68" s="14" t="n">
        <v>20771.57</v>
      </c>
      <c r="J68" s="24" t="n">
        <v>1.192</v>
      </c>
      <c r="K68" s="19" t="n">
        <v>0</v>
      </c>
      <c r="L68" s="13" t="str">
        <f aca="false">IF(D68&gt;=Inputs!$C$14,"Near-prime","Non-prime")</f>
        <v>Near-prime</v>
      </c>
      <c r="M68" s="19" t="n">
        <f aca="false">IF(K68&lt;=Inputs!$C$19,1,0)</f>
        <v>1</v>
      </c>
      <c r="N68" s="19" t="n">
        <f aca="false">IF(F68&lt;=Inputs!$C$20,1,0)</f>
        <v>1</v>
      </c>
      <c r="O68" s="19" t="n">
        <f aca="false">IF(J68&lt;=Inputs!$C$21,1,0)</f>
        <v>1</v>
      </c>
      <c r="P68" s="19" t="n">
        <f aca="false">IF(D68&gt;=Inputs!$C$22,1,0)</f>
        <v>1</v>
      </c>
      <c r="Q68" s="19" t="n">
        <f aca="false">IF(I68&lt;=Inputs!$C$23,1,0)</f>
        <v>1</v>
      </c>
      <c r="R68" s="19" t="n">
        <f aca="false">M68*N68*O68*P68*Q68</f>
        <v>1</v>
      </c>
      <c r="S68" s="14" t="n">
        <f aca="false">I68*R68</f>
        <v>20771.57</v>
      </c>
      <c r="T68" s="19" t="n">
        <f aca="false">IF(F68&gt;72,1,0)</f>
        <v>0</v>
      </c>
      <c r="U68" s="19" t="n">
        <f aca="false">IF(J68&gt;1.25,1,0)</f>
        <v>0</v>
      </c>
    </row>
    <row r="69" customFormat="false" ht="15" hidden="false" customHeight="false" outlineLevel="0" collapsed="false">
      <c r="B69" s="13" t="s">
        <v>289</v>
      </c>
      <c r="C69" s="13" t="s">
        <v>217</v>
      </c>
      <c r="D69" s="19" t="n">
        <v>616</v>
      </c>
      <c r="E69" s="23" t="n">
        <v>0.211</v>
      </c>
      <c r="F69" s="19" t="n">
        <v>60</v>
      </c>
      <c r="G69" s="19" t="n">
        <v>1</v>
      </c>
      <c r="H69" s="14" t="n">
        <v>20610</v>
      </c>
      <c r="I69" s="14" t="n">
        <v>20413.66</v>
      </c>
      <c r="J69" s="24" t="n">
        <v>1.304</v>
      </c>
      <c r="K69" s="19" t="n">
        <v>0</v>
      </c>
      <c r="L69" s="13" t="str">
        <f aca="false">IF(D69&gt;=Inputs!$C$14,"Near-prime","Non-prime")</f>
        <v>Non-prime</v>
      </c>
      <c r="M69" s="19" t="n">
        <f aca="false">IF(K69&lt;=Inputs!$C$19,1,0)</f>
        <v>1</v>
      </c>
      <c r="N69" s="19" t="n">
        <f aca="false">IF(F69&lt;=Inputs!$C$20,1,0)</f>
        <v>1</v>
      </c>
      <c r="O69" s="19" t="n">
        <f aca="false">IF(J69&lt;=Inputs!$C$21,1,0)</f>
        <v>1</v>
      </c>
      <c r="P69" s="19" t="n">
        <f aca="false">IF(D69&gt;=Inputs!$C$22,1,0)</f>
        <v>1</v>
      </c>
      <c r="Q69" s="19" t="n">
        <f aca="false">IF(I69&lt;=Inputs!$C$23,1,0)</f>
        <v>1</v>
      </c>
      <c r="R69" s="19" t="n">
        <f aca="false">M69*N69*O69*P69*Q69</f>
        <v>1</v>
      </c>
      <c r="S69" s="14" t="n">
        <f aca="false">I69*R69</f>
        <v>20413.66</v>
      </c>
      <c r="T69" s="19" t="n">
        <f aca="false">IF(F69&gt;72,1,0)</f>
        <v>0</v>
      </c>
      <c r="U69" s="19" t="n">
        <f aca="false">IF(J69&gt;1.25,1,0)</f>
        <v>1</v>
      </c>
    </row>
    <row r="70" customFormat="false" ht="15" hidden="false" customHeight="false" outlineLevel="0" collapsed="false">
      <c r="B70" s="13" t="s">
        <v>290</v>
      </c>
      <c r="C70" s="13" t="s">
        <v>228</v>
      </c>
      <c r="D70" s="19" t="n">
        <v>610</v>
      </c>
      <c r="E70" s="23" t="n">
        <v>0.2231</v>
      </c>
      <c r="F70" s="19" t="n">
        <v>60</v>
      </c>
      <c r="G70" s="19" t="n">
        <v>10</v>
      </c>
      <c r="H70" s="14" t="n">
        <v>22080</v>
      </c>
      <c r="I70" s="14" t="n">
        <v>19869.08</v>
      </c>
      <c r="J70" s="24" t="n">
        <v>1.143</v>
      </c>
      <c r="K70" s="19" t="n">
        <v>0</v>
      </c>
      <c r="L70" s="13" t="str">
        <f aca="false">IF(D70&gt;=Inputs!$C$14,"Near-prime","Non-prime")</f>
        <v>Non-prime</v>
      </c>
      <c r="M70" s="19" t="n">
        <f aca="false">IF(K70&lt;=Inputs!$C$19,1,0)</f>
        <v>1</v>
      </c>
      <c r="N70" s="19" t="n">
        <f aca="false">IF(F70&lt;=Inputs!$C$20,1,0)</f>
        <v>1</v>
      </c>
      <c r="O70" s="19" t="n">
        <f aca="false">IF(J70&lt;=Inputs!$C$21,1,0)</f>
        <v>1</v>
      </c>
      <c r="P70" s="19" t="n">
        <f aca="false">IF(D70&gt;=Inputs!$C$22,1,0)</f>
        <v>1</v>
      </c>
      <c r="Q70" s="19" t="n">
        <f aca="false">IF(I70&lt;=Inputs!$C$23,1,0)</f>
        <v>1</v>
      </c>
      <c r="R70" s="19" t="n">
        <f aca="false">M70*N70*O70*P70*Q70</f>
        <v>1</v>
      </c>
      <c r="S70" s="14" t="n">
        <f aca="false">I70*R70</f>
        <v>19869.08</v>
      </c>
      <c r="T70" s="19" t="n">
        <f aca="false">IF(F70&gt;72,1,0)</f>
        <v>0</v>
      </c>
      <c r="U70" s="19" t="n">
        <f aca="false">IF(J70&gt;1.25,1,0)</f>
        <v>0</v>
      </c>
    </row>
    <row r="71" customFormat="false" ht="15" hidden="false" customHeight="false" outlineLevel="0" collapsed="false">
      <c r="B71" s="13" t="s">
        <v>291</v>
      </c>
      <c r="C71" s="13" t="s">
        <v>233</v>
      </c>
      <c r="D71" s="19" t="n">
        <v>723</v>
      </c>
      <c r="E71" s="23" t="n">
        <v>0.1972</v>
      </c>
      <c r="F71" s="19" t="n">
        <v>48</v>
      </c>
      <c r="G71" s="19" t="n">
        <v>7</v>
      </c>
      <c r="H71" s="14" t="n">
        <v>24430</v>
      </c>
      <c r="I71" s="14" t="n">
        <v>21941.84</v>
      </c>
      <c r="J71" s="24" t="n">
        <v>1.214</v>
      </c>
      <c r="K71" s="19" t="n">
        <v>0</v>
      </c>
      <c r="L71" s="13" t="str">
        <f aca="false">IF(D71&gt;=Inputs!$C$14,"Near-prime","Non-prime")</f>
        <v>Near-prime</v>
      </c>
      <c r="M71" s="19" t="n">
        <f aca="false">IF(K71&lt;=Inputs!$C$19,1,0)</f>
        <v>1</v>
      </c>
      <c r="N71" s="19" t="n">
        <f aca="false">IF(F71&lt;=Inputs!$C$20,1,0)</f>
        <v>1</v>
      </c>
      <c r="O71" s="19" t="n">
        <f aca="false">IF(J71&lt;=Inputs!$C$21,1,0)</f>
        <v>1</v>
      </c>
      <c r="P71" s="19" t="n">
        <f aca="false">IF(D71&gt;=Inputs!$C$22,1,0)</f>
        <v>1</v>
      </c>
      <c r="Q71" s="19" t="n">
        <f aca="false">IF(I71&lt;=Inputs!$C$23,1,0)</f>
        <v>1</v>
      </c>
      <c r="R71" s="19" t="n">
        <f aca="false">M71*N71*O71*P71*Q71</f>
        <v>1</v>
      </c>
      <c r="S71" s="14" t="n">
        <f aca="false">I71*R71</f>
        <v>21941.84</v>
      </c>
      <c r="T71" s="19" t="n">
        <f aca="false">IF(F71&gt;72,1,0)</f>
        <v>0</v>
      </c>
      <c r="U71" s="19" t="n">
        <f aca="false">IF(J71&gt;1.25,1,0)</f>
        <v>0</v>
      </c>
    </row>
    <row r="72" customFormat="false" ht="15" hidden="false" customHeight="false" outlineLevel="0" collapsed="false">
      <c r="B72" s="13" t="s">
        <v>292</v>
      </c>
      <c r="C72" s="13" t="s">
        <v>217</v>
      </c>
      <c r="D72" s="19" t="n">
        <v>701</v>
      </c>
      <c r="E72" s="23" t="n">
        <v>0.2016</v>
      </c>
      <c r="F72" s="19" t="n">
        <v>60</v>
      </c>
      <c r="G72" s="19" t="n">
        <v>10</v>
      </c>
      <c r="H72" s="14" t="n">
        <v>22200</v>
      </c>
      <c r="I72" s="14" t="n">
        <v>19856.41</v>
      </c>
      <c r="J72" s="24" t="n">
        <v>1.036</v>
      </c>
      <c r="K72" s="19" t="n">
        <v>0</v>
      </c>
      <c r="L72" s="13" t="str">
        <f aca="false">IF(D72&gt;=Inputs!$C$14,"Near-prime","Non-prime")</f>
        <v>Near-prime</v>
      </c>
      <c r="M72" s="19" t="n">
        <f aca="false">IF(K72&lt;=Inputs!$C$19,1,0)</f>
        <v>1</v>
      </c>
      <c r="N72" s="19" t="n">
        <f aca="false">IF(F72&lt;=Inputs!$C$20,1,0)</f>
        <v>1</v>
      </c>
      <c r="O72" s="19" t="n">
        <f aca="false">IF(J72&lt;=Inputs!$C$21,1,0)</f>
        <v>1</v>
      </c>
      <c r="P72" s="19" t="n">
        <f aca="false">IF(D72&gt;=Inputs!$C$22,1,0)</f>
        <v>1</v>
      </c>
      <c r="Q72" s="19" t="n">
        <f aca="false">IF(I72&lt;=Inputs!$C$23,1,0)</f>
        <v>1</v>
      </c>
      <c r="R72" s="19" t="n">
        <f aca="false">M72*N72*O72*P72*Q72</f>
        <v>1</v>
      </c>
      <c r="S72" s="14" t="n">
        <f aca="false">I72*R72</f>
        <v>19856.41</v>
      </c>
      <c r="T72" s="19" t="n">
        <f aca="false">IF(F72&gt;72,1,0)</f>
        <v>0</v>
      </c>
      <c r="U72" s="19" t="n">
        <f aca="false">IF(J72&gt;1.25,1,0)</f>
        <v>0</v>
      </c>
    </row>
    <row r="73" customFormat="false" ht="15" hidden="false" customHeight="false" outlineLevel="0" collapsed="false">
      <c r="B73" s="13" t="s">
        <v>293</v>
      </c>
      <c r="C73" s="13" t="s">
        <v>223</v>
      </c>
      <c r="D73" s="19" t="n">
        <v>672</v>
      </c>
      <c r="E73" s="23" t="n">
        <v>0.2169</v>
      </c>
      <c r="F73" s="19" t="n">
        <v>84</v>
      </c>
      <c r="G73" s="19" t="n">
        <v>2</v>
      </c>
      <c r="H73" s="14" t="n">
        <v>19780</v>
      </c>
      <c r="I73" s="14" t="n">
        <v>19574.03</v>
      </c>
      <c r="J73" s="24" t="n">
        <v>1.188</v>
      </c>
      <c r="K73" s="19" t="n">
        <v>0</v>
      </c>
      <c r="L73" s="13" t="str">
        <f aca="false">IF(D73&gt;=Inputs!$C$14,"Near-prime","Non-prime")</f>
        <v>Near-prime</v>
      </c>
      <c r="M73" s="19" t="n">
        <f aca="false">IF(K73&lt;=Inputs!$C$19,1,0)</f>
        <v>1</v>
      </c>
      <c r="N73" s="19" t="n">
        <f aca="false">IF(F73&lt;=Inputs!$C$20,1,0)</f>
        <v>0</v>
      </c>
      <c r="O73" s="19" t="n">
        <f aca="false">IF(J73&lt;=Inputs!$C$21,1,0)</f>
        <v>1</v>
      </c>
      <c r="P73" s="19" t="n">
        <f aca="false">IF(D73&gt;=Inputs!$C$22,1,0)</f>
        <v>1</v>
      </c>
      <c r="Q73" s="19" t="n">
        <f aca="false">IF(I73&lt;=Inputs!$C$23,1,0)</f>
        <v>1</v>
      </c>
      <c r="R73" s="19" t="n">
        <f aca="false">M73*N73*O73*P73*Q73</f>
        <v>0</v>
      </c>
      <c r="S73" s="14" t="n">
        <f aca="false">I73*R73</f>
        <v>0</v>
      </c>
      <c r="T73" s="19" t="n">
        <f aca="false">IF(F73&gt;72,1,0)</f>
        <v>1</v>
      </c>
      <c r="U73" s="19" t="n">
        <f aca="false">IF(J73&gt;1.25,1,0)</f>
        <v>0</v>
      </c>
    </row>
    <row r="74" customFormat="false" ht="15" hidden="false" customHeight="false" outlineLevel="0" collapsed="false">
      <c r="B74" s="13" t="s">
        <v>294</v>
      </c>
      <c r="C74" s="13" t="s">
        <v>237</v>
      </c>
      <c r="D74" s="19" t="n">
        <v>712</v>
      </c>
      <c r="E74" s="23" t="n">
        <v>0.1998</v>
      </c>
      <c r="F74" s="19" t="n">
        <v>60</v>
      </c>
      <c r="G74" s="19" t="n">
        <v>5</v>
      </c>
      <c r="H74" s="14" t="n">
        <v>20260</v>
      </c>
      <c r="I74" s="14" t="n">
        <v>19230.22</v>
      </c>
      <c r="J74" s="24" t="n">
        <v>0.997</v>
      </c>
      <c r="K74" s="19" t="n">
        <v>0</v>
      </c>
      <c r="L74" s="13" t="str">
        <f aca="false">IF(D74&gt;=Inputs!$C$14,"Near-prime","Non-prime")</f>
        <v>Near-prime</v>
      </c>
      <c r="M74" s="19" t="n">
        <f aca="false">IF(K74&lt;=Inputs!$C$19,1,0)</f>
        <v>1</v>
      </c>
      <c r="N74" s="19" t="n">
        <f aca="false">IF(F74&lt;=Inputs!$C$20,1,0)</f>
        <v>1</v>
      </c>
      <c r="O74" s="19" t="n">
        <f aca="false">IF(J74&lt;=Inputs!$C$21,1,0)</f>
        <v>1</v>
      </c>
      <c r="P74" s="19" t="n">
        <f aca="false">IF(D74&gt;=Inputs!$C$22,1,0)</f>
        <v>1</v>
      </c>
      <c r="Q74" s="19" t="n">
        <f aca="false">IF(I74&lt;=Inputs!$C$23,1,0)</f>
        <v>1</v>
      </c>
      <c r="R74" s="19" t="n">
        <f aca="false">M74*N74*O74*P74*Q74</f>
        <v>1</v>
      </c>
      <c r="S74" s="14" t="n">
        <f aca="false">I74*R74</f>
        <v>19230.22</v>
      </c>
      <c r="T74" s="19" t="n">
        <f aca="false">IF(F74&gt;72,1,0)</f>
        <v>0</v>
      </c>
      <c r="U74" s="19" t="n">
        <f aca="false">IF(J74&gt;1.25,1,0)</f>
        <v>0</v>
      </c>
    </row>
    <row r="75" customFormat="false" ht="15" hidden="false" customHeight="false" outlineLevel="0" collapsed="false">
      <c r="B75" s="13" t="s">
        <v>295</v>
      </c>
      <c r="C75" s="13" t="s">
        <v>223</v>
      </c>
      <c r="D75" s="19" t="n">
        <v>664</v>
      </c>
      <c r="E75" s="23" t="n">
        <v>0.1863</v>
      </c>
      <c r="F75" s="19" t="n">
        <v>66</v>
      </c>
      <c r="G75" s="19" t="n">
        <v>5</v>
      </c>
      <c r="H75" s="14" t="n">
        <v>27670</v>
      </c>
      <c r="I75" s="14" t="n">
        <v>26414.17</v>
      </c>
      <c r="J75" s="24" t="n">
        <v>1.001</v>
      </c>
      <c r="K75" s="19" t="n">
        <v>0</v>
      </c>
      <c r="L75" s="13" t="str">
        <f aca="false">IF(D75&gt;=Inputs!$C$14,"Near-prime","Non-prime")</f>
        <v>Near-prime</v>
      </c>
      <c r="M75" s="19" t="n">
        <f aca="false">IF(K75&lt;=Inputs!$C$19,1,0)</f>
        <v>1</v>
      </c>
      <c r="N75" s="19" t="n">
        <f aca="false">IF(F75&lt;=Inputs!$C$20,1,0)</f>
        <v>1</v>
      </c>
      <c r="O75" s="19" t="n">
        <f aca="false">IF(J75&lt;=Inputs!$C$21,1,0)</f>
        <v>1</v>
      </c>
      <c r="P75" s="19" t="n">
        <f aca="false">IF(D75&gt;=Inputs!$C$22,1,0)</f>
        <v>1</v>
      </c>
      <c r="Q75" s="19" t="n">
        <f aca="false">IF(I75&lt;=Inputs!$C$23,1,0)</f>
        <v>1</v>
      </c>
      <c r="R75" s="19" t="n">
        <f aca="false">M75*N75*O75*P75*Q75</f>
        <v>1</v>
      </c>
      <c r="S75" s="14" t="n">
        <f aca="false">I75*R75</f>
        <v>26414.17</v>
      </c>
      <c r="T75" s="19" t="n">
        <f aca="false">IF(F75&gt;72,1,0)</f>
        <v>0</v>
      </c>
      <c r="U75" s="19" t="n">
        <f aca="false">IF(J75&gt;1.25,1,0)</f>
        <v>0</v>
      </c>
    </row>
    <row r="76" customFormat="false" ht="15" hidden="false" customHeight="false" outlineLevel="0" collapsed="false">
      <c r="B76" s="13" t="s">
        <v>296</v>
      </c>
      <c r="C76" s="13" t="s">
        <v>252</v>
      </c>
      <c r="D76" s="19" t="n">
        <v>715</v>
      </c>
      <c r="E76" s="23" t="n">
        <v>0.1873</v>
      </c>
      <c r="F76" s="19" t="n">
        <v>84</v>
      </c>
      <c r="G76" s="19" t="n">
        <v>10</v>
      </c>
      <c r="H76" s="14" t="n">
        <v>20890</v>
      </c>
      <c r="I76" s="14" t="n">
        <v>19580.77</v>
      </c>
      <c r="J76" s="24" t="n">
        <v>0.704</v>
      </c>
      <c r="K76" s="19" t="n">
        <v>0</v>
      </c>
      <c r="L76" s="13" t="str">
        <f aca="false">IF(D76&gt;=Inputs!$C$14,"Near-prime","Non-prime")</f>
        <v>Near-prime</v>
      </c>
      <c r="M76" s="19" t="n">
        <f aca="false">IF(K76&lt;=Inputs!$C$19,1,0)</f>
        <v>1</v>
      </c>
      <c r="N76" s="19" t="n">
        <f aca="false">IF(F76&lt;=Inputs!$C$20,1,0)</f>
        <v>0</v>
      </c>
      <c r="O76" s="19" t="n">
        <f aca="false">IF(J76&lt;=Inputs!$C$21,1,0)</f>
        <v>1</v>
      </c>
      <c r="P76" s="19" t="n">
        <f aca="false">IF(D76&gt;=Inputs!$C$22,1,0)</f>
        <v>1</v>
      </c>
      <c r="Q76" s="19" t="n">
        <f aca="false">IF(I76&lt;=Inputs!$C$23,1,0)</f>
        <v>1</v>
      </c>
      <c r="R76" s="19" t="n">
        <f aca="false">M76*N76*O76*P76*Q76</f>
        <v>0</v>
      </c>
      <c r="S76" s="14" t="n">
        <f aca="false">I76*R76</f>
        <v>0</v>
      </c>
      <c r="T76" s="19" t="n">
        <f aca="false">IF(F76&gt;72,1,0)</f>
        <v>1</v>
      </c>
      <c r="U76" s="19" t="n">
        <f aca="false">IF(J76&gt;1.25,1,0)</f>
        <v>0</v>
      </c>
    </row>
    <row r="77" customFormat="false" ht="15" hidden="false" customHeight="false" outlineLevel="0" collapsed="false">
      <c r="B77" s="13" t="s">
        <v>297</v>
      </c>
      <c r="C77" s="13" t="s">
        <v>221</v>
      </c>
      <c r="D77" s="19" t="n">
        <v>601</v>
      </c>
      <c r="E77" s="23" t="n">
        <v>0.2193</v>
      </c>
      <c r="F77" s="19" t="n">
        <v>66</v>
      </c>
      <c r="G77" s="19" t="n">
        <v>6</v>
      </c>
      <c r="H77" s="14" t="n">
        <v>21890</v>
      </c>
      <c r="I77" s="14" t="n">
        <v>20799.66</v>
      </c>
      <c r="J77" s="24" t="n">
        <v>1.141</v>
      </c>
      <c r="K77" s="19" t="n">
        <v>0</v>
      </c>
      <c r="L77" s="13" t="str">
        <f aca="false">IF(D77&gt;=Inputs!$C$14,"Near-prime","Non-prime")</f>
        <v>Non-prime</v>
      </c>
      <c r="M77" s="19" t="n">
        <f aca="false">IF(K77&lt;=Inputs!$C$19,1,0)</f>
        <v>1</v>
      </c>
      <c r="N77" s="19" t="n">
        <f aca="false">IF(F77&lt;=Inputs!$C$20,1,0)</f>
        <v>1</v>
      </c>
      <c r="O77" s="19" t="n">
        <f aca="false">IF(J77&lt;=Inputs!$C$21,1,0)</f>
        <v>1</v>
      </c>
      <c r="P77" s="19" t="n">
        <f aca="false">IF(D77&gt;=Inputs!$C$22,1,0)</f>
        <v>1</v>
      </c>
      <c r="Q77" s="19" t="n">
        <f aca="false">IF(I77&lt;=Inputs!$C$23,1,0)</f>
        <v>1</v>
      </c>
      <c r="R77" s="19" t="n">
        <f aca="false">M77*N77*O77*P77*Q77</f>
        <v>1</v>
      </c>
      <c r="S77" s="14" t="n">
        <f aca="false">I77*R77</f>
        <v>20799.66</v>
      </c>
      <c r="T77" s="19" t="n">
        <f aca="false">IF(F77&gt;72,1,0)</f>
        <v>0</v>
      </c>
      <c r="U77" s="19" t="n">
        <f aca="false">IF(J77&gt;1.25,1,0)</f>
        <v>0</v>
      </c>
    </row>
    <row r="78" customFormat="false" ht="15" hidden="false" customHeight="false" outlineLevel="0" collapsed="false">
      <c r="B78" s="13" t="s">
        <v>298</v>
      </c>
      <c r="C78" s="13" t="s">
        <v>226</v>
      </c>
      <c r="D78" s="19" t="n">
        <v>637</v>
      </c>
      <c r="E78" s="23" t="n">
        <v>0.2156</v>
      </c>
      <c r="F78" s="19" t="n">
        <v>75</v>
      </c>
      <c r="G78" s="19" t="n">
        <v>5</v>
      </c>
      <c r="H78" s="14" t="n">
        <v>18580</v>
      </c>
      <c r="I78" s="14" t="n">
        <v>17962.53</v>
      </c>
      <c r="J78" s="24" t="n">
        <v>1.224</v>
      </c>
      <c r="K78" s="19" t="n">
        <v>0</v>
      </c>
      <c r="L78" s="13" t="str">
        <f aca="false">IF(D78&gt;=Inputs!$C$14,"Near-prime","Non-prime")</f>
        <v>Near-prime</v>
      </c>
      <c r="M78" s="19" t="n">
        <f aca="false">IF(K78&lt;=Inputs!$C$19,1,0)</f>
        <v>1</v>
      </c>
      <c r="N78" s="19" t="n">
        <f aca="false">IF(F78&lt;=Inputs!$C$20,1,0)</f>
        <v>1</v>
      </c>
      <c r="O78" s="19" t="n">
        <f aca="false">IF(J78&lt;=Inputs!$C$21,1,0)</f>
        <v>1</v>
      </c>
      <c r="P78" s="19" t="n">
        <f aca="false">IF(D78&gt;=Inputs!$C$22,1,0)</f>
        <v>1</v>
      </c>
      <c r="Q78" s="19" t="n">
        <f aca="false">IF(I78&lt;=Inputs!$C$23,1,0)</f>
        <v>1</v>
      </c>
      <c r="R78" s="19" t="n">
        <f aca="false">M78*N78*O78*P78*Q78</f>
        <v>1</v>
      </c>
      <c r="S78" s="14" t="n">
        <f aca="false">I78*R78</f>
        <v>17962.53</v>
      </c>
      <c r="T78" s="19" t="n">
        <f aca="false">IF(F78&gt;72,1,0)</f>
        <v>1</v>
      </c>
      <c r="U78" s="19" t="n">
        <f aca="false">IF(J78&gt;1.25,1,0)</f>
        <v>0</v>
      </c>
    </row>
    <row r="79" customFormat="false" ht="15" hidden="false" customHeight="false" outlineLevel="0" collapsed="false">
      <c r="B79" s="13" t="s">
        <v>299</v>
      </c>
      <c r="C79" s="13" t="s">
        <v>233</v>
      </c>
      <c r="D79" s="19" t="n">
        <v>665</v>
      </c>
      <c r="E79" s="23" t="n">
        <v>0.1899</v>
      </c>
      <c r="F79" s="19" t="n">
        <v>60</v>
      </c>
      <c r="G79" s="19" t="n">
        <v>9</v>
      </c>
      <c r="H79" s="14" t="n">
        <v>22820</v>
      </c>
      <c r="I79" s="14" t="n">
        <v>20607.19</v>
      </c>
      <c r="J79" s="24" t="n">
        <v>1.188</v>
      </c>
      <c r="K79" s="19" t="n">
        <v>0</v>
      </c>
      <c r="L79" s="13" t="str">
        <f aca="false">IF(D79&gt;=Inputs!$C$14,"Near-prime","Non-prime")</f>
        <v>Near-prime</v>
      </c>
      <c r="M79" s="19" t="n">
        <f aca="false">IF(K79&lt;=Inputs!$C$19,1,0)</f>
        <v>1</v>
      </c>
      <c r="N79" s="19" t="n">
        <f aca="false">IF(F79&lt;=Inputs!$C$20,1,0)</f>
        <v>1</v>
      </c>
      <c r="O79" s="19" t="n">
        <f aca="false">IF(J79&lt;=Inputs!$C$21,1,0)</f>
        <v>1</v>
      </c>
      <c r="P79" s="19" t="n">
        <f aca="false">IF(D79&gt;=Inputs!$C$22,1,0)</f>
        <v>1</v>
      </c>
      <c r="Q79" s="19" t="n">
        <f aca="false">IF(I79&lt;=Inputs!$C$23,1,0)</f>
        <v>1</v>
      </c>
      <c r="R79" s="19" t="n">
        <f aca="false">M79*N79*O79*P79*Q79</f>
        <v>1</v>
      </c>
      <c r="S79" s="14" t="n">
        <f aca="false">I79*R79</f>
        <v>20607.19</v>
      </c>
      <c r="T79" s="19" t="n">
        <f aca="false">IF(F79&gt;72,1,0)</f>
        <v>0</v>
      </c>
      <c r="U79" s="19" t="n">
        <f aca="false">IF(J79&gt;1.25,1,0)</f>
        <v>0</v>
      </c>
    </row>
    <row r="80" customFormat="false" ht="15" hidden="false" customHeight="false" outlineLevel="0" collapsed="false">
      <c r="B80" s="13" t="s">
        <v>300</v>
      </c>
      <c r="C80" s="13" t="s">
        <v>257</v>
      </c>
      <c r="D80" s="19" t="n">
        <v>593</v>
      </c>
      <c r="E80" s="23" t="n">
        <v>0.2332</v>
      </c>
      <c r="F80" s="19" t="n">
        <v>84</v>
      </c>
      <c r="G80" s="19" t="n">
        <v>9</v>
      </c>
      <c r="H80" s="14" t="n">
        <v>28350</v>
      </c>
      <c r="I80" s="14" t="n">
        <v>27021.71</v>
      </c>
      <c r="J80" s="24" t="n">
        <v>1.122</v>
      </c>
      <c r="K80" s="19" t="n">
        <v>30</v>
      </c>
      <c r="L80" s="13" t="str">
        <f aca="false">IF(D80&gt;=Inputs!$C$14,"Near-prime","Non-prime")</f>
        <v>Non-prime</v>
      </c>
      <c r="M80" s="19" t="n">
        <f aca="false">IF(K80&lt;=Inputs!$C$19,1,0)</f>
        <v>1</v>
      </c>
      <c r="N80" s="19" t="n">
        <f aca="false">IF(F80&lt;=Inputs!$C$20,1,0)</f>
        <v>0</v>
      </c>
      <c r="O80" s="19" t="n">
        <f aca="false">IF(J80&lt;=Inputs!$C$21,1,0)</f>
        <v>1</v>
      </c>
      <c r="P80" s="19" t="n">
        <f aca="false">IF(D80&gt;=Inputs!$C$22,1,0)</f>
        <v>1</v>
      </c>
      <c r="Q80" s="19" t="n">
        <f aca="false">IF(I80&lt;=Inputs!$C$23,1,0)</f>
        <v>1</v>
      </c>
      <c r="R80" s="19" t="n">
        <f aca="false">M80*N80*O80*P80*Q80</f>
        <v>0</v>
      </c>
      <c r="S80" s="14" t="n">
        <f aca="false">I80*R80</f>
        <v>0</v>
      </c>
      <c r="T80" s="19" t="n">
        <f aca="false">IF(F80&gt;72,1,0)</f>
        <v>1</v>
      </c>
      <c r="U80" s="19" t="n">
        <f aca="false">IF(J80&gt;1.25,1,0)</f>
        <v>0</v>
      </c>
    </row>
    <row r="81" customFormat="false" ht="15" hidden="false" customHeight="false" outlineLevel="0" collapsed="false">
      <c r="B81" s="13" t="s">
        <v>301</v>
      </c>
      <c r="C81" s="13" t="s">
        <v>219</v>
      </c>
      <c r="D81" s="19" t="n">
        <v>611</v>
      </c>
      <c r="E81" s="23" t="n">
        <v>0.2112</v>
      </c>
      <c r="F81" s="19" t="n">
        <v>66</v>
      </c>
      <c r="G81" s="19" t="n">
        <v>5</v>
      </c>
      <c r="H81" s="14" t="n">
        <v>12430</v>
      </c>
      <c r="I81" s="14" t="n">
        <v>11906.16</v>
      </c>
      <c r="J81" s="24" t="n">
        <v>1.01</v>
      </c>
      <c r="K81" s="19" t="n">
        <v>0</v>
      </c>
      <c r="L81" s="13" t="str">
        <f aca="false">IF(D81&gt;=Inputs!$C$14,"Near-prime","Non-prime")</f>
        <v>Non-prime</v>
      </c>
      <c r="M81" s="19" t="n">
        <f aca="false">IF(K81&lt;=Inputs!$C$19,1,0)</f>
        <v>1</v>
      </c>
      <c r="N81" s="19" t="n">
        <f aca="false">IF(F81&lt;=Inputs!$C$20,1,0)</f>
        <v>1</v>
      </c>
      <c r="O81" s="19" t="n">
        <f aca="false">IF(J81&lt;=Inputs!$C$21,1,0)</f>
        <v>1</v>
      </c>
      <c r="P81" s="19" t="n">
        <f aca="false">IF(D81&gt;=Inputs!$C$22,1,0)</f>
        <v>1</v>
      </c>
      <c r="Q81" s="19" t="n">
        <f aca="false">IF(I81&lt;=Inputs!$C$23,1,0)</f>
        <v>1</v>
      </c>
      <c r="R81" s="19" t="n">
        <f aca="false">M81*N81*O81*P81*Q81</f>
        <v>1</v>
      </c>
      <c r="S81" s="14" t="n">
        <f aca="false">I81*R81</f>
        <v>11906.16</v>
      </c>
      <c r="T81" s="19" t="n">
        <f aca="false">IF(F81&gt;72,1,0)</f>
        <v>0</v>
      </c>
      <c r="U81" s="19" t="n">
        <f aca="false">IF(J81&gt;1.25,1,0)</f>
        <v>0</v>
      </c>
    </row>
    <row r="82" customFormat="false" ht="15" hidden="false" customHeight="false" outlineLevel="0" collapsed="false">
      <c r="B82" s="13" t="s">
        <v>302</v>
      </c>
      <c r="C82" s="13" t="s">
        <v>217</v>
      </c>
      <c r="D82" s="19" t="n">
        <v>581</v>
      </c>
      <c r="E82" s="23" t="n">
        <v>0.2335</v>
      </c>
      <c r="F82" s="19" t="n">
        <v>72</v>
      </c>
      <c r="G82" s="19" t="n">
        <v>8</v>
      </c>
      <c r="H82" s="14" t="n">
        <v>25200</v>
      </c>
      <c r="I82" s="14" t="n">
        <v>23802.13</v>
      </c>
      <c r="J82" s="24" t="n">
        <v>0.708</v>
      </c>
      <c r="K82" s="19" t="n">
        <v>0</v>
      </c>
      <c r="L82" s="13" t="str">
        <f aca="false">IF(D82&gt;=Inputs!$C$14,"Near-prime","Non-prime")</f>
        <v>Non-prime</v>
      </c>
      <c r="M82" s="19" t="n">
        <f aca="false">IF(K82&lt;=Inputs!$C$19,1,0)</f>
        <v>1</v>
      </c>
      <c r="N82" s="19" t="n">
        <f aca="false">IF(F82&lt;=Inputs!$C$20,1,0)</f>
        <v>1</v>
      </c>
      <c r="O82" s="19" t="n">
        <f aca="false">IF(J82&lt;=Inputs!$C$21,1,0)</f>
        <v>1</v>
      </c>
      <c r="P82" s="19" t="n">
        <f aca="false">IF(D82&gt;=Inputs!$C$22,1,0)</f>
        <v>1</v>
      </c>
      <c r="Q82" s="19" t="n">
        <f aca="false">IF(I82&lt;=Inputs!$C$23,1,0)</f>
        <v>1</v>
      </c>
      <c r="R82" s="19" t="n">
        <f aca="false">M82*N82*O82*P82*Q82</f>
        <v>1</v>
      </c>
      <c r="S82" s="14" t="n">
        <f aca="false">I82*R82</f>
        <v>23802.13</v>
      </c>
      <c r="T82" s="19" t="n">
        <f aca="false">IF(F82&gt;72,1,0)</f>
        <v>0</v>
      </c>
      <c r="U82" s="19" t="n">
        <f aca="false">IF(J82&gt;1.25,1,0)</f>
        <v>0</v>
      </c>
    </row>
    <row r="83" customFormat="false" ht="15" hidden="false" customHeight="false" outlineLevel="0" collapsed="false">
      <c r="B83" s="13" t="s">
        <v>303</v>
      </c>
      <c r="C83" s="13" t="s">
        <v>228</v>
      </c>
      <c r="D83" s="19" t="n">
        <v>680</v>
      </c>
      <c r="E83" s="23" t="n">
        <v>0.2109</v>
      </c>
      <c r="F83" s="19" t="n">
        <v>60</v>
      </c>
      <c r="G83" s="19" t="n">
        <v>5</v>
      </c>
      <c r="H83" s="14" t="n">
        <v>29460</v>
      </c>
      <c r="I83" s="14" t="n">
        <v>28006.16</v>
      </c>
      <c r="J83" s="24" t="n">
        <v>0.893</v>
      </c>
      <c r="K83" s="19" t="n">
        <v>0</v>
      </c>
      <c r="L83" s="13" t="str">
        <f aca="false">IF(D83&gt;=Inputs!$C$14,"Near-prime","Non-prime")</f>
        <v>Near-prime</v>
      </c>
      <c r="M83" s="19" t="n">
        <f aca="false">IF(K83&lt;=Inputs!$C$19,1,0)</f>
        <v>1</v>
      </c>
      <c r="N83" s="19" t="n">
        <f aca="false">IF(F83&lt;=Inputs!$C$20,1,0)</f>
        <v>1</v>
      </c>
      <c r="O83" s="19" t="n">
        <f aca="false">IF(J83&lt;=Inputs!$C$21,1,0)</f>
        <v>1</v>
      </c>
      <c r="P83" s="19" t="n">
        <f aca="false">IF(D83&gt;=Inputs!$C$22,1,0)</f>
        <v>1</v>
      </c>
      <c r="Q83" s="19" t="n">
        <f aca="false">IF(I83&lt;=Inputs!$C$23,1,0)</f>
        <v>1</v>
      </c>
      <c r="R83" s="19" t="n">
        <f aca="false">M83*N83*O83*P83*Q83</f>
        <v>1</v>
      </c>
      <c r="S83" s="14" t="n">
        <f aca="false">I83*R83</f>
        <v>28006.16</v>
      </c>
      <c r="T83" s="19" t="n">
        <f aca="false">IF(F83&gt;72,1,0)</f>
        <v>0</v>
      </c>
      <c r="U83" s="19" t="n">
        <f aca="false">IF(J83&gt;1.25,1,0)</f>
        <v>0</v>
      </c>
    </row>
    <row r="84" customFormat="false" ht="15" hidden="false" customHeight="false" outlineLevel="0" collapsed="false">
      <c r="B84" s="13" t="s">
        <v>304</v>
      </c>
      <c r="C84" s="13" t="s">
        <v>217</v>
      </c>
      <c r="D84" s="19" t="n">
        <v>621</v>
      </c>
      <c r="E84" s="23" t="n">
        <v>0.2058</v>
      </c>
      <c r="F84" s="19" t="n">
        <v>60</v>
      </c>
      <c r="G84" s="19" t="n">
        <v>1</v>
      </c>
      <c r="H84" s="14" t="n">
        <v>23760</v>
      </c>
      <c r="I84" s="14" t="n">
        <v>23530.3</v>
      </c>
      <c r="J84" s="24" t="n">
        <v>1.059</v>
      </c>
      <c r="K84" s="19" t="n">
        <v>0</v>
      </c>
      <c r="L84" s="13" t="str">
        <f aca="false">IF(D84&gt;=Inputs!$C$14,"Near-prime","Non-prime")</f>
        <v>Near-prime</v>
      </c>
      <c r="M84" s="19" t="n">
        <f aca="false">IF(K84&lt;=Inputs!$C$19,1,0)</f>
        <v>1</v>
      </c>
      <c r="N84" s="19" t="n">
        <f aca="false">IF(F84&lt;=Inputs!$C$20,1,0)</f>
        <v>1</v>
      </c>
      <c r="O84" s="19" t="n">
        <f aca="false">IF(J84&lt;=Inputs!$C$21,1,0)</f>
        <v>1</v>
      </c>
      <c r="P84" s="19" t="n">
        <f aca="false">IF(D84&gt;=Inputs!$C$22,1,0)</f>
        <v>1</v>
      </c>
      <c r="Q84" s="19" t="n">
        <f aca="false">IF(I84&lt;=Inputs!$C$23,1,0)</f>
        <v>1</v>
      </c>
      <c r="R84" s="19" t="n">
        <f aca="false">M84*N84*O84*P84*Q84</f>
        <v>1</v>
      </c>
      <c r="S84" s="14" t="n">
        <f aca="false">I84*R84</f>
        <v>23530.3</v>
      </c>
      <c r="T84" s="19" t="n">
        <f aca="false">IF(F84&gt;72,1,0)</f>
        <v>0</v>
      </c>
      <c r="U84" s="19" t="n">
        <f aca="false">IF(J84&gt;1.25,1,0)</f>
        <v>0</v>
      </c>
    </row>
    <row r="85" customFormat="false" ht="15" hidden="false" customHeight="false" outlineLevel="0" collapsed="false">
      <c r="B85" s="13" t="s">
        <v>305</v>
      </c>
      <c r="C85" s="13" t="s">
        <v>223</v>
      </c>
      <c r="D85" s="19" t="n">
        <v>659</v>
      </c>
      <c r="E85" s="23" t="n">
        <v>0.2133</v>
      </c>
      <c r="F85" s="19" t="n">
        <v>60</v>
      </c>
      <c r="G85" s="19" t="n">
        <v>2</v>
      </c>
      <c r="H85" s="14" t="n">
        <v>18930</v>
      </c>
      <c r="I85" s="14" t="n">
        <v>18568.5</v>
      </c>
      <c r="J85" s="24" t="n">
        <v>1.192</v>
      </c>
      <c r="K85" s="19" t="n">
        <v>0</v>
      </c>
      <c r="L85" s="13" t="str">
        <f aca="false">IF(D85&gt;=Inputs!$C$14,"Near-prime","Non-prime")</f>
        <v>Near-prime</v>
      </c>
      <c r="M85" s="19" t="n">
        <f aca="false">IF(K85&lt;=Inputs!$C$19,1,0)</f>
        <v>1</v>
      </c>
      <c r="N85" s="19" t="n">
        <f aca="false">IF(F85&lt;=Inputs!$C$20,1,0)</f>
        <v>1</v>
      </c>
      <c r="O85" s="19" t="n">
        <f aca="false">IF(J85&lt;=Inputs!$C$21,1,0)</f>
        <v>1</v>
      </c>
      <c r="P85" s="19" t="n">
        <f aca="false">IF(D85&gt;=Inputs!$C$22,1,0)</f>
        <v>1</v>
      </c>
      <c r="Q85" s="19" t="n">
        <f aca="false">IF(I85&lt;=Inputs!$C$23,1,0)</f>
        <v>1</v>
      </c>
      <c r="R85" s="19" t="n">
        <f aca="false">M85*N85*O85*P85*Q85</f>
        <v>1</v>
      </c>
      <c r="S85" s="14" t="n">
        <f aca="false">I85*R85</f>
        <v>18568.5</v>
      </c>
      <c r="T85" s="19" t="n">
        <f aca="false">IF(F85&gt;72,1,0)</f>
        <v>0</v>
      </c>
      <c r="U85" s="19" t="n">
        <f aca="false">IF(J85&gt;1.25,1,0)</f>
        <v>0</v>
      </c>
    </row>
    <row r="86" customFormat="false" ht="15" hidden="false" customHeight="false" outlineLevel="0" collapsed="false">
      <c r="B86" s="13" t="s">
        <v>306</v>
      </c>
      <c r="C86" s="13" t="s">
        <v>223</v>
      </c>
      <c r="D86" s="19" t="n">
        <v>672</v>
      </c>
      <c r="E86" s="23" t="n">
        <v>0.2166</v>
      </c>
      <c r="F86" s="19" t="n">
        <v>60</v>
      </c>
      <c r="G86" s="19" t="n">
        <v>10</v>
      </c>
      <c r="H86" s="14" t="n">
        <v>32960</v>
      </c>
      <c r="I86" s="14" t="n">
        <v>29606.21</v>
      </c>
      <c r="J86" s="24" t="n">
        <v>1.274</v>
      </c>
      <c r="K86" s="19" t="n">
        <v>0</v>
      </c>
      <c r="L86" s="13" t="str">
        <f aca="false">IF(D86&gt;=Inputs!$C$14,"Near-prime","Non-prime")</f>
        <v>Near-prime</v>
      </c>
      <c r="M86" s="19" t="n">
        <f aca="false">IF(K86&lt;=Inputs!$C$19,1,0)</f>
        <v>1</v>
      </c>
      <c r="N86" s="19" t="n">
        <f aca="false">IF(F86&lt;=Inputs!$C$20,1,0)</f>
        <v>1</v>
      </c>
      <c r="O86" s="19" t="n">
        <f aca="false">IF(J86&lt;=Inputs!$C$21,1,0)</f>
        <v>1</v>
      </c>
      <c r="P86" s="19" t="n">
        <f aca="false">IF(D86&gt;=Inputs!$C$22,1,0)</f>
        <v>1</v>
      </c>
      <c r="Q86" s="19" t="n">
        <f aca="false">IF(I86&lt;=Inputs!$C$23,1,0)</f>
        <v>1</v>
      </c>
      <c r="R86" s="19" t="n">
        <f aca="false">M86*N86*O86*P86*Q86</f>
        <v>1</v>
      </c>
      <c r="S86" s="14" t="n">
        <f aca="false">I86*R86</f>
        <v>29606.21</v>
      </c>
      <c r="T86" s="19" t="n">
        <f aca="false">IF(F86&gt;72,1,0)</f>
        <v>0</v>
      </c>
      <c r="U86" s="19" t="n">
        <f aca="false">IF(J86&gt;1.25,1,0)</f>
        <v>1</v>
      </c>
    </row>
    <row r="87" customFormat="false" ht="15" hidden="false" customHeight="false" outlineLevel="0" collapsed="false">
      <c r="B87" s="13" t="s">
        <v>307</v>
      </c>
      <c r="C87" s="13" t="s">
        <v>219</v>
      </c>
      <c r="D87" s="19" t="n">
        <v>637</v>
      </c>
      <c r="E87" s="23" t="n">
        <v>0.2119</v>
      </c>
      <c r="F87" s="19" t="n">
        <v>66</v>
      </c>
      <c r="G87" s="19" t="n">
        <v>3</v>
      </c>
      <c r="H87" s="14" t="n">
        <v>33170</v>
      </c>
      <c r="I87" s="14" t="n">
        <v>32347.72</v>
      </c>
      <c r="J87" s="24" t="n">
        <v>1.262</v>
      </c>
      <c r="K87" s="19" t="n">
        <v>0</v>
      </c>
      <c r="L87" s="13" t="str">
        <f aca="false">IF(D87&gt;=Inputs!$C$14,"Near-prime","Non-prime")</f>
        <v>Near-prime</v>
      </c>
      <c r="M87" s="19" t="n">
        <f aca="false">IF(K87&lt;=Inputs!$C$19,1,0)</f>
        <v>1</v>
      </c>
      <c r="N87" s="19" t="n">
        <f aca="false">IF(F87&lt;=Inputs!$C$20,1,0)</f>
        <v>1</v>
      </c>
      <c r="O87" s="19" t="n">
        <f aca="false">IF(J87&lt;=Inputs!$C$21,1,0)</f>
        <v>1</v>
      </c>
      <c r="P87" s="19" t="n">
        <f aca="false">IF(D87&gt;=Inputs!$C$22,1,0)</f>
        <v>1</v>
      </c>
      <c r="Q87" s="19" t="n">
        <f aca="false">IF(I87&lt;=Inputs!$C$23,1,0)</f>
        <v>1</v>
      </c>
      <c r="R87" s="19" t="n">
        <f aca="false">M87*N87*O87*P87*Q87</f>
        <v>1</v>
      </c>
      <c r="S87" s="14" t="n">
        <f aca="false">I87*R87</f>
        <v>32347.72</v>
      </c>
      <c r="T87" s="19" t="n">
        <f aca="false">IF(F87&gt;72,1,0)</f>
        <v>0</v>
      </c>
      <c r="U87" s="19" t="n">
        <f aca="false">IF(J87&gt;1.25,1,0)</f>
        <v>1</v>
      </c>
    </row>
    <row r="88" customFormat="false" ht="15" hidden="false" customHeight="false" outlineLevel="0" collapsed="false">
      <c r="B88" s="13" t="s">
        <v>308</v>
      </c>
      <c r="C88" s="13" t="s">
        <v>221</v>
      </c>
      <c r="D88" s="19" t="n">
        <v>646</v>
      </c>
      <c r="E88" s="23" t="n">
        <v>0.216</v>
      </c>
      <c r="F88" s="19" t="n">
        <v>72</v>
      </c>
      <c r="G88" s="19" t="n">
        <v>6</v>
      </c>
      <c r="H88" s="14" t="n">
        <v>17150</v>
      </c>
      <c r="I88" s="14" t="n">
        <v>16408.42</v>
      </c>
      <c r="J88" s="24" t="n">
        <v>0.975</v>
      </c>
      <c r="K88" s="19" t="n">
        <v>0</v>
      </c>
      <c r="L88" s="13" t="str">
        <f aca="false">IF(D88&gt;=Inputs!$C$14,"Near-prime","Non-prime")</f>
        <v>Near-prime</v>
      </c>
      <c r="M88" s="19" t="n">
        <f aca="false">IF(K88&lt;=Inputs!$C$19,1,0)</f>
        <v>1</v>
      </c>
      <c r="N88" s="19" t="n">
        <f aca="false">IF(F88&lt;=Inputs!$C$20,1,0)</f>
        <v>1</v>
      </c>
      <c r="O88" s="19" t="n">
        <f aca="false">IF(J88&lt;=Inputs!$C$21,1,0)</f>
        <v>1</v>
      </c>
      <c r="P88" s="19" t="n">
        <f aca="false">IF(D88&gt;=Inputs!$C$22,1,0)</f>
        <v>1</v>
      </c>
      <c r="Q88" s="19" t="n">
        <f aca="false">IF(I88&lt;=Inputs!$C$23,1,0)</f>
        <v>1</v>
      </c>
      <c r="R88" s="19" t="n">
        <f aca="false">M88*N88*O88*P88*Q88</f>
        <v>1</v>
      </c>
      <c r="S88" s="14" t="n">
        <f aca="false">I88*R88</f>
        <v>16408.42</v>
      </c>
      <c r="T88" s="19" t="n">
        <f aca="false">IF(F88&gt;72,1,0)</f>
        <v>0</v>
      </c>
      <c r="U88" s="19" t="n">
        <f aca="false">IF(J88&gt;1.25,1,0)</f>
        <v>0</v>
      </c>
    </row>
    <row r="89" customFormat="false" ht="15" hidden="false" customHeight="false" outlineLevel="0" collapsed="false">
      <c r="B89" s="13" t="s">
        <v>309</v>
      </c>
      <c r="C89" s="13" t="s">
        <v>217</v>
      </c>
      <c r="D89" s="19" t="n">
        <v>652</v>
      </c>
      <c r="E89" s="23" t="n">
        <v>0.1928</v>
      </c>
      <c r="F89" s="19" t="n">
        <v>72</v>
      </c>
      <c r="G89" s="19" t="n">
        <v>5</v>
      </c>
      <c r="H89" s="14" t="n">
        <v>27650</v>
      </c>
      <c r="I89" s="14" t="n">
        <v>26583.46</v>
      </c>
      <c r="J89" s="24" t="n">
        <v>1.047</v>
      </c>
      <c r="K89" s="19" t="n">
        <v>0</v>
      </c>
      <c r="L89" s="13" t="str">
        <f aca="false">IF(D89&gt;=Inputs!$C$14,"Near-prime","Non-prime")</f>
        <v>Near-prime</v>
      </c>
      <c r="M89" s="19" t="n">
        <f aca="false">IF(K89&lt;=Inputs!$C$19,1,0)</f>
        <v>1</v>
      </c>
      <c r="N89" s="19" t="n">
        <f aca="false">IF(F89&lt;=Inputs!$C$20,1,0)</f>
        <v>1</v>
      </c>
      <c r="O89" s="19" t="n">
        <f aca="false">IF(J89&lt;=Inputs!$C$21,1,0)</f>
        <v>1</v>
      </c>
      <c r="P89" s="19" t="n">
        <f aca="false">IF(D89&gt;=Inputs!$C$22,1,0)</f>
        <v>1</v>
      </c>
      <c r="Q89" s="19" t="n">
        <f aca="false">IF(I89&lt;=Inputs!$C$23,1,0)</f>
        <v>1</v>
      </c>
      <c r="R89" s="19" t="n">
        <f aca="false">M89*N89*O89*P89*Q89</f>
        <v>1</v>
      </c>
      <c r="S89" s="14" t="n">
        <f aca="false">I89*R89</f>
        <v>26583.46</v>
      </c>
      <c r="T89" s="19" t="n">
        <f aca="false">IF(F89&gt;72,1,0)</f>
        <v>0</v>
      </c>
      <c r="U89" s="19" t="n">
        <f aca="false">IF(J89&gt;1.25,1,0)</f>
        <v>0</v>
      </c>
    </row>
    <row r="90" customFormat="false" ht="15" hidden="false" customHeight="false" outlineLevel="0" collapsed="false">
      <c r="B90" s="13" t="s">
        <v>310</v>
      </c>
      <c r="C90" s="13" t="s">
        <v>217</v>
      </c>
      <c r="D90" s="19" t="n">
        <v>667</v>
      </c>
      <c r="E90" s="23" t="n">
        <v>0.1893</v>
      </c>
      <c r="F90" s="19" t="n">
        <v>66</v>
      </c>
      <c r="G90" s="19" t="n">
        <v>9</v>
      </c>
      <c r="H90" s="14" t="n">
        <v>25510</v>
      </c>
      <c r="I90" s="14" t="n">
        <v>23377.46</v>
      </c>
      <c r="J90" s="24" t="n">
        <v>0.875</v>
      </c>
      <c r="K90" s="19" t="n">
        <v>0</v>
      </c>
      <c r="L90" s="13" t="str">
        <f aca="false">IF(D90&gt;=Inputs!$C$14,"Near-prime","Non-prime")</f>
        <v>Near-prime</v>
      </c>
      <c r="M90" s="19" t="n">
        <f aca="false">IF(K90&lt;=Inputs!$C$19,1,0)</f>
        <v>1</v>
      </c>
      <c r="N90" s="19" t="n">
        <f aca="false">IF(F90&lt;=Inputs!$C$20,1,0)</f>
        <v>1</v>
      </c>
      <c r="O90" s="19" t="n">
        <f aca="false">IF(J90&lt;=Inputs!$C$21,1,0)</f>
        <v>1</v>
      </c>
      <c r="P90" s="19" t="n">
        <f aca="false">IF(D90&gt;=Inputs!$C$22,1,0)</f>
        <v>1</v>
      </c>
      <c r="Q90" s="19" t="n">
        <f aca="false">IF(I90&lt;=Inputs!$C$23,1,0)</f>
        <v>1</v>
      </c>
      <c r="R90" s="19" t="n">
        <f aca="false">M90*N90*O90*P90*Q90</f>
        <v>1</v>
      </c>
      <c r="S90" s="14" t="n">
        <f aca="false">I90*R90</f>
        <v>23377.46</v>
      </c>
      <c r="T90" s="19" t="n">
        <f aca="false">IF(F90&gt;72,1,0)</f>
        <v>0</v>
      </c>
      <c r="U90" s="19" t="n">
        <f aca="false">IF(J90&gt;1.25,1,0)</f>
        <v>0</v>
      </c>
    </row>
    <row r="91" customFormat="false" ht="15" hidden="false" customHeight="false" outlineLevel="0" collapsed="false">
      <c r="B91" s="13" t="s">
        <v>311</v>
      </c>
      <c r="C91" s="13" t="s">
        <v>252</v>
      </c>
      <c r="D91" s="19" t="n">
        <v>714</v>
      </c>
      <c r="E91" s="23" t="n">
        <v>0.1983</v>
      </c>
      <c r="F91" s="19" t="n">
        <v>60</v>
      </c>
      <c r="G91" s="19" t="n">
        <v>4</v>
      </c>
      <c r="H91" s="14" t="n">
        <v>11450</v>
      </c>
      <c r="I91" s="14" t="n">
        <v>10986.42</v>
      </c>
      <c r="J91" s="24" t="n">
        <v>0.785</v>
      </c>
      <c r="K91" s="19" t="n">
        <v>0</v>
      </c>
      <c r="L91" s="13" t="str">
        <f aca="false">IF(D91&gt;=Inputs!$C$14,"Near-prime","Non-prime")</f>
        <v>Near-prime</v>
      </c>
      <c r="M91" s="19" t="n">
        <f aca="false">IF(K91&lt;=Inputs!$C$19,1,0)</f>
        <v>1</v>
      </c>
      <c r="N91" s="19" t="n">
        <f aca="false">IF(F91&lt;=Inputs!$C$20,1,0)</f>
        <v>1</v>
      </c>
      <c r="O91" s="19" t="n">
        <f aca="false">IF(J91&lt;=Inputs!$C$21,1,0)</f>
        <v>1</v>
      </c>
      <c r="P91" s="19" t="n">
        <f aca="false">IF(D91&gt;=Inputs!$C$22,1,0)</f>
        <v>1</v>
      </c>
      <c r="Q91" s="19" t="n">
        <f aca="false">IF(I91&lt;=Inputs!$C$23,1,0)</f>
        <v>1</v>
      </c>
      <c r="R91" s="19" t="n">
        <f aca="false">M91*N91*O91*P91*Q91</f>
        <v>1</v>
      </c>
      <c r="S91" s="14" t="n">
        <f aca="false">I91*R91</f>
        <v>10986.42</v>
      </c>
      <c r="T91" s="19" t="n">
        <f aca="false">IF(F91&gt;72,1,0)</f>
        <v>0</v>
      </c>
      <c r="U91" s="19" t="n">
        <f aca="false">IF(J91&gt;1.25,1,0)</f>
        <v>0</v>
      </c>
    </row>
    <row r="92" customFormat="false" ht="15" hidden="false" customHeight="false" outlineLevel="0" collapsed="false">
      <c r="B92" s="13" t="s">
        <v>312</v>
      </c>
      <c r="C92" s="13" t="s">
        <v>221</v>
      </c>
      <c r="D92" s="19" t="n">
        <v>589</v>
      </c>
      <c r="E92" s="23" t="n">
        <v>0.1986</v>
      </c>
      <c r="F92" s="19" t="n">
        <v>72</v>
      </c>
      <c r="G92" s="19" t="n">
        <v>7</v>
      </c>
      <c r="H92" s="14" t="n">
        <v>26470</v>
      </c>
      <c r="I92" s="14" t="n">
        <v>25044.11</v>
      </c>
      <c r="J92" s="24" t="n">
        <v>0.944</v>
      </c>
      <c r="K92" s="19" t="n">
        <v>0</v>
      </c>
      <c r="L92" s="13" t="str">
        <f aca="false">IF(D92&gt;=Inputs!$C$14,"Near-prime","Non-prime")</f>
        <v>Non-prime</v>
      </c>
      <c r="M92" s="19" t="n">
        <f aca="false">IF(K92&lt;=Inputs!$C$19,1,0)</f>
        <v>1</v>
      </c>
      <c r="N92" s="19" t="n">
        <f aca="false">IF(F92&lt;=Inputs!$C$20,1,0)</f>
        <v>1</v>
      </c>
      <c r="O92" s="19" t="n">
        <f aca="false">IF(J92&lt;=Inputs!$C$21,1,0)</f>
        <v>1</v>
      </c>
      <c r="P92" s="19" t="n">
        <f aca="false">IF(D92&gt;=Inputs!$C$22,1,0)</f>
        <v>1</v>
      </c>
      <c r="Q92" s="19" t="n">
        <f aca="false">IF(I92&lt;=Inputs!$C$23,1,0)</f>
        <v>1</v>
      </c>
      <c r="R92" s="19" t="n">
        <f aca="false">M92*N92*O92*P92*Q92</f>
        <v>1</v>
      </c>
      <c r="S92" s="14" t="n">
        <f aca="false">I92*R92</f>
        <v>25044.11</v>
      </c>
      <c r="T92" s="19" t="n">
        <f aca="false">IF(F92&gt;72,1,0)</f>
        <v>0</v>
      </c>
      <c r="U92" s="19" t="n">
        <f aca="false">IF(J92&gt;1.25,1,0)</f>
        <v>0</v>
      </c>
    </row>
    <row r="93" customFormat="false" ht="15" hidden="false" customHeight="false" outlineLevel="0" collapsed="false">
      <c r="B93" s="13" t="s">
        <v>313</v>
      </c>
      <c r="C93" s="13" t="s">
        <v>252</v>
      </c>
      <c r="D93" s="19" t="n">
        <v>650</v>
      </c>
      <c r="E93" s="23" t="n">
        <v>0.1997</v>
      </c>
      <c r="F93" s="19" t="n">
        <v>60</v>
      </c>
      <c r="G93" s="19" t="n">
        <v>6</v>
      </c>
      <c r="H93" s="14" t="n">
        <v>14370</v>
      </c>
      <c r="I93" s="14" t="n">
        <v>13485.91</v>
      </c>
      <c r="J93" s="24" t="n">
        <v>0.953</v>
      </c>
      <c r="K93" s="19" t="n">
        <v>0</v>
      </c>
      <c r="L93" s="13" t="str">
        <f aca="false">IF(D93&gt;=Inputs!$C$14,"Near-prime","Non-prime")</f>
        <v>Near-prime</v>
      </c>
      <c r="M93" s="19" t="n">
        <f aca="false">IF(K93&lt;=Inputs!$C$19,1,0)</f>
        <v>1</v>
      </c>
      <c r="N93" s="19" t="n">
        <f aca="false">IF(F93&lt;=Inputs!$C$20,1,0)</f>
        <v>1</v>
      </c>
      <c r="O93" s="19" t="n">
        <f aca="false">IF(J93&lt;=Inputs!$C$21,1,0)</f>
        <v>1</v>
      </c>
      <c r="P93" s="19" t="n">
        <f aca="false">IF(D93&gt;=Inputs!$C$22,1,0)</f>
        <v>1</v>
      </c>
      <c r="Q93" s="19" t="n">
        <f aca="false">IF(I93&lt;=Inputs!$C$23,1,0)</f>
        <v>1</v>
      </c>
      <c r="R93" s="19" t="n">
        <f aca="false">M93*N93*O93*P93*Q93</f>
        <v>1</v>
      </c>
      <c r="S93" s="14" t="n">
        <f aca="false">I93*R93</f>
        <v>13485.91</v>
      </c>
      <c r="T93" s="19" t="n">
        <f aca="false">IF(F93&gt;72,1,0)</f>
        <v>0</v>
      </c>
      <c r="U93" s="19" t="n">
        <f aca="false">IF(J93&gt;1.25,1,0)</f>
        <v>0</v>
      </c>
    </row>
    <row r="94" customFormat="false" ht="15" hidden="false" customHeight="false" outlineLevel="0" collapsed="false">
      <c r="B94" s="13" t="s">
        <v>314</v>
      </c>
      <c r="C94" s="13" t="s">
        <v>252</v>
      </c>
      <c r="D94" s="19" t="n">
        <v>584</v>
      </c>
      <c r="E94" s="23" t="n">
        <v>0.2206</v>
      </c>
      <c r="F94" s="19" t="n">
        <v>75</v>
      </c>
      <c r="G94" s="19" t="n">
        <v>10</v>
      </c>
      <c r="H94" s="14" t="n">
        <v>23750</v>
      </c>
      <c r="I94" s="14" t="n">
        <v>22125.13</v>
      </c>
      <c r="J94" s="24" t="n">
        <v>0.936</v>
      </c>
      <c r="K94" s="19" t="n">
        <v>0</v>
      </c>
      <c r="L94" s="13" t="str">
        <f aca="false">IF(D94&gt;=Inputs!$C$14,"Near-prime","Non-prime")</f>
        <v>Non-prime</v>
      </c>
      <c r="M94" s="19" t="n">
        <f aca="false">IF(K94&lt;=Inputs!$C$19,1,0)</f>
        <v>1</v>
      </c>
      <c r="N94" s="19" t="n">
        <f aca="false">IF(F94&lt;=Inputs!$C$20,1,0)</f>
        <v>1</v>
      </c>
      <c r="O94" s="19" t="n">
        <f aca="false">IF(J94&lt;=Inputs!$C$21,1,0)</f>
        <v>1</v>
      </c>
      <c r="P94" s="19" t="n">
        <f aca="false">IF(D94&gt;=Inputs!$C$22,1,0)</f>
        <v>1</v>
      </c>
      <c r="Q94" s="19" t="n">
        <f aca="false">IF(I94&lt;=Inputs!$C$23,1,0)</f>
        <v>1</v>
      </c>
      <c r="R94" s="19" t="n">
        <f aca="false">M94*N94*O94*P94*Q94</f>
        <v>1</v>
      </c>
      <c r="S94" s="14" t="n">
        <f aca="false">I94*R94</f>
        <v>22125.13</v>
      </c>
      <c r="T94" s="19" t="n">
        <f aca="false">IF(F94&gt;72,1,0)</f>
        <v>1</v>
      </c>
      <c r="U94" s="19" t="n">
        <f aca="false">IF(J94&gt;1.25,1,0)</f>
        <v>0</v>
      </c>
    </row>
    <row r="95" customFormat="false" ht="15" hidden="false" customHeight="false" outlineLevel="0" collapsed="false">
      <c r="B95" s="13" t="s">
        <v>315</v>
      </c>
      <c r="C95" s="13" t="s">
        <v>228</v>
      </c>
      <c r="D95" s="19" t="n">
        <v>720</v>
      </c>
      <c r="E95" s="23" t="n">
        <v>0.1998</v>
      </c>
      <c r="F95" s="19" t="n">
        <v>72</v>
      </c>
      <c r="G95" s="19" t="n">
        <v>10</v>
      </c>
      <c r="H95" s="14" t="n">
        <v>13960</v>
      </c>
      <c r="I95" s="14" t="n">
        <v>12862.39</v>
      </c>
      <c r="J95" s="24" t="n">
        <v>1.207</v>
      </c>
      <c r="K95" s="19" t="n">
        <v>0</v>
      </c>
      <c r="L95" s="13" t="str">
        <f aca="false">IF(D95&gt;=Inputs!$C$14,"Near-prime","Non-prime")</f>
        <v>Near-prime</v>
      </c>
      <c r="M95" s="19" t="n">
        <f aca="false">IF(K95&lt;=Inputs!$C$19,1,0)</f>
        <v>1</v>
      </c>
      <c r="N95" s="19" t="n">
        <f aca="false">IF(F95&lt;=Inputs!$C$20,1,0)</f>
        <v>1</v>
      </c>
      <c r="O95" s="19" t="n">
        <f aca="false">IF(J95&lt;=Inputs!$C$21,1,0)</f>
        <v>1</v>
      </c>
      <c r="P95" s="19" t="n">
        <f aca="false">IF(D95&gt;=Inputs!$C$22,1,0)</f>
        <v>1</v>
      </c>
      <c r="Q95" s="19" t="n">
        <f aca="false">IF(I95&lt;=Inputs!$C$23,1,0)</f>
        <v>1</v>
      </c>
      <c r="R95" s="19" t="n">
        <f aca="false">M95*N95*O95*P95*Q95</f>
        <v>1</v>
      </c>
      <c r="S95" s="14" t="n">
        <f aca="false">I95*R95</f>
        <v>12862.39</v>
      </c>
      <c r="T95" s="19" t="n">
        <f aca="false">IF(F95&gt;72,1,0)</f>
        <v>0</v>
      </c>
      <c r="U95" s="19" t="n">
        <f aca="false">IF(J95&gt;1.25,1,0)</f>
        <v>0</v>
      </c>
    </row>
    <row r="96" customFormat="false" ht="15" hidden="false" customHeight="false" outlineLevel="0" collapsed="false">
      <c r="B96" s="13" t="s">
        <v>316</v>
      </c>
      <c r="C96" s="13" t="s">
        <v>228</v>
      </c>
      <c r="D96" s="19" t="n">
        <v>551</v>
      </c>
      <c r="E96" s="23" t="n">
        <v>0.2455</v>
      </c>
      <c r="F96" s="19" t="n">
        <v>72</v>
      </c>
      <c r="G96" s="19" t="n">
        <v>4</v>
      </c>
      <c r="H96" s="14" t="n">
        <v>28230</v>
      </c>
      <c r="I96" s="14" t="n">
        <v>27507.72</v>
      </c>
      <c r="J96" s="24" t="n">
        <v>1.318</v>
      </c>
      <c r="K96" s="19" t="n">
        <v>0</v>
      </c>
      <c r="L96" s="13" t="str">
        <f aca="false">IF(D96&gt;=Inputs!$C$14,"Near-prime","Non-prime")</f>
        <v>Non-prime</v>
      </c>
      <c r="M96" s="19" t="n">
        <f aca="false">IF(K96&lt;=Inputs!$C$19,1,0)</f>
        <v>1</v>
      </c>
      <c r="N96" s="19" t="n">
        <f aca="false">IF(F96&lt;=Inputs!$C$20,1,0)</f>
        <v>1</v>
      </c>
      <c r="O96" s="19" t="n">
        <f aca="false">IF(J96&lt;=Inputs!$C$21,1,0)</f>
        <v>1</v>
      </c>
      <c r="P96" s="19" t="n">
        <f aca="false">IF(D96&gt;=Inputs!$C$22,1,0)</f>
        <v>1</v>
      </c>
      <c r="Q96" s="19" t="n">
        <f aca="false">IF(I96&lt;=Inputs!$C$23,1,0)</f>
        <v>1</v>
      </c>
      <c r="R96" s="19" t="n">
        <f aca="false">M96*N96*O96*P96*Q96</f>
        <v>1</v>
      </c>
      <c r="S96" s="14" t="n">
        <f aca="false">I96*R96</f>
        <v>27507.72</v>
      </c>
      <c r="T96" s="19" t="n">
        <f aca="false">IF(F96&gt;72,1,0)</f>
        <v>0</v>
      </c>
      <c r="U96" s="19" t="n">
        <f aca="false">IF(J96&gt;1.25,1,0)</f>
        <v>1</v>
      </c>
    </row>
    <row r="97" customFormat="false" ht="15" hidden="false" customHeight="false" outlineLevel="0" collapsed="false">
      <c r="B97" s="13" t="s">
        <v>317</v>
      </c>
      <c r="C97" s="13" t="s">
        <v>217</v>
      </c>
      <c r="D97" s="19" t="n">
        <v>654</v>
      </c>
      <c r="E97" s="23" t="n">
        <v>0.2181</v>
      </c>
      <c r="F97" s="19" t="n">
        <v>60</v>
      </c>
      <c r="G97" s="19" t="n">
        <v>1</v>
      </c>
      <c r="H97" s="14" t="n">
        <v>53930</v>
      </c>
      <c r="I97" s="14" t="n">
        <v>53426.51</v>
      </c>
      <c r="J97" s="24" t="n">
        <v>0.951</v>
      </c>
      <c r="K97" s="19" t="n">
        <v>0</v>
      </c>
      <c r="L97" s="13" t="str">
        <f aca="false">IF(D97&gt;=Inputs!$C$14,"Near-prime","Non-prime")</f>
        <v>Near-prime</v>
      </c>
      <c r="M97" s="19" t="n">
        <f aca="false">IF(K97&lt;=Inputs!$C$19,1,0)</f>
        <v>1</v>
      </c>
      <c r="N97" s="19" t="n">
        <f aca="false">IF(F97&lt;=Inputs!$C$20,1,0)</f>
        <v>1</v>
      </c>
      <c r="O97" s="19" t="n">
        <f aca="false">IF(J97&lt;=Inputs!$C$21,1,0)</f>
        <v>1</v>
      </c>
      <c r="P97" s="19" t="n">
        <f aca="false">IF(D97&gt;=Inputs!$C$22,1,0)</f>
        <v>1</v>
      </c>
      <c r="Q97" s="19" t="n">
        <f aca="false">IF(I97&lt;=Inputs!$C$23,1,0)</f>
        <v>0</v>
      </c>
      <c r="R97" s="19" t="n">
        <f aca="false">M97*N97*O97*P97*Q97</f>
        <v>0</v>
      </c>
      <c r="S97" s="14" t="n">
        <f aca="false">I97*R97</f>
        <v>0</v>
      </c>
      <c r="T97" s="19" t="n">
        <f aca="false">IF(F97&gt;72,1,0)</f>
        <v>0</v>
      </c>
      <c r="U97" s="19" t="n">
        <f aca="false">IF(J97&gt;1.25,1,0)</f>
        <v>0</v>
      </c>
    </row>
    <row r="98" customFormat="false" ht="15" hidden="false" customHeight="false" outlineLevel="0" collapsed="false">
      <c r="B98" s="13" t="s">
        <v>318</v>
      </c>
      <c r="C98" s="13" t="s">
        <v>228</v>
      </c>
      <c r="D98" s="19" t="n">
        <v>624</v>
      </c>
      <c r="E98" s="23" t="n">
        <v>0.1976</v>
      </c>
      <c r="F98" s="19" t="n">
        <v>66</v>
      </c>
      <c r="G98" s="19" t="n">
        <v>4</v>
      </c>
      <c r="H98" s="14" t="n">
        <v>18820</v>
      </c>
      <c r="I98" s="14" t="n">
        <v>18164.61</v>
      </c>
      <c r="J98" s="24" t="n">
        <v>1.351</v>
      </c>
      <c r="K98" s="19" t="n">
        <v>0</v>
      </c>
      <c r="L98" s="13" t="str">
        <f aca="false">IF(D98&gt;=Inputs!$C$14,"Near-prime","Non-prime")</f>
        <v>Near-prime</v>
      </c>
      <c r="M98" s="19" t="n">
        <f aca="false">IF(K98&lt;=Inputs!$C$19,1,0)</f>
        <v>1</v>
      </c>
      <c r="N98" s="19" t="n">
        <f aca="false">IF(F98&lt;=Inputs!$C$20,1,0)</f>
        <v>1</v>
      </c>
      <c r="O98" s="19" t="n">
        <f aca="false">IF(J98&lt;=Inputs!$C$21,1,0)</f>
        <v>1</v>
      </c>
      <c r="P98" s="19" t="n">
        <f aca="false">IF(D98&gt;=Inputs!$C$22,1,0)</f>
        <v>1</v>
      </c>
      <c r="Q98" s="19" t="n">
        <f aca="false">IF(I98&lt;=Inputs!$C$23,1,0)</f>
        <v>1</v>
      </c>
      <c r="R98" s="19" t="n">
        <f aca="false">M98*N98*O98*P98*Q98</f>
        <v>1</v>
      </c>
      <c r="S98" s="14" t="n">
        <f aca="false">I98*R98</f>
        <v>18164.61</v>
      </c>
      <c r="T98" s="19" t="n">
        <f aca="false">IF(F98&gt;72,1,0)</f>
        <v>0</v>
      </c>
      <c r="U98" s="19" t="n">
        <f aca="false">IF(J98&gt;1.25,1,0)</f>
        <v>1</v>
      </c>
    </row>
    <row r="99" customFormat="false" ht="15" hidden="false" customHeight="false" outlineLevel="0" collapsed="false">
      <c r="B99" s="13" t="s">
        <v>319</v>
      </c>
      <c r="C99" s="13" t="s">
        <v>226</v>
      </c>
      <c r="D99" s="19" t="n">
        <v>616</v>
      </c>
      <c r="E99" s="23" t="n">
        <v>0.2107</v>
      </c>
      <c r="F99" s="19" t="n">
        <v>60</v>
      </c>
      <c r="G99" s="19" t="n">
        <v>5</v>
      </c>
      <c r="H99" s="14" t="n">
        <v>16850</v>
      </c>
      <c r="I99" s="14" t="n">
        <v>16018.02</v>
      </c>
      <c r="J99" s="24" t="n">
        <v>0.808</v>
      </c>
      <c r="K99" s="19" t="n">
        <v>0</v>
      </c>
      <c r="L99" s="13" t="str">
        <f aca="false">IF(D99&gt;=Inputs!$C$14,"Near-prime","Non-prime")</f>
        <v>Non-prime</v>
      </c>
      <c r="M99" s="19" t="n">
        <f aca="false">IF(K99&lt;=Inputs!$C$19,1,0)</f>
        <v>1</v>
      </c>
      <c r="N99" s="19" t="n">
        <f aca="false">IF(F99&lt;=Inputs!$C$20,1,0)</f>
        <v>1</v>
      </c>
      <c r="O99" s="19" t="n">
        <f aca="false">IF(J99&lt;=Inputs!$C$21,1,0)</f>
        <v>1</v>
      </c>
      <c r="P99" s="19" t="n">
        <f aca="false">IF(D99&gt;=Inputs!$C$22,1,0)</f>
        <v>1</v>
      </c>
      <c r="Q99" s="19" t="n">
        <f aca="false">IF(I99&lt;=Inputs!$C$23,1,0)</f>
        <v>1</v>
      </c>
      <c r="R99" s="19" t="n">
        <f aca="false">M99*N99*O99*P99*Q99</f>
        <v>1</v>
      </c>
      <c r="S99" s="14" t="n">
        <f aca="false">I99*R99</f>
        <v>16018.02</v>
      </c>
      <c r="T99" s="19" t="n">
        <f aca="false">IF(F99&gt;72,1,0)</f>
        <v>0</v>
      </c>
      <c r="U99" s="19" t="n">
        <f aca="false">IF(J99&gt;1.25,1,0)</f>
        <v>0</v>
      </c>
    </row>
    <row r="100" customFormat="false" ht="15" hidden="false" customHeight="false" outlineLevel="0" collapsed="false">
      <c r="B100" s="13" t="s">
        <v>320</v>
      </c>
      <c r="C100" s="13" t="s">
        <v>219</v>
      </c>
      <c r="D100" s="19" t="n">
        <v>682</v>
      </c>
      <c r="E100" s="23" t="n">
        <v>0.2053</v>
      </c>
      <c r="F100" s="19" t="n">
        <v>84</v>
      </c>
      <c r="G100" s="19" t="n">
        <v>8</v>
      </c>
      <c r="H100" s="14" t="n">
        <v>13340</v>
      </c>
      <c r="I100" s="14" t="n">
        <v>12725.95</v>
      </c>
      <c r="J100" s="24" t="n">
        <v>1.148</v>
      </c>
      <c r="K100" s="19" t="n">
        <v>0</v>
      </c>
      <c r="L100" s="13" t="str">
        <f aca="false">IF(D100&gt;=Inputs!$C$14,"Near-prime","Non-prime")</f>
        <v>Near-prime</v>
      </c>
      <c r="M100" s="19" t="n">
        <f aca="false">IF(K100&lt;=Inputs!$C$19,1,0)</f>
        <v>1</v>
      </c>
      <c r="N100" s="19" t="n">
        <f aca="false">IF(F100&lt;=Inputs!$C$20,1,0)</f>
        <v>0</v>
      </c>
      <c r="O100" s="19" t="n">
        <f aca="false">IF(J100&lt;=Inputs!$C$21,1,0)</f>
        <v>1</v>
      </c>
      <c r="P100" s="19" t="n">
        <f aca="false">IF(D100&gt;=Inputs!$C$22,1,0)</f>
        <v>1</v>
      </c>
      <c r="Q100" s="19" t="n">
        <f aca="false">IF(I100&lt;=Inputs!$C$23,1,0)</f>
        <v>1</v>
      </c>
      <c r="R100" s="19" t="n">
        <f aca="false">M100*N100*O100*P100*Q100</f>
        <v>0</v>
      </c>
      <c r="S100" s="14" t="n">
        <f aca="false">I100*R100</f>
        <v>0</v>
      </c>
      <c r="T100" s="19" t="n">
        <f aca="false">IF(F100&gt;72,1,0)</f>
        <v>1</v>
      </c>
      <c r="U100" s="19" t="n">
        <f aca="false">IF(J100&gt;1.25,1,0)</f>
        <v>0</v>
      </c>
    </row>
    <row r="101" customFormat="false" ht="15" hidden="false" customHeight="false" outlineLevel="0" collapsed="false">
      <c r="B101" s="13" t="s">
        <v>321</v>
      </c>
      <c r="C101" s="13" t="s">
        <v>219</v>
      </c>
      <c r="D101" s="19" t="n">
        <v>673</v>
      </c>
      <c r="E101" s="23" t="n">
        <v>0.1973</v>
      </c>
      <c r="F101" s="19" t="n">
        <v>66</v>
      </c>
      <c r="G101" s="19" t="n">
        <v>0</v>
      </c>
      <c r="H101" s="14" t="n">
        <v>16340</v>
      </c>
      <c r="I101" s="14" t="n">
        <v>16340</v>
      </c>
      <c r="J101" s="24" t="n">
        <v>1.174</v>
      </c>
      <c r="K101" s="19" t="n">
        <v>0</v>
      </c>
      <c r="L101" s="13" t="str">
        <f aca="false">IF(D101&gt;=Inputs!$C$14,"Near-prime","Non-prime")</f>
        <v>Near-prime</v>
      </c>
      <c r="M101" s="19" t="n">
        <f aca="false">IF(K101&lt;=Inputs!$C$19,1,0)</f>
        <v>1</v>
      </c>
      <c r="N101" s="19" t="n">
        <f aca="false">IF(F101&lt;=Inputs!$C$20,1,0)</f>
        <v>1</v>
      </c>
      <c r="O101" s="19" t="n">
        <f aca="false">IF(J101&lt;=Inputs!$C$21,1,0)</f>
        <v>1</v>
      </c>
      <c r="P101" s="19" t="n">
        <f aca="false">IF(D101&gt;=Inputs!$C$22,1,0)</f>
        <v>1</v>
      </c>
      <c r="Q101" s="19" t="n">
        <f aca="false">IF(I101&lt;=Inputs!$C$23,1,0)</f>
        <v>1</v>
      </c>
      <c r="R101" s="19" t="n">
        <f aca="false">M101*N101*O101*P101*Q101</f>
        <v>1</v>
      </c>
      <c r="S101" s="14" t="n">
        <f aca="false">I101*R101</f>
        <v>16340</v>
      </c>
      <c r="T101" s="19" t="n">
        <f aca="false">IF(F101&gt;72,1,0)</f>
        <v>0</v>
      </c>
      <c r="U101" s="19" t="n">
        <f aca="false">IF(J101&gt;1.25,1,0)</f>
        <v>0</v>
      </c>
    </row>
    <row r="102" customFormat="false" ht="15" hidden="false" customHeight="false" outlineLevel="0" collapsed="false">
      <c r="B102" s="13" t="s">
        <v>322</v>
      </c>
      <c r="C102" s="13" t="s">
        <v>252</v>
      </c>
      <c r="D102" s="19" t="n">
        <v>596</v>
      </c>
      <c r="E102" s="23" t="n">
        <v>0.2242</v>
      </c>
      <c r="F102" s="19" t="n">
        <v>72</v>
      </c>
      <c r="G102" s="19" t="n">
        <v>4</v>
      </c>
      <c r="H102" s="14" t="n">
        <v>33860</v>
      </c>
      <c r="I102" s="14" t="n">
        <v>32927.82</v>
      </c>
      <c r="J102" s="24" t="n">
        <v>0.857</v>
      </c>
      <c r="K102" s="19" t="n">
        <v>0</v>
      </c>
      <c r="L102" s="13" t="str">
        <f aca="false">IF(D102&gt;=Inputs!$C$14,"Near-prime","Non-prime")</f>
        <v>Non-prime</v>
      </c>
      <c r="M102" s="19" t="n">
        <f aca="false">IF(K102&lt;=Inputs!$C$19,1,0)</f>
        <v>1</v>
      </c>
      <c r="N102" s="19" t="n">
        <f aca="false">IF(F102&lt;=Inputs!$C$20,1,0)</f>
        <v>1</v>
      </c>
      <c r="O102" s="19" t="n">
        <f aca="false">IF(J102&lt;=Inputs!$C$21,1,0)</f>
        <v>1</v>
      </c>
      <c r="P102" s="19" t="n">
        <f aca="false">IF(D102&gt;=Inputs!$C$22,1,0)</f>
        <v>1</v>
      </c>
      <c r="Q102" s="19" t="n">
        <f aca="false">IF(I102&lt;=Inputs!$C$23,1,0)</f>
        <v>1</v>
      </c>
      <c r="R102" s="19" t="n">
        <f aca="false">M102*N102*O102*P102*Q102</f>
        <v>1</v>
      </c>
      <c r="S102" s="14" t="n">
        <f aca="false">I102*R102</f>
        <v>32927.82</v>
      </c>
      <c r="T102" s="19" t="n">
        <f aca="false">IF(F102&gt;72,1,0)</f>
        <v>0</v>
      </c>
      <c r="U102" s="19" t="n">
        <f aca="false">IF(J102&gt;1.25,1,0)</f>
        <v>0</v>
      </c>
    </row>
    <row r="103" customFormat="false" ht="15" hidden="false" customHeight="false" outlineLevel="0" collapsed="false">
      <c r="B103" s="13" t="s">
        <v>323</v>
      </c>
      <c r="C103" s="13" t="s">
        <v>228</v>
      </c>
      <c r="D103" s="19" t="n">
        <v>669</v>
      </c>
      <c r="E103" s="23" t="n">
        <v>0.1909</v>
      </c>
      <c r="F103" s="19" t="n">
        <v>60</v>
      </c>
      <c r="G103" s="19" t="n">
        <v>1</v>
      </c>
      <c r="H103" s="14" t="n">
        <v>23870</v>
      </c>
      <c r="I103" s="14" t="n">
        <v>23629.35</v>
      </c>
      <c r="J103" s="24" t="n">
        <v>1.239</v>
      </c>
      <c r="K103" s="19" t="n">
        <v>0</v>
      </c>
      <c r="L103" s="13" t="str">
        <f aca="false">IF(D103&gt;=Inputs!$C$14,"Near-prime","Non-prime")</f>
        <v>Near-prime</v>
      </c>
      <c r="M103" s="19" t="n">
        <f aca="false">IF(K103&lt;=Inputs!$C$19,1,0)</f>
        <v>1</v>
      </c>
      <c r="N103" s="19" t="n">
        <f aca="false">IF(F103&lt;=Inputs!$C$20,1,0)</f>
        <v>1</v>
      </c>
      <c r="O103" s="19" t="n">
        <f aca="false">IF(J103&lt;=Inputs!$C$21,1,0)</f>
        <v>1</v>
      </c>
      <c r="P103" s="19" t="n">
        <f aca="false">IF(D103&gt;=Inputs!$C$22,1,0)</f>
        <v>1</v>
      </c>
      <c r="Q103" s="19" t="n">
        <f aca="false">IF(I103&lt;=Inputs!$C$23,1,0)</f>
        <v>1</v>
      </c>
      <c r="R103" s="19" t="n">
        <f aca="false">M103*N103*O103*P103*Q103</f>
        <v>1</v>
      </c>
      <c r="S103" s="14" t="n">
        <f aca="false">I103*R103</f>
        <v>23629.35</v>
      </c>
      <c r="T103" s="19" t="n">
        <f aca="false">IF(F103&gt;72,1,0)</f>
        <v>0</v>
      </c>
      <c r="U103" s="19" t="n">
        <f aca="false">IF(J103&gt;1.25,1,0)</f>
        <v>0</v>
      </c>
    </row>
    <row r="104" customFormat="false" ht="15" hidden="false" customHeight="false" outlineLevel="0" collapsed="false">
      <c r="B104" s="13" t="s">
        <v>324</v>
      </c>
      <c r="C104" s="13" t="s">
        <v>217</v>
      </c>
      <c r="D104" s="19" t="n">
        <v>660</v>
      </c>
      <c r="E104" s="23" t="n">
        <v>0.1935</v>
      </c>
      <c r="F104" s="19" t="n">
        <v>66</v>
      </c>
      <c r="G104" s="19" t="n">
        <v>4</v>
      </c>
      <c r="H104" s="14" t="n">
        <v>12800</v>
      </c>
      <c r="I104" s="14" t="n">
        <v>12348.71</v>
      </c>
      <c r="J104" s="24" t="n">
        <v>1.019</v>
      </c>
      <c r="K104" s="19" t="n">
        <v>75</v>
      </c>
      <c r="L104" s="13" t="str">
        <f aca="false">IF(D104&gt;=Inputs!$C$14,"Near-prime","Non-prime")</f>
        <v>Near-prime</v>
      </c>
      <c r="M104" s="19" t="n">
        <f aca="false">IF(K104&lt;=Inputs!$C$19,1,0)</f>
        <v>0</v>
      </c>
      <c r="N104" s="19" t="n">
        <f aca="false">IF(F104&lt;=Inputs!$C$20,1,0)</f>
        <v>1</v>
      </c>
      <c r="O104" s="19" t="n">
        <f aca="false">IF(J104&lt;=Inputs!$C$21,1,0)</f>
        <v>1</v>
      </c>
      <c r="P104" s="19" t="n">
        <f aca="false">IF(D104&gt;=Inputs!$C$22,1,0)</f>
        <v>1</v>
      </c>
      <c r="Q104" s="19" t="n">
        <f aca="false">IF(I104&lt;=Inputs!$C$23,1,0)</f>
        <v>1</v>
      </c>
      <c r="R104" s="19" t="n">
        <f aca="false">M104*N104*O104*P104*Q104</f>
        <v>0</v>
      </c>
      <c r="S104" s="14" t="n">
        <f aca="false">I104*R104</f>
        <v>0</v>
      </c>
      <c r="T104" s="19" t="n">
        <f aca="false">IF(F104&gt;72,1,0)</f>
        <v>0</v>
      </c>
      <c r="U104" s="19" t="n">
        <f aca="false">IF(J104&gt;1.25,1,0)</f>
        <v>0</v>
      </c>
    </row>
    <row r="105" customFormat="false" ht="15" hidden="false" customHeight="false" outlineLevel="0" collapsed="false">
      <c r="B105" s="13" t="s">
        <v>325</v>
      </c>
      <c r="C105" s="13" t="s">
        <v>252</v>
      </c>
      <c r="D105" s="19" t="n">
        <v>607</v>
      </c>
      <c r="E105" s="23" t="n">
        <v>0.2487</v>
      </c>
      <c r="F105" s="19" t="n">
        <v>60</v>
      </c>
      <c r="G105" s="19" t="n">
        <v>2</v>
      </c>
      <c r="H105" s="14" t="n">
        <v>21550</v>
      </c>
      <c r="I105" s="14" t="n">
        <v>21177.67</v>
      </c>
      <c r="J105" s="24" t="n">
        <v>1.123</v>
      </c>
      <c r="K105" s="19" t="n">
        <v>15</v>
      </c>
      <c r="L105" s="13" t="str">
        <f aca="false">IF(D105&gt;=Inputs!$C$14,"Near-prime","Non-prime")</f>
        <v>Non-prime</v>
      </c>
      <c r="M105" s="19" t="n">
        <f aca="false">IF(K105&lt;=Inputs!$C$19,1,0)</f>
        <v>1</v>
      </c>
      <c r="N105" s="19" t="n">
        <f aca="false">IF(F105&lt;=Inputs!$C$20,1,0)</f>
        <v>1</v>
      </c>
      <c r="O105" s="19" t="n">
        <f aca="false">IF(J105&lt;=Inputs!$C$21,1,0)</f>
        <v>1</v>
      </c>
      <c r="P105" s="19" t="n">
        <f aca="false">IF(D105&gt;=Inputs!$C$22,1,0)</f>
        <v>1</v>
      </c>
      <c r="Q105" s="19" t="n">
        <f aca="false">IF(I105&lt;=Inputs!$C$23,1,0)</f>
        <v>1</v>
      </c>
      <c r="R105" s="19" t="n">
        <f aca="false">M105*N105*O105*P105*Q105</f>
        <v>1</v>
      </c>
      <c r="S105" s="14" t="n">
        <f aca="false">I105*R105</f>
        <v>21177.67</v>
      </c>
      <c r="T105" s="19" t="n">
        <f aca="false">IF(F105&gt;72,1,0)</f>
        <v>0</v>
      </c>
      <c r="U105" s="19" t="n">
        <f aca="false">IF(J105&gt;1.25,1,0)</f>
        <v>0</v>
      </c>
    </row>
    <row r="106" customFormat="false" ht="15" hidden="false" customHeight="false" outlineLevel="0" collapsed="false">
      <c r="B106" s="13" t="s">
        <v>326</v>
      </c>
      <c r="C106" s="13" t="s">
        <v>226</v>
      </c>
      <c r="D106" s="19" t="n">
        <v>571</v>
      </c>
      <c r="E106" s="23" t="n">
        <v>0.2191</v>
      </c>
      <c r="F106" s="19" t="n">
        <v>72</v>
      </c>
      <c r="G106" s="19" t="n">
        <v>3</v>
      </c>
      <c r="H106" s="14" t="n">
        <v>20490</v>
      </c>
      <c r="I106" s="14" t="n">
        <v>20063.42</v>
      </c>
      <c r="J106" s="24" t="n">
        <v>1.263</v>
      </c>
      <c r="K106" s="19" t="n">
        <v>0</v>
      </c>
      <c r="L106" s="13" t="str">
        <f aca="false">IF(D106&gt;=Inputs!$C$14,"Near-prime","Non-prime")</f>
        <v>Non-prime</v>
      </c>
      <c r="M106" s="19" t="n">
        <f aca="false">IF(K106&lt;=Inputs!$C$19,1,0)</f>
        <v>1</v>
      </c>
      <c r="N106" s="19" t="n">
        <f aca="false">IF(F106&lt;=Inputs!$C$20,1,0)</f>
        <v>1</v>
      </c>
      <c r="O106" s="19" t="n">
        <f aca="false">IF(J106&lt;=Inputs!$C$21,1,0)</f>
        <v>1</v>
      </c>
      <c r="P106" s="19" t="n">
        <f aca="false">IF(D106&gt;=Inputs!$C$22,1,0)</f>
        <v>1</v>
      </c>
      <c r="Q106" s="19" t="n">
        <f aca="false">IF(I106&lt;=Inputs!$C$23,1,0)</f>
        <v>1</v>
      </c>
      <c r="R106" s="19" t="n">
        <f aca="false">M106*N106*O106*P106*Q106</f>
        <v>1</v>
      </c>
      <c r="S106" s="14" t="n">
        <f aca="false">I106*R106</f>
        <v>20063.42</v>
      </c>
      <c r="T106" s="19" t="n">
        <f aca="false">IF(F106&gt;72,1,0)</f>
        <v>0</v>
      </c>
      <c r="U106" s="19" t="n">
        <f aca="false">IF(J106&gt;1.25,1,0)</f>
        <v>1</v>
      </c>
    </row>
    <row r="107" customFormat="false" ht="15" hidden="false" customHeight="false" outlineLevel="0" collapsed="false">
      <c r="B107" s="13" t="s">
        <v>327</v>
      </c>
      <c r="C107" s="13" t="s">
        <v>217</v>
      </c>
      <c r="D107" s="19" t="n">
        <v>686</v>
      </c>
      <c r="E107" s="23" t="n">
        <v>0.1982</v>
      </c>
      <c r="F107" s="19" t="n">
        <v>84</v>
      </c>
      <c r="G107" s="19" t="n">
        <v>10</v>
      </c>
      <c r="H107" s="14" t="n">
        <v>29020</v>
      </c>
      <c r="I107" s="14" t="n">
        <v>27274.47</v>
      </c>
      <c r="J107" s="24" t="n">
        <v>1.188</v>
      </c>
      <c r="K107" s="19" t="n">
        <v>0</v>
      </c>
      <c r="L107" s="13" t="str">
        <f aca="false">IF(D107&gt;=Inputs!$C$14,"Near-prime","Non-prime")</f>
        <v>Near-prime</v>
      </c>
      <c r="M107" s="19" t="n">
        <f aca="false">IF(K107&lt;=Inputs!$C$19,1,0)</f>
        <v>1</v>
      </c>
      <c r="N107" s="19" t="n">
        <f aca="false">IF(F107&lt;=Inputs!$C$20,1,0)</f>
        <v>0</v>
      </c>
      <c r="O107" s="19" t="n">
        <f aca="false">IF(J107&lt;=Inputs!$C$21,1,0)</f>
        <v>1</v>
      </c>
      <c r="P107" s="19" t="n">
        <f aca="false">IF(D107&gt;=Inputs!$C$22,1,0)</f>
        <v>1</v>
      </c>
      <c r="Q107" s="19" t="n">
        <f aca="false">IF(I107&lt;=Inputs!$C$23,1,0)</f>
        <v>1</v>
      </c>
      <c r="R107" s="19" t="n">
        <f aca="false">M107*N107*O107*P107*Q107</f>
        <v>0</v>
      </c>
      <c r="S107" s="14" t="n">
        <f aca="false">I107*R107</f>
        <v>0</v>
      </c>
      <c r="T107" s="19" t="n">
        <f aca="false">IF(F107&gt;72,1,0)</f>
        <v>1</v>
      </c>
      <c r="U107" s="19" t="n">
        <f aca="false">IF(J107&gt;1.25,1,0)</f>
        <v>0</v>
      </c>
    </row>
    <row r="108" customFormat="false" ht="15" hidden="false" customHeight="false" outlineLevel="0" collapsed="false">
      <c r="B108" s="13" t="s">
        <v>328</v>
      </c>
      <c r="C108" s="13" t="s">
        <v>252</v>
      </c>
      <c r="D108" s="19" t="n">
        <v>681</v>
      </c>
      <c r="E108" s="23" t="n">
        <v>0.2138</v>
      </c>
      <c r="F108" s="19" t="n">
        <v>66</v>
      </c>
      <c r="G108" s="19" t="n">
        <v>0</v>
      </c>
      <c r="H108" s="14" t="n">
        <v>19710</v>
      </c>
      <c r="I108" s="14" t="n">
        <v>19710</v>
      </c>
      <c r="J108" s="24" t="n">
        <v>1.008</v>
      </c>
      <c r="K108" s="19" t="n">
        <v>0</v>
      </c>
      <c r="L108" s="13" t="str">
        <f aca="false">IF(D108&gt;=Inputs!$C$14,"Near-prime","Non-prime")</f>
        <v>Near-prime</v>
      </c>
      <c r="M108" s="19" t="n">
        <f aca="false">IF(K108&lt;=Inputs!$C$19,1,0)</f>
        <v>1</v>
      </c>
      <c r="N108" s="19" t="n">
        <f aca="false">IF(F108&lt;=Inputs!$C$20,1,0)</f>
        <v>1</v>
      </c>
      <c r="O108" s="19" t="n">
        <f aca="false">IF(J108&lt;=Inputs!$C$21,1,0)</f>
        <v>1</v>
      </c>
      <c r="P108" s="19" t="n">
        <f aca="false">IF(D108&gt;=Inputs!$C$22,1,0)</f>
        <v>1</v>
      </c>
      <c r="Q108" s="19" t="n">
        <f aca="false">IF(I108&lt;=Inputs!$C$23,1,0)</f>
        <v>1</v>
      </c>
      <c r="R108" s="19" t="n">
        <f aca="false">M108*N108*O108*P108*Q108</f>
        <v>1</v>
      </c>
      <c r="S108" s="14" t="n">
        <f aca="false">I108*R108</f>
        <v>19710</v>
      </c>
      <c r="T108" s="19" t="n">
        <f aca="false">IF(F108&gt;72,1,0)</f>
        <v>0</v>
      </c>
      <c r="U108" s="19" t="n">
        <f aca="false">IF(J108&gt;1.25,1,0)</f>
        <v>0</v>
      </c>
    </row>
    <row r="109" customFormat="false" ht="15" hidden="false" customHeight="false" outlineLevel="0" collapsed="false">
      <c r="B109" s="13" t="s">
        <v>329</v>
      </c>
      <c r="C109" s="13" t="s">
        <v>221</v>
      </c>
      <c r="D109" s="19" t="n">
        <v>672</v>
      </c>
      <c r="E109" s="23" t="n">
        <v>0.2024</v>
      </c>
      <c r="F109" s="19" t="n">
        <v>72</v>
      </c>
      <c r="G109" s="19" t="n">
        <v>9</v>
      </c>
      <c r="H109" s="14" t="n">
        <v>26980</v>
      </c>
      <c r="I109" s="14" t="n">
        <v>25102.36</v>
      </c>
      <c r="J109" s="24" t="n">
        <v>1.071</v>
      </c>
      <c r="K109" s="19" t="n">
        <v>0</v>
      </c>
      <c r="L109" s="13" t="str">
        <f aca="false">IF(D109&gt;=Inputs!$C$14,"Near-prime","Non-prime")</f>
        <v>Near-prime</v>
      </c>
      <c r="M109" s="19" t="n">
        <f aca="false">IF(K109&lt;=Inputs!$C$19,1,0)</f>
        <v>1</v>
      </c>
      <c r="N109" s="19" t="n">
        <f aca="false">IF(F109&lt;=Inputs!$C$20,1,0)</f>
        <v>1</v>
      </c>
      <c r="O109" s="19" t="n">
        <f aca="false">IF(J109&lt;=Inputs!$C$21,1,0)</f>
        <v>1</v>
      </c>
      <c r="P109" s="19" t="n">
        <f aca="false">IF(D109&gt;=Inputs!$C$22,1,0)</f>
        <v>1</v>
      </c>
      <c r="Q109" s="19" t="n">
        <f aca="false">IF(I109&lt;=Inputs!$C$23,1,0)</f>
        <v>1</v>
      </c>
      <c r="R109" s="19" t="n">
        <f aca="false">M109*N109*O109*P109*Q109</f>
        <v>1</v>
      </c>
      <c r="S109" s="14" t="n">
        <f aca="false">I109*R109</f>
        <v>25102.36</v>
      </c>
      <c r="T109" s="19" t="n">
        <f aca="false">IF(F109&gt;72,1,0)</f>
        <v>0</v>
      </c>
      <c r="U109" s="19" t="n">
        <f aca="false">IF(J109&gt;1.25,1,0)</f>
        <v>0</v>
      </c>
    </row>
    <row r="110" customFormat="false" ht="15" hidden="false" customHeight="false" outlineLevel="0" collapsed="false">
      <c r="B110" s="13" t="s">
        <v>330</v>
      </c>
      <c r="C110" s="13" t="s">
        <v>237</v>
      </c>
      <c r="D110" s="19" t="n">
        <v>618</v>
      </c>
      <c r="E110" s="23" t="n">
        <v>0.2307</v>
      </c>
      <c r="F110" s="19" t="n">
        <v>60</v>
      </c>
      <c r="G110" s="19" t="n">
        <v>8</v>
      </c>
      <c r="H110" s="14" t="n">
        <v>22620</v>
      </c>
      <c r="I110" s="14" t="n">
        <v>20876.35</v>
      </c>
      <c r="J110" s="24" t="n">
        <v>1.359</v>
      </c>
      <c r="K110" s="19" t="n">
        <v>0</v>
      </c>
      <c r="L110" s="13" t="str">
        <f aca="false">IF(D110&gt;=Inputs!$C$14,"Near-prime","Non-prime")</f>
        <v>Non-prime</v>
      </c>
      <c r="M110" s="19" t="n">
        <f aca="false">IF(K110&lt;=Inputs!$C$19,1,0)</f>
        <v>1</v>
      </c>
      <c r="N110" s="19" t="n">
        <f aca="false">IF(F110&lt;=Inputs!$C$20,1,0)</f>
        <v>1</v>
      </c>
      <c r="O110" s="19" t="n">
        <f aca="false">IF(J110&lt;=Inputs!$C$21,1,0)</f>
        <v>1</v>
      </c>
      <c r="P110" s="19" t="n">
        <f aca="false">IF(D110&gt;=Inputs!$C$22,1,0)</f>
        <v>1</v>
      </c>
      <c r="Q110" s="19" t="n">
        <f aca="false">IF(I110&lt;=Inputs!$C$23,1,0)</f>
        <v>1</v>
      </c>
      <c r="R110" s="19" t="n">
        <f aca="false">M110*N110*O110*P110*Q110</f>
        <v>1</v>
      </c>
      <c r="S110" s="14" t="n">
        <f aca="false">I110*R110</f>
        <v>20876.35</v>
      </c>
      <c r="T110" s="19" t="n">
        <f aca="false">IF(F110&gt;72,1,0)</f>
        <v>0</v>
      </c>
      <c r="U110" s="19" t="n">
        <f aca="false">IF(J110&gt;1.25,1,0)</f>
        <v>1</v>
      </c>
    </row>
    <row r="111" customFormat="false" ht="15" hidden="false" customHeight="false" outlineLevel="0" collapsed="false">
      <c r="B111" s="13" t="s">
        <v>331</v>
      </c>
      <c r="C111" s="13" t="s">
        <v>217</v>
      </c>
      <c r="D111" s="19" t="n">
        <v>707</v>
      </c>
      <c r="E111" s="23" t="n">
        <v>0.2257</v>
      </c>
      <c r="F111" s="19" t="n">
        <v>60</v>
      </c>
      <c r="G111" s="19" t="n">
        <v>0</v>
      </c>
      <c r="H111" s="14" t="n">
        <v>12940</v>
      </c>
      <c r="I111" s="14" t="n">
        <v>12940</v>
      </c>
      <c r="J111" s="24" t="n">
        <v>0.803</v>
      </c>
      <c r="K111" s="19" t="n">
        <v>100</v>
      </c>
      <c r="L111" s="13" t="str">
        <f aca="false">IF(D111&gt;=Inputs!$C$14,"Near-prime","Non-prime")</f>
        <v>Near-prime</v>
      </c>
      <c r="M111" s="19" t="n">
        <f aca="false">IF(K111&lt;=Inputs!$C$19,1,0)</f>
        <v>0</v>
      </c>
      <c r="N111" s="19" t="n">
        <f aca="false">IF(F111&lt;=Inputs!$C$20,1,0)</f>
        <v>1</v>
      </c>
      <c r="O111" s="19" t="n">
        <f aca="false">IF(J111&lt;=Inputs!$C$21,1,0)</f>
        <v>1</v>
      </c>
      <c r="P111" s="19" t="n">
        <f aca="false">IF(D111&gt;=Inputs!$C$22,1,0)</f>
        <v>1</v>
      </c>
      <c r="Q111" s="19" t="n">
        <f aca="false">IF(I111&lt;=Inputs!$C$23,1,0)</f>
        <v>1</v>
      </c>
      <c r="R111" s="19" t="n">
        <f aca="false">M111*N111*O111*P111*Q111</f>
        <v>0</v>
      </c>
      <c r="S111" s="14" t="n">
        <f aca="false">I111*R111</f>
        <v>0</v>
      </c>
      <c r="T111" s="19" t="n">
        <f aca="false">IF(F111&gt;72,1,0)</f>
        <v>0</v>
      </c>
      <c r="U111" s="19" t="n">
        <f aca="false">IF(J111&gt;1.25,1,0)</f>
        <v>0</v>
      </c>
    </row>
    <row r="112" customFormat="false" ht="15" hidden="false" customHeight="false" outlineLevel="0" collapsed="false">
      <c r="B112" s="13" t="s">
        <v>332</v>
      </c>
      <c r="C112" s="13" t="s">
        <v>252</v>
      </c>
      <c r="D112" s="19" t="n">
        <v>800</v>
      </c>
      <c r="E112" s="23" t="n">
        <v>0.1778</v>
      </c>
      <c r="F112" s="19" t="n">
        <v>60</v>
      </c>
      <c r="G112" s="19" t="n">
        <v>7</v>
      </c>
      <c r="H112" s="14" t="n">
        <v>16260</v>
      </c>
      <c r="I112" s="14" t="n">
        <v>15015.53</v>
      </c>
      <c r="J112" s="24" t="n">
        <v>1.232</v>
      </c>
      <c r="K112" s="19" t="n">
        <v>0</v>
      </c>
      <c r="L112" s="13" t="str">
        <f aca="false">IF(D112&gt;=Inputs!$C$14,"Near-prime","Non-prime")</f>
        <v>Near-prime</v>
      </c>
      <c r="M112" s="19" t="n">
        <f aca="false">IF(K112&lt;=Inputs!$C$19,1,0)</f>
        <v>1</v>
      </c>
      <c r="N112" s="19" t="n">
        <f aca="false">IF(F112&lt;=Inputs!$C$20,1,0)</f>
        <v>1</v>
      </c>
      <c r="O112" s="19" t="n">
        <f aca="false">IF(J112&lt;=Inputs!$C$21,1,0)</f>
        <v>1</v>
      </c>
      <c r="P112" s="19" t="n">
        <f aca="false">IF(D112&gt;=Inputs!$C$22,1,0)</f>
        <v>1</v>
      </c>
      <c r="Q112" s="19" t="n">
        <f aca="false">IF(I112&lt;=Inputs!$C$23,1,0)</f>
        <v>1</v>
      </c>
      <c r="R112" s="19" t="n">
        <f aca="false">M112*N112*O112*P112*Q112</f>
        <v>1</v>
      </c>
      <c r="S112" s="14" t="n">
        <f aca="false">I112*R112</f>
        <v>15015.53</v>
      </c>
      <c r="T112" s="19" t="n">
        <f aca="false">IF(F112&gt;72,1,0)</f>
        <v>0</v>
      </c>
      <c r="U112" s="19" t="n">
        <f aca="false">IF(J112&gt;1.25,1,0)</f>
        <v>0</v>
      </c>
    </row>
    <row r="113" customFormat="false" ht="15" hidden="false" customHeight="false" outlineLevel="0" collapsed="false">
      <c r="B113" s="13" t="s">
        <v>333</v>
      </c>
      <c r="C113" s="13" t="s">
        <v>257</v>
      </c>
      <c r="D113" s="19" t="n">
        <v>653</v>
      </c>
      <c r="E113" s="23" t="n">
        <v>0.2434</v>
      </c>
      <c r="F113" s="19" t="n">
        <v>60</v>
      </c>
      <c r="G113" s="19" t="n">
        <v>7</v>
      </c>
      <c r="H113" s="14" t="n">
        <v>37190</v>
      </c>
      <c r="I113" s="14" t="n">
        <v>34787.45</v>
      </c>
      <c r="J113" s="24" t="n">
        <v>1.234</v>
      </c>
      <c r="K113" s="19" t="n">
        <v>45</v>
      </c>
      <c r="L113" s="13" t="str">
        <f aca="false">IF(D113&gt;=Inputs!$C$14,"Near-prime","Non-prime")</f>
        <v>Near-prime</v>
      </c>
      <c r="M113" s="19" t="n">
        <f aca="false">IF(K113&lt;=Inputs!$C$19,1,0)</f>
        <v>1</v>
      </c>
      <c r="N113" s="19" t="n">
        <f aca="false">IF(F113&lt;=Inputs!$C$20,1,0)</f>
        <v>1</v>
      </c>
      <c r="O113" s="19" t="n">
        <f aca="false">IF(J113&lt;=Inputs!$C$21,1,0)</f>
        <v>1</v>
      </c>
      <c r="P113" s="19" t="n">
        <f aca="false">IF(D113&gt;=Inputs!$C$22,1,0)</f>
        <v>1</v>
      </c>
      <c r="Q113" s="19" t="n">
        <f aca="false">IF(I113&lt;=Inputs!$C$23,1,0)</f>
        <v>1</v>
      </c>
      <c r="R113" s="19" t="n">
        <f aca="false">M113*N113*O113*P113*Q113</f>
        <v>1</v>
      </c>
      <c r="S113" s="14" t="n">
        <f aca="false">I113*R113</f>
        <v>34787.45</v>
      </c>
      <c r="T113" s="19" t="n">
        <f aca="false">IF(F113&gt;72,1,0)</f>
        <v>0</v>
      </c>
      <c r="U113" s="19" t="n">
        <f aca="false">IF(J113&gt;1.25,1,0)</f>
        <v>0</v>
      </c>
    </row>
    <row r="114" customFormat="false" ht="15" hidden="false" customHeight="false" outlineLevel="0" collapsed="false">
      <c r="B114" s="13" t="s">
        <v>334</v>
      </c>
      <c r="C114" s="13" t="s">
        <v>219</v>
      </c>
      <c r="D114" s="19" t="n">
        <v>672</v>
      </c>
      <c r="E114" s="23" t="n">
        <v>0.1977</v>
      </c>
      <c r="F114" s="19" t="n">
        <v>60</v>
      </c>
      <c r="G114" s="19" t="n">
        <v>9</v>
      </c>
      <c r="H114" s="14" t="n">
        <v>26630</v>
      </c>
      <c r="I114" s="14" t="n">
        <v>24097.03</v>
      </c>
      <c r="J114" s="24" t="n">
        <v>1.382</v>
      </c>
      <c r="K114" s="19" t="n">
        <v>0</v>
      </c>
      <c r="L114" s="13" t="str">
        <f aca="false">IF(D114&gt;=Inputs!$C$14,"Near-prime","Non-prime")</f>
        <v>Near-prime</v>
      </c>
      <c r="M114" s="19" t="n">
        <f aca="false">IF(K114&lt;=Inputs!$C$19,1,0)</f>
        <v>1</v>
      </c>
      <c r="N114" s="19" t="n">
        <f aca="false">IF(F114&lt;=Inputs!$C$20,1,0)</f>
        <v>1</v>
      </c>
      <c r="O114" s="19" t="n">
        <f aca="false">IF(J114&lt;=Inputs!$C$21,1,0)</f>
        <v>1</v>
      </c>
      <c r="P114" s="19" t="n">
        <f aca="false">IF(D114&gt;=Inputs!$C$22,1,0)</f>
        <v>1</v>
      </c>
      <c r="Q114" s="19" t="n">
        <f aca="false">IF(I114&lt;=Inputs!$C$23,1,0)</f>
        <v>1</v>
      </c>
      <c r="R114" s="19" t="n">
        <f aca="false">M114*N114*O114*P114*Q114</f>
        <v>1</v>
      </c>
      <c r="S114" s="14" t="n">
        <f aca="false">I114*R114</f>
        <v>24097.03</v>
      </c>
      <c r="T114" s="19" t="n">
        <f aca="false">IF(F114&gt;72,1,0)</f>
        <v>0</v>
      </c>
      <c r="U114" s="19" t="n">
        <f aca="false">IF(J114&gt;1.25,1,0)</f>
        <v>1</v>
      </c>
    </row>
    <row r="115" customFormat="false" ht="15" hidden="false" customHeight="false" outlineLevel="0" collapsed="false">
      <c r="B115" s="13" t="s">
        <v>335</v>
      </c>
      <c r="C115" s="13" t="s">
        <v>223</v>
      </c>
      <c r="D115" s="19" t="n">
        <v>603</v>
      </c>
      <c r="E115" s="23" t="n">
        <v>0.189</v>
      </c>
      <c r="F115" s="19" t="n">
        <v>72</v>
      </c>
      <c r="G115" s="19" t="n">
        <v>1</v>
      </c>
      <c r="H115" s="14" t="n">
        <v>25080</v>
      </c>
      <c r="I115" s="14" t="n">
        <v>24890.16</v>
      </c>
      <c r="J115" s="24" t="n">
        <v>1.295</v>
      </c>
      <c r="K115" s="19" t="n">
        <v>0</v>
      </c>
      <c r="L115" s="13" t="str">
        <f aca="false">IF(D115&gt;=Inputs!$C$14,"Near-prime","Non-prime")</f>
        <v>Non-prime</v>
      </c>
      <c r="M115" s="19" t="n">
        <f aca="false">IF(K115&lt;=Inputs!$C$19,1,0)</f>
        <v>1</v>
      </c>
      <c r="N115" s="19" t="n">
        <f aca="false">IF(F115&lt;=Inputs!$C$20,1,0)</f>
        <v>1</v>
      </c>
      <c r="O115" s="19" t="n">
        <f aca="false">IF(J115&lt;=Inputs!$C$21,1,0)</f>
        <v>1</v>
      </c>
      <c r="P115" s="19" t="n">
        <f aca="false">IF(D115&gt;=Inputs!$C$22,1,0)</f>
        <v>1</v>
      </c>
      <c r="Q115" s="19" t="n">
        <f aca="false">IF(I115&lt;=Inputs!$C$23,1,0)</f>
        <v>1</v>
      </c>
      <c r="R115" s="19" t="n">
        <f aca="false">M115*N115*O115*P115*Q115</f>
        <v>1</v>
      </c>
      <c r="S115" s="14" t="n">
        <f aca="false">I115*R115</f>
        <v>24890.16</v>
      </c>
      <c r="T115" s="19" t="n">
        <f aca="false">IF(F115&gt;72,1,0)</f>
        <v>0</v>
      </c>
      <c r="U115" s="19" t="n">
        <f aca="false">IF(J115&gt;1.25,1,0)</f>
        <v>1</v>
      </c>
    </row>
    <row r="116" customFormat="false" ht="15" hidden="false" customHeight="false" outlineLevel="0" collapsed="false">
      <c r="B116" s="13" t="s">
        <v>336</v>
      </c>
      <c r="C116" s="13" t="s">
        <v>219</v>
      </c>
      <c r="D116" s="19" t="n">
        <v>603</v>
      </c>
      <c r="E116" s="23" t="n">
        <v>0.2221</v>
      </c>
      <c r="F116" s="19" t="n">
        <v>66</v>
      </c>
      <c r="G116" s="19" t="n">
        <v>0</v>
      </c>
      <c r="H116" s="14" t="n">
        <v>23320</v>
      </c>
      <c r="I116" s="14" t="n">
        <v>23320</v>
      </c>
      <c r="J116" s="24" t="n">
        <v>0.835</v>
      </c>
      <c r="K116" s="19" t="n">
        <v>0</v>
      </c>
      <c r="L116" s="13" t="str">
        <f aca="false">IF(D116&gt;=Inputs!$C$14,"Near-prime","Non-prime")</f>
        <v>Non-prime</v>
      </c>
      <c r="M116" s="19" t="n">
        <f aca="false">IF(K116&lt;=Inputs!$C$19,1,0)</f>
        <v>1</v>
      </c>
      <c r="N116" s="19" t="n">
        <f aca="false">IF(F116&lt;=Inputs!$C$20,1,0)</f>
        <v>1</v>
      </c>
      <c r="O116" s="19" t="n">
        <f aca="false">IF(J116&lt;=Inputs!$C$21,1,0)</f>
        <v>1</v>
      </c>
      <c r="P116" s="19" t="n">
        <f aca="false">IF(D116&gt;=Inputs!$C$22,1,0)</f>
        <v>1</v>
      </c>
      <c r="Q116" s="19" t="n">
        <f aca="false">IF(I116&lt;=Inputs!$C$23,1,0)</f>
        <v>1</v>
      </c>
      <c r="R116" s="19" t="n">
        <f aca="false">M116*N116*O116*P116*Q116</f>
        <v>1</v>
      </c>
      <c r="S116" s="14" t="n">
        <f aca="false">I116*R116</f>
        <v>23320</v>
      </c>
      <c r="T116" s="19" t="n">
        <f aca="false">IF(F116&gt;72,1,0)</f>
        <v>0</v>
      </c>
      <c r="U116" s="19" t="n">
        <f aca="false">IF(J116&gt;1.25,1,0)</f>
        <v>0</v>
      </c>
    </row>
    <row r="117" customFormat="false" ht="15" hidden="false" customHeight="false" outlineLevel="0" collapsed="false">
      <c r="B117" s="13" t="s">
        <v>337</v>
      </c>
      <c r="C117" s="13" t="s">
        <v>223</v>
      </c>
      <c r="D117" s="19" t="n">
        <v>735</v>
      </c>
      <c r="E117" s="23" t="n">
        <v>0.1958</v>
      </c>
      <c r="F117" s="19" t="n">
        <v>72</v>
      </c>
      <c r="G117" s="19" t="n">
        <v>5</v>
      </c>
      <c r="H117" s="14" t="n">
        <v>13210</v>
      </c>
      <c r="I117" s="14" t="n">
        <v>12705.47</v>
      </c>
      <c r="J117" s="24" t="n">
        <v>1.177</v>
      </c>
      <c r="K117" s="19" t="n">
        <v>0</v>
      </c>
      <c r="L117" s="13" t="str">
        <f aca="false">IF(D117&gt;=Inputs!$C$14,"Near-prime","Non-prime")</f>
        <v>Near-prime</v>
      </c>
      <c r="M117" s="19" t="n">
        <f aca="false">IF(K117&lt;=Inputs!$C$19,1,0)</f>
        <v>1</v>
      </c>
      <c r="N117" s="19" t="n">
        <f aca="false">IF(F117&lt;=Inputs!$C$20,1,0)</f>
        <v>1</v>
      </c>
      <c r="O117" s="19" t="n">
        <f aca="false">IF(J117&lt;=Inputs!$C$21,1,0)</f>
        <v>1</v>
      </c>
      <c r="P117" s="19" t="n">
        <f aca="false">IF(D117&gt;=Inputs!$C$22,1,0)</f>
        <v>1</v>
      </c>
      <c r="Q117" s="19" t="n">
        <f aca="false">IF(I117&lt;=Inputs!$C$23,1,0)</f>
        <v>1</v>
      </c>
      <c r="R117" s="19" t="n">
        <f aca="false">M117*N117*O117*P117*Q117</f>
        <v>1</v>
      </c>
      <c r="S117" s="14" t="n">
        <f aca="false">I117*R117</f>
        <v>12705.47</v>
      </c>
      <c r="T117" s="19" t="n">
        <f aca="false">IF(F117&gt;72,1,0)</f>
        <v>0</v>
      </c>
      <c r="U117" s="19" t="n">
        <f aca="false">IF(J117&gt;1.25,1,0)</f>
        <v>0</v>
      </c>
    </row>
    <row r="118" customFormat="false" ht="15" hidden="false" customHeight="false" outlineLevel="0" collapsed="false">
      <c r="B118" s="13" t="s">
        <v>338</v>
      </c>
      <c r="C118" s="13" t="s">
        <v>219</v>
      </c>
      <c r="D118" s="19" t="n">
        <v>761</v>
      </c>
      <c r="E118" s="23" t="n">
        <v>0.168</v>
      </c>
      <c r="F118" s="19" t="n">
        <v>72</v>
      </c>
      <c r="G118" s="19" t="n">
        <v>1</v>
      </c>
      <c r="H118" s="14" t="n">
        <v>21330</v>
      </c>
      <c r="I118" s="14" t="n">
        <v>21156.49</v>
      </c>
      <c r="J118" s="24" t="n">
        <v>1.139</v>
      </c>
      <c r="K118" s="19" t="n">
        <v>15</v>
      </c>
      <c r="L118" s="13" t="str">
        <f aca="false">IF(D118&gt;=Inputs!$C$14,"Near-prime","Non-prime")</f>
        <v>Near-prime</v>
      </c>
      <c r="M118" s="19" t="n">
        <f aca="false">IF(K118&lt;=Inputs!$C$19,1,0)</f>
        <v>1</v>
      </c>
      <c r="N118" s="19" t="n">
        <f aca="false">IF(F118&lt;=Inputs!$C$20,1,0)</f>
        <v>1</v>
      </c>
      <c r="O118" s="19" t="n">
        <f aca="false">IF(J118&lt;=Inputs!$C$21,1,0)</f>
        <v>1</v>
      </c>
      <c r="P118" s="19" t="n">
        <f aca="false">IF(D118&gt;=Inputs!$C$22,1,0)</f>
        <v>1</v>
      </c>
      <c r="Q118" s="19" t="n">
        <f aca="false">IF(I118&lt;=Inputs!$C$23,1,0)</f>
        <v>1</v>
      </c>
      <c r="R118" s="19" t="n">
        <f aca="false">M118*N118*O118*P118*Q118</f>
        <v>1</v>
      </c>
      <c r="S118" s="14" t="n">
        <f aca="false">I118*R118</f>
        <v>21156.49</v>
      </c>
      <c r="T118" s="19" t="n">
        <f aca="false">IF(F118&gt;72,1,0)</f>
        <v>0</v>
      </c>
      <c r="U118" s="19" t="n">
        <f aca="false">IF(J118&gt;1.25,1,0)</f>
        <v>0</v>
      </c>
    </row>
    <row r="119" customFormat="false" ht="15" hidden="false" customHeight="false" outlineLevel="0" collapsed="false">
      <c r="B119" s="13" t="s">
        <v>339</v>
      </c>
      <c r="C119" s="13" t="s">
        <v>217</v>
      </c>
      <c r="D119" s="19" t="n">
        <v>632</v>
      </c>
      <c r="E119" s="23" t="n">
        <v>0.1953</v>
      </c>
      <c r="F119" s="19" t="n">
        <v>60</v>
      </c>
      <c r="G119" s="19" t="n">
        <v>4</v>
      </c>
      <c r="H119" s="14" t="n">
        <v>27310</v>
      </c>
      <c r="I119" s="14" t="n">
        <v>26195.34</v>
      </c>
      <c r="J119" s="24" t="n">
        <v>1.217</v>
      </c>
      <c r="K119" s="19" t="n">
        <v>30</v>
      </c>
      <c r="L119" s="13" t="str">
        <f aca="false">IF(D119&gt;=Inputs!$C$14,"Near-prime","Non-prime")</f>
        <v>Near-prime</v>
      </c>
      <c r="M119" s="19" t="n">
        <f aca="false">IF(K119&lt;=Inputs!$C$19,1,0)</f>
        <v>1</v>
      </c>
      <c r="N119" s="19" t="n">
        <f aca="false">IF(F119&lt;=Inputs!$C$20,1,0)</f>
        <v>1</v>
      </c>
      <c r="O119" s="19" t="n">
        <f aca="false">IF(J119&lt;=Inputs!$C$21,1,0)</f>
        <v>1</v>
      </c>
      <c r="P119" s="19" t="n">
        <f aca="false">IF(D119&gt;=Inputs!$C$22,1,0)</f>
        <v>1</v>
      </c>
      <c r="Q119" s="19" t="n">
        <f aca="false">IF(I119&lt;=Inputs!$C$23,1,0)</f>
        <v>1</v>
      </c>
      <c r="R119" s="19" t="n">
        <f aca="false">M119*N119*O119*P119*Q119</f>
        <v>1</v>
      </c>
      <c r="S119" s="14" t="n">
        <f aca="false">I119*R119</f>
        <v>26195.34</v>
      </c>
      <c r="T119" s="19" t="n">
        <f aca="false">IF(F119&gt;72,1,0)</f>
        <v>0</v>
      </c>
      <c r="U119" s="19" t="n">
        <f aca="false">IF(J119&gt;1.25,1,0)</f>
        <v>0</v>
      </c>
    </row>
    <row r="120" customFormat="false" ht="15" hidden="false" customHeight="false" outlineLevel="0" collapsed="false">
      <c r="B120" s="13" t="s">
        <v>340</v>
      </c>
      <c r="C120" s="13" t="s">
        <v>223</v>
      </c>
      <c r="D120" s="19" t="n">
        <v>611</v>
      </c>
      <c r="E120" s="23" t="n">
        <v>0.2054</v>
      </c>
      <c r="F120" s="19" t="n">
        <v>75</v>
      </c>
      <c r="G120" s="19" t="n">
        <v>0</v>
      </c>
      <c r="H120" s="14" t="n">
        <v>30420</v>
      </c>
      <c r="I120" s="14" t="n">
        <v>30420</v>
      </c>
      <c r="J120" s="24" t="n">
        <v>1.374</v>
      </c>
      <c r="K120" s="19" t="n">
        <v>0</v>
      </c>
      <c r="L120" s="13" t="str">
        <f aca="false">IF(D120&gt;=Inputs!$C$14,"Near-prime","Non-prime")</f>
        <v>Non-prime</v>
      </c>
      <c r="M120" s="19" t="n">
        <f aca="false">IF(K120&lt;=Inputs!$C$19,1,0)</f>
        <v>1</v>
      </c>
      <c r="N120" s="19" t="n">
        <f aca="false">IF(F120&lt;=Inputs!$C$20,1,0)</f>
        <v>1</v>
      </c>
      <c r="O120" s="19" t="n">
        <f aca="false">IF(J120&lt;=Inputs!$C$21,1,0)</f>
        <v>1</v>
      </c>
      <c r="P120" s="19" t="n">
        <f aca="false">IF(D120&gt;=Inputs!$C$22,1,0)</f>
        <v>1</v>
      </c>
      <c r="Q120" s="19" t="n">
        <f aca="false">IF(I120&lt;=Inputs!$C$23,1,0)</f>
        <v>1</v>
      </c>
      <c r="R120" s="19" t="n">
        <f aca="false">M120*N120*O120*P120*Q120</f>
        <v>1</v>
      </c>
      <c r="S120" s="14" t="n">
        <f aca="false">I120*R120</f>
        <v>30420</v>
      </c>
      <c r="T120" s="19" t="n">
        <f aca="false">IF(F120&gt;72,1,0)</f>
        <v>1</v>
      </c>
      <c r="U120" s="19" t="n">
        <f aca="false">IF(J120&gt;1.25,1,0)</f>
        <v>1</v>
      </c>
    </row>
    <row r="121" customFormat="false" ht="15" hidden="false" customHeight="false" outlineLevel="0" collapsed="false">
      <c r="B121" s="13" t="s">
        <v>341</v>
      </c>
      <c r="C121" s="13" t="s">
        <v>217</v>
      </c>
      <c r="D121" s="19" t="n">
        <v>597</v>
      </c>
      <c r="E121" s="23" t="n">
        <v>0.1989</v>
      </c>
      <c r="F121" s="19" t="n">
        <v>66</v>
      </c>
      <c r="G121" s="19" t="n">
        <v>9</v>
      </c>
      <c r="H121" s="14" t="n">
        <v>33960</v>
      </c>
      <c r="I121" s="14" t="n">
        <v>31196.29</v>
      </c>
      <c r="J121" s="24" t="n">
        <v>1.138</v>
      </c>
      <c r="K121" s="19" t="n">
        <v>0</v>
      </c>
      <c r="L121" s="13" t="str">
        <f aca="false">IF(D121&gt;=Inputs!$C$14,"Near-prime","Non-prime")</f>
        <v>Non-prime</v>
      </c>
      <c r="M121" s="19" t="n">
        <f aca="false">IF(K121&lt;=Inputs!$C$19,1,0)</f>
        <v>1</v>
      </c>
      <c r="N121" s="19" t="n">
        <f aca="false">IF(F121&lt;=Inputs!$C$20,1,0)</f>
        <v>1</v>
      </c>
      <c r="O121" s="19" t="n">
        <f aca="false">IF(J121&lt;=Inputs!$C$21,1,0)</f>
        <v>1</v>
      </c>
      <c r="P121" s="19" t="n">
        <f aca="false">IF(D121&gt;=Inputs!$C$22,1,0)</f>
        <v>1</v>
      </c>
      <c r="Q121" s="19" t="n">
        <f aca="false">IF(I121&lt;=Inputs!$C$23,1,0)</f>
        <v>1</v>
      </c>
      <c r="R121" s="19" t="n">
        <f aca="false">M121*N121*O121*P121*Q121</f>
        <v>1</v>
      </c>
      <c r="S121" s="14" t="n">
        <f aca="false">I121*R121</f>
        <v>31196.29</v>
      </c>
      <c r="T121" s="19" t="n">
        <f aca="false">IF(F121&gt;72,1,0)</f>
        <v>0</v>
      </c>
      <c r="U121" s="19" t="n">
        <f aca="false">IF(J121&gt;1.25,1,0)</f>
        <v>0</v>
      </c>
    </row>
    <row r="122" customFormat="false" ht="15" hidden="false" customHeight="false" outlineLevel="0" collapsed="false">
      <c r="B122" s="13" t="s">
        <v>342</v>
      </c>
      <c r="C122" s="13" t="s">
        <v>217</v>
      </c>
      <c r="D122" s="19" t="n">
        <v>613</v>
      </c>
      <c r="E122" s="23" t="n">
        <v>0.2154</v>
      </c>
      <c r="F122" s="19" t="n">
        <v>75</v>
      </c>
      <c r="G122" s="19" t="n">
        <v>3</v>
      </c>
      <c r="H122" s="14" t="n">
        <v>26960</v>
      </c>
      <c r="I122" s="14" t="n">
        <v>26431.64</v>
      </c>
      <c r="J122" s="24" t="n">
        <v>1.05</v>
      </c>
      <c r="K122" s="19" t="n">
        <v>0</v>
      </c>
      <c r="L122" s="13" t="str">
        <f aca="false">IF(D122&gt;=Inputs!$C$14,"Near-prime","Non-prime")</f>
        <v>Non-prime</v>
      </c>
      <c r="M122" s="19" t="n">
        <f aca="false">IF(K122&lt;=Inputs!$C$19,1,0)</f>
        <v>1</v>
      </c>
      <c r="N122" s="19" t="n">
        <f aca="false">IF(F122&lt;=Inputs!$C$20,1,0)</f>
        <v>1</v>
      </c>
      <c r="O122" s="19" t="n">
        <f aca="false">IF(J122&lt;=Inputs!$C$21,1,0)</f>
        <v>1</v>
      </c>
      <c r="P122" s="19" t="n">
        <f aca="false">IF(D122&gt;=Inputs!$C$22,1,0)</f>
        <v>1</v>
      </c>
      <c r="Q122" s="19" t="n">
        <f aca="false">IF(I122&lt;=Inputs!$C$23,1,0)</f>
        <v>1</v>
      </c>
      <c r="R122" s="19" t="n">
        <f aca="false">M122*N122*O122*P122*Q122</f>
        <v>1</v>
      </c>
      <c r="S122" s="14" t="n">
        <f aca="false">I122*R122</f>
        <v>26431.64</v>
      </c>
      <c r="T122" s="19" t="n">
        <f aca="false">IF(F122&gt;72,1,0)</f>
        <v>1</v>
      </c>
      <c r="U122" s="19" t="n">
        <f aca="false">IF(J122&gt;1.25,1,0)</f>
        <v>0</v>
      </c>
    </row>
    <row r="123" customFormat="false" ht="15" hidden="false" customHeight="false" outlineLevel="0" collapsed="false">
      <c r="B123" s="13" t="s">
        <v>343</v>
      </c>
      <c r="C123" s="13" t="s">
        <v>252</v>
      </c>
      <c r="D123" s="19" t="n">
        <v>647</v>
      </c>
      <c r="E123" s="23" t="n">
        <v>0.1996</v>
      </c>
      <c r="F123" s="19" t="n">
        <v>72</v>
      </c>
      <c r="G123" s="19" t="n">
        <v>5</v>
      </c>
      <c r="H123" s="14" t="n">
        <v>29010</v>
      </c>
      <c r="I123" s="14" t="n">
        <v>27915.87</v>
      </c>
      <c r="J123" s="24" t="n">
        <v>1.048</v>
      </c>
      <c r="K123" s="19" t="n">
        <v>0</v>
      </c>
      <c r="L123" s="13" t="str">
        <f aca="false">IF(D123&gt;=Inputs!$C$14,"Near-prime","Non-prime")</f>
        <v>Near-prime</v>
      </c>
      <c r="M123" s="19" t="n">
        <f aca="false">IF(K123&lt;=Inputs!$C$19,1,0)</f>
        <v>1</v>
      </c>
      <c r="N123" s="19" t="n">
        <f aca="false">IF(F123&lt;=Inputs!$C$20,1,0)</f>
        <v>1</v>
      </c>
      <c r="O123" s="19" t="n">
        <f aca="false">IF(J123&lt;=Inputs!$C$21,1,0)</f>
        <v>1</v>
      </c>
      <c r="P123" s="19" t="n">
        <f aca="false">IF(D123&gt;=Inputs!$C$22,1,0)</f>
        <v>1</v>
      </c>
      <c r="Q123" s="19" t="n">
        <f aca="false">IF(I123&lt;=Inputs!$C$23,1,0)</f>
        <v>1</v>
      </c>
      <c r="R123" s="19" t="n">
        <f aca="false">M123*N123*O123*P123*Q123</f>
        <v>1</v>
      </c>
      <c r="S123" s="14" t="n">
        <f aca="false">I123*R123</f>
        <v>27915.87</v>
      </c>
      <c r="T123" s="19" t="n">
        <f aca="false">IF(F123&gt;72,1,0)</f>
        <v>0</v>
      </c>
      <c r="U123" s="19" t="n">
        <f aca="false">IF(J123&gt;1.25,1,0)</f>
        <v>0</v>
      </c>
    </row>
    <row r="124" customFormat="false" ht="15" hidden="false" customHeight="false" outlineLevel="0" collapsed="false">
      <c r="B124" s="13" t="s">
        <v>344</v>
      </c>
      <c r="C124" s="13" t="s">
        <v>217</v>
      </c>
      <c r="D124" s="19" t="n">
        <v>580</v>
      </c>
      <c r="E124" s="23" t="n">
        <v>0.2434</v>
      </c>
      <c r="F124" s="19" t="n">
        <v>72</v>
      </c>
      <c r="G124" s="19" t="n">
        <v>2</v>
      </c>
      <c r="H124" s="14" t="n">
        <v>19370</v>
      </c>
      <c r="I124" s="14" t="n">
        <v>19125.41</v>
      </c>
      <c r="J124" s="24" t="n">
        <v>1.256</v>
      </c>
      <c r="K124" s="19" t="n">
        <v>0</v>
      </c>
      <c r="L124" s="13" t="str">
        <f aca="false">IF(D124&gt;=Inputs!$C$14,"Near-prime","Non-prime")</f>
        <v>Non-prime</v>
      </c>
      <c r="M124" s="19" t="n">
        <f aca="false">IF(K124&lt;=Inputs!$C$19,1,0)</f>
        <v>1</v>
      </c>
      <c r="N124" s="19" t="n">
        <f aca="false">IF(F124&lt;=Inputs!$C$20,1,0)</f>
        <v>1</v>
      </c>
      <c r="O124" s="19" t="n">
        <f aca="false">IF(J124&lt;=Inputs!$C$21,1,0)</f>
        <v>1</v>
      </c>
      <c r="P124" s="19" t="n">
        <f aca="false">IF(D124&gt;=Inputs!$C$22,1,0)</f>
        <v>1</v>
      </c>
      <c r="Q124" s="19" t="n">
        <f aca="false">IF(I124&lt;=Inputs!$C$23,1,0)</f>
        <v>1</v>
      </c>
      <c r="R124" s="19" t="n">
        <f aca="false">M124*N124*O124*P124*Q124</f>
        <v>1</v>
      </c>
      <c r="S124" s="14" t="n">
        <f aca="false">I124*R124</f>
        <v>19125.41</v>
      </c>
      <c r="T124" s="19" t="n">
        <f aca="false">IF(F124&gt;72,1,0)</f>
        <v>0</v>
      </c>
      <c r="U124" s="19" t="n">
        <f aca="false">IF(J124&gt;1.25,1,0)</f>
        <v>1</v>
      </c>
    </row>
    <row r="125" customFormat="false" ht="15" hidden="false" customHeight="false" outlineLevel="0" collapsed="false">
      <c r="B125" s="13" t="s">
        <v>345</v>
      </c>
      <c r="C125" s="13" t="s">
        <v>221</v>
      </c>
      <c r="D125" s="19" t="n">
        <v>608</v>
      </c>
      <c r="E125" s="23" t="n">
        <v>0.2298</v>
      </c>
      <c r="F125" s="19" t="n">
        <v>66</v>
      </c>
      <c r="G125" s="19" t="n">
        <v>8</v>
      </c>
      <c r="H125" s="14" t="n">
        <v>38850</v>
      </c>
      <c r="I125" s="14" t="n">
        <v>36300.54</v>
      </c>
      <c r="J125" s="24" t="n">
        <v>0.913</v>
      </c>
      <c r="K125" s="19" t="n">
        <v>0</v>
      </c>
      <c r="L125" s="13" t="str">
        <f aca="false">IF(D125&gt;=Inputs!$C$14,"Near-prime","Non-prime")</f>
        <v>Non-prime</v>
      </c>
      <c r="M125" s="19" t="n">
        <f aca="false">IF(K125&lt;=Inputs!$C$19,1,0)</f>
        <v>1</v>
      </c>
      <c r="N125" s="19" t="n">
        <f aca="false">IF(F125&lt;=Inputs!$C$20,1,0)</f>
        <v>1</v>
      </c>
      <c r="O125" s="19" t="n">
        <f aca="false">IF(J125&lt;=Inputs!$C$21,1,0)</f>
        <v>1</v>
      </c>
      <c r="P125" s="19" t="n">
        <f aca="false">IF(D125&gt;=Inputs!$C$22,1,0)</f>
        <v>1</v>
      </c>
      <c r="Q125" s="19" t="n">
        <f aca="false">IF(I125&lt;=Inputs!$C$23,1,0)</f>
        <v>1</v>
      </c>
      <c r="R125" s="19" t="n">
        <f aca="false">M125*N125*O125*P125*Q125</f>
        <v>1</v>
      </c>
      <c r="S125" s="14" t="n">
        <f aca="false">I125*R125</f>
        <v>36300.54</v>
      </c>
      <c r="T125" s="19" t="n">
        <f aca="false">IF(F125&gt;72,1,0)</f>
        <v>0</v>
      </c>
      <c r="U125" s="19" t="n">
        <f aca="false">IF(J125&gt;1.25,1,0)</f>
        <v>0</v>
      </c>
    </row>
    <row r="126" customFormat="false" ht="15" hidden="false" customHeight="false" outlineLevel="0" collapsed="false">
      <c r="B126" s="13" t="s">
        <v>346</v>
      </c>
      <c r="C126" s="13" t="s">
        <v>219</v>
      </c>
      <c r="D126" s="19" t="n">
        <v>693</v>
      </c>
      <c r="E126" s="23" t="n">
        <v>0.195</v>
      </c>
      <c r="F126" s="19" t="n">
        <v>72</v>
      </c>
      <c r="G126" s="19" t="n">
        <v>5</v>
      </c>
      <c r="H126" s="14" t="n">
        <v>16820</v>
      </c>
      <c r="I126" s="14" t="n">
        <v>16175.9</v>
      </c>
      <c r="J126" s="24" t="n">
        <v>1.188</v>
      </c>
      <c r="K126" s="19" t="n">
        <v>15</v>
      </c>
      <c r="L126" s="13" t="str">
        <f aca="false">IF(D126&gt;=Inputs!$C$14,"Near-prime","Non-prime")</f>
        <v>Near-prime</v>
      </c>
      <c r="M126" s="19" t="n">
        <f aca="false">IF(K126&lt;=Inputs!$C$19,1,0)</f>
        <v>1</v>
      </c>
      <c r="N126" s="19" t="n">
        <f aca="false">IF(F126&lt;=Inputs!$C$20,1,0)</f>
        <v>1</v>
      </c>
      <c r="O126" s="19" t="n">
        <f aca="false">IF(J126&lt;=Inputs!$C$21,1,0)</f>
        <v>1</v>
      </c>
      <c r="P126" s="19" t="n">
        <f aca="false">IF(D126&gt;=Inputs!$C$22,1,0)</f>
        <v>1</v>
      </c>
      <c r="Q126" s="19" t="n">
        <f aca="false">IF(I126&lt;=Inputs!$C$23,1,0)</f>
        <v>1</v>
      </c>
      <c r="R126" s="19" t="n">
        <f aca="false">M126*N126*O126*P126*Q126</f>
        <v>1</v>
      </c>
      <c r="S126" s="14" t="n">
        <f aca="false">I126*R126</f>
        <v>16175.9</v>
      </c>
      <c r="T126" s="19" t="n">
        <f aca="false">IF(F126&gt;72,1,0)</f>
        <v>0</v>
      </c>
      <c r="U126" s="19" t="n">
        <f aca="false">IF(J126&gt;1.25,1,0)</f>
        <v>0</v>
      </c>
    </row>
    <row r="127" customFormat="false" ht="15" hidden="false" customHeight="false" outlineLevel="0" collapsed="false">
      <c r="B127" s="13" t="s">
        <v>347</v>
      </c>
      <c r="C127" s="13" t="s">
        <v>257</v>
      </c>
      <c r="D127" s="19" t="n">
        <v>635</v>
      </c>
      <c r="E127" s="23" t="n">
        <v>0.2081</v>
      </c>
      <c r="F127" s="19" t="n">
        <v>72</v>
      </c>
      <c r="G127" s="19" t="n">
        <v>7</v>
      </c>
      <c r="H127" s="14" t="n">
        <v>26610</v>
      </c>
      <c r="I127" s="14" t="n">
        <v>25219.99</v>
      </c>
      <c r="J127" s="24" t="n">
        <v>1.14</v>
      </c>
      <c r="K127" s="19" t="n">
        <v>0</v>
      </c>
      <c r="L127" s="13" t="str">
        <f aca="false">IF(D127&gt;=Inputs!$C$14,"Near-prime","Non-prime")</f>
        <v>Near-prime</v>
      </c>
      <c r="M127" s="19" t="n">
        <f aca="false">IF(K127&lt;=Inputs!$C$19,1,0)</f>
        <v>1</v>
      </c>
      <c r="N127" s="19" t="n">
        <f aca="false">IF(F127&lt;=Inputs!$C$20,1,0)</f>
        <v>1</v>
      </c>
      <c r="O127" s="19" t="n">
        <f aca="false">IF(J127&lt;=Inputs!$C$21,1,0)</f>
        <v>1</v>
      </c>
      <c r="P127" s="19" t="n">
        <f aca="false">IF(D127&gt;=Inputs!$C$22,1,0)</f>
        <v>1</v>
      </c>
      <c r="Q127" s="19" t="n">
        <f aca="false">IF(I127&lt;=Inputs!$C$23,1,0)</f>
        <v>1</v>
      </c>
      <c r="R127" s="19" t="n">
        <f aca="false">M127*N127*O127*P127*Q127</f>
        <v>1</v>
      </c>
      <c r="S127" s="14" t="n">
        <f aca="false">I127*R127</f>
        <v>25219.99</v>
      </c>
      <c r="T127" s="19" t="n">
        <f aca="false">IF(F127&gt;72,1,0)</f>
        <v>0</v>
      </c>
      <c r="U127" s="19" t="n">
        <f aca="false">IF(J127&gt;1.25,1,0)</f>
        <v>0</v>
      </c>
    </row>
    <row r="128" customFormat="false" ht="15" hidden="false" customHeight="false" outlineLevel="0" collapsed="false">
      <c r="B128" s="13" t="s">
        <v>348</v>
      </c>
      <c r="C128" s="13" t="s">
        <v>223</v>
      </c>
      <c r="D128" s="19" t="n">
        <v>604</v>
      </c>
      <c r="E128" s="23" t="n">
        <v>0.2344</v>
      </c>
      <c r="F128" s="19" t="n">
        <v>72</v>
      </c>
      <c r="G128" s="19" t="n">
        <v>9</v>
      </c>
      <c r="H128" s="14" t="n">
        <v>21620</v>
      </c>
      <c r="I128" s="14" t="n">
        <v>20261.33</v>
      </c>
      <c r="J128" s="24" t="n">
        <v>0.792</v>
      </c>
      <c r="K128" s="19" t="n">
        <v>0</v>
      </c>
      <c r="L128" s="13" t="str">
        <f aca="false">IF(D128&gt;=Inputs!$C$14,"Near-prime","Non-prime")</f>
        <v>Non-prime</v>
      </c>
      <c r="M128" s="19" t="n">
        <f aca="false">IF(K128&lt;=Inputs!$C$19,1,0)</f>
        <v>1</v>
      </c>
      <c r="N128" s="19" t="n">
        <f aca="false">IF(F128&lt;=Inputs!$C$20,1,0)</f>
        <v>1</v>
      </c>
      <c r="O128" s="19" t="n">
        <f aca="false">IF(J128&lt;=Inputs!$C$21,1,0)</f>
        <v>1</v>
      </c>
      <c r="P128" s="19" t="n">
        <f aca="false">IF(D128&gt;=Inputs!$C$22,1,0)</f>
        <v>1</v>
      </c>
      <c r="Q128" s="19" t="n">
        <f aca="false">IF(I128&lt;=Inputs!$C$23,1,0)</f>
        <v>1</v>
      </c>
      <c r="R128" s="19" t="n">
        <f aca="false">M128*N128*O128*P128*Q128</f>
        <v>1</v>
      </c>
      <c r="S128" s="14" t="n">
        <f aca="false">I128*R128</f>
        <v>20261.33</v>
      </c>
      <c r="T128" s="19" t="n">
        <f aca="false">IF(F128&gt;72,1,0)</f>
        <v>0</v>
      </c>
      <c r="U128" s="19" t="n">
        <f aca="false">IF(J128&gt;1.25,1,0)</f>
        <v>0</v>
      </c>
    </row>
    <row r="129" customFormat="false" ht="15" hidden="false" customHeight="false" outlineLevel="0" collapsed="false">
      <c r="B129" s="13" t="s">
        <v>349</v>
      </c>
      <c r="C129" s="13" t="s">
        <v>223</v>
      </c>
      <c r="D129" s="19" t="n">
        <v>583</v>
      </c>
      <c r="E129" s="23" t="n">
        <v>0.2316</v>
      </c>
      <c r="F129" s="19" t="n">
        <v>48</v>
      </c>
      <c r="G129" s="19" t="n">
        <v>9</v>
      </c>
      <c r="H129" s="14" t="n">
        <v>36900</v>
      </c>
      <c r="I129" s="14" t="n">
        <v>32291.67</v>
      </c>
      <c r="J129" s="24" t="n">
        <v>1.16</v>
      </c>
      <c r="K129" s="19" t="n">
        <v>0</v>
      </c>
      <c r="L129" s="13" t="str">
        <f aca="false">IF(D129&gt;=Inputs!$C$14,"Near-prime","Non-prime")</f>
        <v>Non-prime</v>
      </c>
      <c r="M129" s="19" t="n">
        <f aca="false">IF(K129&lt;=Inputs!$C$19,1,0)</f>
        <v>1</v>
      </c>
      <c r="N129" s="19" t="n">
        <f aca="false">IF(F129&lt;=Inputs!$C$20,1,0)</f>
        <v>1</v>
      </c>
      <c r="O129" s="19" t="n">
        <f aca="false">IF(J129&lt;=Inputs!$C$21,1,0)</f>
        <v>1</v>
      </c>
      <c r="P129" s="19" t="n">
        <f aca="false">IF(D129&gt;=Inputs!$C$22,1,0)</f>
        <v>1</v>
      </c>
      <c r="Q129" s="19" t="n">
        <f aca="false">IF(I129&lt;=Inputs!$C$23,1,0)</f>
        <v>1</v>
      </c>
      <c r="R129" s="19" t="n">
        <f aca="false">M129*N129*O129*P129*Q129</f>
        <v>1</v>
      </c>
      <c r="S129" s="14" t="n">
        <f aca="false">I129*R129</f>
        <v>32291.67</v>
      </c>
      <c r="T129" s="19" t="n">
        <f aca="false">IF(F129&gt;72,1,0)</f>
        <v>0</v>
      </c>
      <c r="U129" s="19" t="n">
        <f aca="false">IF(J129&gt;1.25,1,0)</f>
        <v>0</v>
      </c>
    </row>
    <row r="130" customFormat="false" ht="15" hidden="false" customHeight="false" outlineLevel="0" collapsed="false">
      <c r="B130" s="13" t="s">
        <v>350</v>
      </c>
      <c r="C130" s="13" t="s">
        <v>223</v>
      </c>
      <c r="D130" s="19" t="n">
        <v>699</v>
      </c>
      <c r="E130" s="23" t="n">
        <v>0.1786</v>
      </c>
      <c r="F130" s="19" t="n">
        <v>66</v>
      </c>
      <c r="G130" s="19" t="n">
        <v>8</v>
      </c>
      <c r="H130" s="14" t="n">
        <v>22590</v>
      </c>
      <c r="I130" s="14" t="n">
        <v>20873.76</v>
      </c>
      <c r="J130" s="24" t="n">
        <v>0.903</v>
      </c>
      <c r="K130" s="19" t="n">
        <v>0</v>
      </c>
      <c r="L130" s="13" t="str">
        <f aca="false">IF(D130&gt;=Inputs!$C$14,"Near-prime","Non-prime")</f>
        <v>Near-prime</v>
      </c>
      <c r="M130" s="19" t="n">
        <f aca="false">IF(K130&lt;=Inputs!$C$19,1,0)</f>
        <v>1</v>
      </c>
      <c r="N130" s="19" t="n">
        <f aca="false">IF(F130&lt;=Inputs!$C$20,1,0)</f>
        <v>1</v>
      </c>
      <c r="O130" s="19" t="n">
        <f aca="false">IF(J130&lt;=Inputs!$C$21,1,0)</f>
        <v>1</v>
      </c>
      <c r="P130" s="19" t="n">
        <f aca="false">IF(D130&gt;=Inputs!$C$22,1,0)</f>
        <v>1</v>
      </c>
      <c r="Q130" s="19" t="n">
        <f aca="false">IF(I130&lt;=Inputs!$C$23,1,0)</f>
        <v>1</v>
      </c>
      <c r="R130" s="19" t="n">
        <f aca="false">M130*N130*O130*P130*Q130</f>
        <v>1</v>
      </c>
      <c r="S130" s="14" t="n">
        <f aca="false">I130*R130</f>
        <v>20873.76</v>
      </c>
      <c r="T130" s="19" t="n">
        <f aca="false">IF(F130&gt;72,1,0)</f>
        <v>0</v>
      </c>
      <c r="U130" s="19" t="n">
        <f aca="false">IF(J130&gt;1.25,1,0)</f>
        <v>0</v>
      </c>
    </row>
    <row r="131" customFormat="false" ht="15" hidden="false" customHeight="false" outlineLevel="0" collapsed="false">
      <c r="B131" s="13" t="s">
        <v>351</v>
      </c>
      <c r="C131" s="13" t="s">
        <v>217</v>
      </c>
      <c r="D131" s="19" t="n">
        <v>590</v>
      </c>
      <c r="E131" s="23" t="n">
        <v>0.2227</v>
      </c>
      <c r="F131" s="19" t="n">
        <v>72</v>
      </c>
      <c r="G131" s="19" t="n">
        <v>7</v>
      </c>
      <c r="H131" s="14" t="n">
        <v>30730</v>
      </c>
      <c r="I131" s="14" t="n">
        <v>29199.55</v>
      </c>
      <c r="J131" s="24" t="n">
        <v>1.401</v>
      </c>
      <c r="K131" s="19" t="n">
        <v>0</v>
      </c>
      <c r="L131" s="13" t="str">
        <f aca="false">IF(D131&gt;=Inputs!$C$14,"Near-prime","Non-prime")</f>
        <v>Non-prime</v>
      </c>
      <c r="M131" s="19" t="n">
        <f aca="false">IF(K131&lt;=Inputs!$C$19,1,0)</f>
        <v>1</v>
      </c>
      <c r="N131" s="19" t="n">
        <f aca="false">IF(F131&lt;=Inputs!$C$20,1,0)</f>
        <v>1</v>
      </c>
      <c r="O131" s="19" t="n">
        <f aca="false">IF(J131&lt;=Inputs!$C$21,1,0)</f>
        <v>1</v>
      </c>
      <c r="P131" s="19" t="n">
        <f aca="false">IF(D131&gt;=Inputs!$C$22,1,0)</f>
        <v>1</v>
      </c>
      <c r="Q131" s="19" t="n">
        <f aca="false">IF(I131&lt;=Inputs!$C$23,1,0)</f>
        <v>1</v>
      </c>
      <c r="R131" s="19" t="n">
        <f aca="false">M131*N131*O131*P131*Q131</f>
        <v>1</v>
      </c>
      <c r="S131" s="14" t="n">
        <f aca="false">I131*R131</f>
        <v>29199.55</v>
      </c>
      <c r="T131" s="19" t="n">
        <f aca="false">IF(F131&gt;72,1,0)</f>
        <v>0</v>
      </c>
      <c r="U131" s="19" t="n">
        <f aca="false">IF(J131&gt;1.25,1,0)</f>
        <v>1</v>
      </c>
    </row>
    <row r="132" customFormat="false" ht="15" hidden="false" customHeight="false" outlineLevel="0" collapsed="false">
      <c r="B132" s="13" t="s">
        <v>352</v>
      </c>
      <c r="C132" s="13" t="s">
        <v>219</v>
      </c>
      <c r="D132" s="19" t="n">
        <v>636</v>
      </c>
      <c r="E132" s="23" t="n">
        <v>0.2156</v>
      </c>
      <c r="F132" s="19" t="n">
        <v>48</v>
      </c>
      <c r="G132" s="19" t="n">
        <v>2</v>
      </c>
      <c r="H132" s="14" t="n">
        <v>18520</v>
      </c>
      <c r="I132" s="14" t="n">
        <v>18022.9</v>
      </c>
      <c r="J132" s="24" t="n">
        <v>0.933</v>
      </c>
      <c r="K132" s="19" t="n">
        <v>0</v>
      </c>
      <c r="L132" s="13" t="str">
        <f aca="false">IF(D132&gt;=Inputs!$C$14,"Near-prime","Non-prime")</f>
        <v>Near-prime</v>
      </c>
      <c r="M132" s="19" t="n">
        <f aca="false">IF(K132&lt;=Inputs!$C$19,1,0)</f>
        <v>1</v>
      </c>
      <c r="N132" s="19" t="n">
        <f aca="false">IF(F132&lt;=Inputs!$C$20,1,0)</f>
        <v>1</v>
      </c>
      <c r="O132" s="19" t="n">
        <f aca="false">IF(J132&lt;=Inputs!$C$21,1,0)</f>
        <v>1</v>
      </c>
      <c r="P132" s="19" t="n">
        <f aca="false">IF(D132&gt;=Inputs!$C$22,1,0)</f>
        <v>1</v>
      </c>
      <c r="Q132" s="19" t="n">
        <f aca="false">IF(I132&lt;=Inputs!$C$23,1,0)</f>
        <v>1</v>
      </c>
      <c r="R132" s="19" t="n">
        <f aca="false">M132*N132*O132*P132*Q132</f>
        <v>1</v>
      </c>
      <c r="S132" s="14" t="n">
        <f aca="false">I132*R132</f>
        <v>18022.9</v>
      </c>
      <c r="T132" s="19" t="n">
        <f aca="false">IF(F132&gt;72,1,0)</f>
        <v>0</v>
      </c>
      <c r="U132" s="19" t="n">
        <f aca="false">IF(J132&gt;1.25,1,0)</f>
        <v>0</v>
      </c>
    </row>
    <row r="133" customFormat="false" ht="15" hidden="false" customHeight="false" outlineLevel="0" collapsed="false">
      <c r="B133" s="13" t="s">
        <v>353</v>
      </c>
      <c r="C133" s="13" t="s">
        <v>226</v>
      </c>
      <c r="D133" s="19" t="n">
        <v>695</v>
      </c>
      <c r="E133" s="23" t="n">
        <v>0.2</v>
      </c>
      <c r="F133" s="19" t="n">
        <v>66</v>
      </c>
      <c r="G133" s="19" t="n">
        <v>7</v>
      </c>
      <c r="H133" s="14" t="n">
        <v>36110</v>
      </c>
      <c r="I133" s="14" t="n">
        <v>33869.58</v>
      </c>
      <c r="J133" s="24" t="n">
        <v>1.238</v>
      </c>
      <c r="K133" s="19" t="n">
        <v>0</v>
      </c>
      <c r="L133" s="13" t="str">
        <f aca="false">IF(D133&gt;=Inputs!$C$14,"Near-prime","Non-prime")</f>
        <v>Near-prime</v>
      </c>
      <c r="M133" s="19" t="n">
        <f aca="false">IF(K133&lt;=Inputs!$C$19,1,0)</f>
        <v>1</v>
      </c>
      <c r="N133" s="19" t="n">
        <f aca="false">IF(F133&lt;=Inputs!$C$20,1,0)</f>
        <v>1</v>
      </c>
      <c r="O133" s="19" t="n">
        <f aca="false">IF(J133&lt;=Inputs!$C$21,1,0)</f>
        <v>1</v>
      </c>
      <c r="P133" s="19" t="n">
        <f aca="false">IF(D133&gt;=Inputs!$C$22,1,0)</f>
        <v>1</v>
      </c>
      <c r="Q133" s="19" t="n">
        <f aca="false">IF(I133&lt;=Inputs!$C$23,1,0)</f>
        <v>1</v>
      </c>
      <c r="R133" s="19" t="n">
        <f aca="false">M133*N133*O133*P133*Q133</f>
        <v>1</v>
      </c>
      <c r="S133" s="14" t="n">
        <f aca="false">I133*R133</f>
        <v>33869.58</v>
      </c>
      <c r="T133" s="19" t="n">
        <f aca="false">IF(F133&gt;72,1,0)</f>
        <v>0</v>
      </c>
      <c r="U133" s="19" t="n">
        <f aca="false">IF(J133&gt;1.25,1,0)</f>
        <v>0</v>
      </c>
    </row>
    <row r="134" customFormat="false" ht="15" hidden="false" customHeight="false" outlineLevel="0" collapsed="false">
      <c r="B134" s="13" t="s">
        <v>354</v>
      </c>
      <c r="C134" s="13" t="s">
        <v>221</v>
      </c>
      <c r="D134" s="19" t="n">
        <v>671</v>
      </c>
      <c r="E134" s="23" t="n">
        <v>0.2141</v>
      </c>
      <c r="F134" s="19" t="n">
        <v>66</v>
      </c>
      <c r="G134" s="19" t="n">
        <v>5</v>
      </c>
      <c r="H134" s="14" t="n">
        <v>33320</v>
      </c>
      <c r="I134" s="14" t="n">
        <v>31927.97</v>
      </c>
      <c r="J134" s="24" t="n">
        <v>1.041</v>
      </c>
      <c r="K134" s="19" t="n">
        <v>0</v>
      </c>
      <c r="L134" s="13" t="str">
        <f aca="false">IF(D134&gt;=Inputs!$C$14,"Near-prime","Non-prime")</f>
        <v>Near-prime</v>
      </c>
      <c r="M134" s="19" t="n">
        <f aca="false">IF(K134&lt;=Inputs!$C$19,1,0)</f>
        <v>1</v>
      </c>
      <c r="N134" s="19" t="n">
        <f aca="false">IF(F134&lt;=Inputs!$C$20,1,0)</f>
        <v>1</v>
      </c>
      <c r="O134" s="19" t="n">
        <f aca="false">IF(J134&lt;=Inputs!$C$21,1,0)</f>
        <v>1</v>
      </c>
      <c r="P134" s="19" t="n">
        <f aca="false">IF(D134&gt;=Inputs!$C$22,1,0)</f>
        <v>1</v>
      </c>
      <c r="Q134" s="19" t="n">
        <f aca="false">IF(I134&lt;=Inputs!$C$23,1,0)</f>
        <v>1</v>
      </c>
      <c r="R134" s="19" t="n">
        <f aca="false">M134*N134*O134*P134*Q134</f>
        <v>1</v>
      </c>
      <c r="S134" s="14" t="n">
        <f aca="false">I134*R134</f>
        <v>31927.97</v>
      </c>
      <c r="T134" s="19" t="n">
        <f aca="false">IF(F134&gt;72,1,0)</f>
        <v>0</v>
      </c>
      <c r="U134" s="19" t="n">
        <f aca="false">IF(J134&gt;1.25,1,0)</f>
        <v>0</v>
      </c>
    </row>
    <row r="135" customFormat="false" ht="15" hidden="false" customHeight="false" outlineLevel="0" collapsed="false">
      <c r="B135" s="13" t="s">
        <v>355</v>
      </c>
      <c r="C135" s="13" t="s">
        <v>252</v>
      </c>
      <c r="D135" s="19" t="n">
        <v>659</v>
      </c>
      <c r="E135" s="23" t="n">
        <v>0.1999</v>
      </c>
      <c r="F135" s="19" t="n">
        <v>60</v>
      </c>
      <c r="G135" s="19" t="n">
        <v>4</v>
      </c>
      <c r="H135" s="14" t="n">
        <v>41220</v>
      </c>
      <c r="I135" s="14" t="n">
        <v>39558.28</v>
      </c>
      <c r="J135" s="24" t="n">
        <v>0.913</v>
      </c>
      <c r="K135" s="19" t="n">
        <v>0</v>
      </c>
      <c r="L135" s="13" t="str">
        <f aca="false">IF(D135&gt;=Inputs!$C$14,"Near-prime","Non-prime")</f>
        <v>Near-prime</v>
      </c>
      <c r="M135" s="19" t="n">
        <f aca="false">IF(K135&lt;=Inputs!$C$19,1,0)</f>
        <v>1</v>
      </c>
      <c r="N135" s="19" t="n">
        <f aca="false">IF(F135&lt;=Inputs!$C$20,1,0)</f>
        <v>1</v>
      </c>
      <c r="O135" s="19" t="n">
        <f aca="false">IF(J135&lt;=Inputs!$C$21,1,0)</f>
        <v>1</v>
      </c>
      <c r="P135" s="19" t="n">
        <f aca="false">IF(D135&gt;=Inputs!$C$22,1,0)</f>
        <v>1</v>
      </c>
      <c r="Q135" s="19" t="n">
        <f aca="false">IF(I135&lt;=Inputs!$C$23,1,0)</f>
        <v>1</v>
      </c>
      <c r="R135" s="19" t="n">
        <f aca="false">M135*N135*O135*P135*Q135</f>
        <v>1</v>
      </c>
      <c r="S135" s="14" t="n">
        <f aca="false">I135*R135</f>
        <v>39558.28</v>
      </c>
      <c r="T135" s="19" t="n">
        <f aca="false">IF(F135&gt;72,1,0)</f>
        <v>0</v>
      </c>
      <c r="U135" s="19" t="n">
        <f aca="false">IF(J135&gt;1.25,1,0)</f>
        <v>0</v>
      </c>
    </row>
    <row r="136" customFormat="false" ht="15" hidden="false" customHeight="false" outlineLevel="0" collapsed="false">
      <c r="B136" s="13" t="s">
        <v>356</v>
      </c>
      <c r="C136" s="13" t="s">
        <v>233</v>
      </c>
      <c r="D136" s="19" t="n">
        <v>659</v>
      </c>
      <c r="E136" s="23" t="n">
        <v>0.184</v>
      </c>
      <c r="F136" s="19" t="n">
        <v>60</v>
      </c>
      <c r="G136" s="19" t="n">
        <v>4</v>
      </c>
      <c r="H136" s="14" t="n">
        <v>21540</v>
      </c>
      <c r="I136" s="14" t="n">
        <v>20633.85</v>
      </c>
      <c r="J136" s="24" t="n">
        <v>1.152</v>
      </c>
      <c r="K136" s="19" t="n">
        <v>0</v>
      </c>
      <c r="L136" s="13" t="str">
        <f aca="false">IF(D136&gt;=Inputs!$C$14,"Near-prime","Non-prime")</f>
        <v>Near-prime</v>
      </c>
      <c r="M136" s="19" t="n">
        <f aca="false">IF(K136&lt;=Inputs!$C$19,1,0)</f>
        <v>1</v>
      </c>
      <c r="N136" s="19" t="n">
        <f aca="false">IF(F136&lt;=Inputs!$C$20,1,0)</f>
        <v>1</v>
      </c>
      <c r="O136" s="19" t="n">
        <f aca="false">IF(J136&lt;=Inputs!$C$21,1,0)</f>
        <v>1</v>
      </c>
      <c r="P136" s="19" t="n">
        <f aca="false">IF(D136&gt;=Inputs!$C$22,1,0)</f>
        <v>1</v>
      </c>
      <c r="Q136" s="19" t="n">
        <f aca="false">IF(I136&lt;=Inputs!$C$23,1,0)</f>
        <v>1</v>
      </c>
      <c r="R136" s="19" t="n">
        <f aca="false">M136*N136*O136*P136*Q136</f>
        <v>1</v>
      </c>
      <c r="S136" s="14" t="n">
        <f aca="false">I136*R136</f>
        <v>20633.85</v>
      </c>
      <c r="T136" s="19" t="n">
        <f aca="false">IF(F136&gt;72,1,0)</f>
        <v>0</v>
      </c>
      <c r="U136" s="19" t="n">
        <f aca="false">IF(J136&gt;1.25,1,0)</f>
        <v>0</v>
      </c>
    </row>
    <row r="137" customFormat="false" ht="15" hidden="false" customHeight="false" outlineLevel="0" collapsed="false">
      <c r="B137" s="13" t="s">
        <v>357</v>
      </c>
      <c r="C137" s="13" t="s">
        <v>219</v>
      </c>
      <c r="D137" s="19" t="n">
        <v>595</v>
      </c>
      <c r="E137" s="23" t="n">
        <v>0.2321</v>
      </c>
      <c r="F137" s="19" t="n">
        <v>72</v>
      </c>
      <c r="G137" s="19" t="n">
        <v>5</v>
      </c>
      <c r="H137" s="14" t="n">
        <v>32850</v>
      </c>
      <c r="I137" s="14" t="n">
        <v>31738.96</v>
      </c>
      <c r="J137" s="24" t="n">
        <v>0.87</v>
      </c>
      <c r="K137" s="19" t="n">
        <v>15</v>
      </c>
      <c r="L137" s="13" t="str">
        <f aca="false">IF(D137&gt;=Inputs!$C$14,"Near-prime","Non-prime")</f>
        <v>Non-prime</v>
      </c>
      <c r="M137" s="19" t="n">
        <f aca="false">IF(K137&lt;=Inputs!$C$19,1,0)</f>
        <v>1</v>
      </c>
      <c r="N137" s="19" t="n">
        <f aca="false">IF(F137&lt;=Inputs!$C$20,1,0)</f>
        <v>1</v>
      </c>
      <c r="O137" s="19" t="n">
        <f aca="false">IF(J137&lt;=Inputs!$C$21,1,0)</f>
        <v>1</v>
      </c>
      <c r="P137" s="19" t="n">
        <f aca="false">IF(D137&gt;=Inputs!$C$22,1,0)</f>
        <v>1</v>
      </c>
      <c r="Q137" s="19" t="n">
        <f aca="false">IF(I137&lt;=Inputs!$C$23,1,0)</f>
        <v>1</v>
      </c>
      <c r="R137" s="19" t="n">
        <f aca="false">M137*N137*O137*P137*Q137</f>
        <v>1</v>
      </c>
      <c r="S137" s="14" t="n">
        <f aca="false">I137*R137</f>
        <v>31738.96</v>
      </c>
      <c r="T137" s="19" t="n">
        <f aca="false">IF(F137&gt;72,1,0)</f>
        <v>0</v>
      </c>
      <c r="U137" s="19" t="n">
        <f aca="false">IF(J137&gt;1.25,1,0)</f>
        <v>0</v>
      </c>
    </row>
    <row r="138" customFormat="false" ht="15" hidden="false" customHeight="false" outlineLevel="0" collapsed="false">
      <c r="B138" s="13" t="s">
        <v>358</v>
      </c>
      <c r="C138" s="13" t="s">
        <v>237</v>
      </c>
      <c r="D138" s="19" t="n">
        <v>606</v>
      </c>
      <c r="E138" s="23" t="n">
        <v>0.2045</v>
      </c>
      <c r="F138" s="19" t="n">
        <v>60</v>
      </c>
      <c r="G138" s="19" t="n">
        <v>0</v>
      </c>
      <c r="H138" s="14" t="n">
        <v>30690</v>
      </c>
      <c r="I138" s="14" t="n">
        <v>30690</v>
      </c>
      <c r="J138" s="24" t="n">
        <v>1.048</v>
      </c>
      <c r="K138" s="19" t="n">
        <v>0</v>
      </c>
      <c r="L138" s="13" t="str">
        <f aca="false">IF(D138&gt;=Inputs!$C$14,"Near-prime","Non-prime")</f>
        <v>Non-prime</v>
      </c>
      <c r="M138" s="19" t="n">
        <f aca="false">IF(K138&lt;=Inputs!$C$19,1,0)</f>
        <v>1</v>
      </c>
      <c r="N138" s="19" t="n">
        <f aca="false">IF(F138&lt;=Inputs!$C$20,1,0)</f>
        <v>1</v>
      </c>
      <c r="O138" s="19" t="n">
        <f aca="false">IF(J138&lt;=Inputs!$C$21,1,0)</f>
        <v>1</v>
      </c>
      <c r="P138" s="19" t="n">
        <f aca="false">IF(D138&gt;=Inputs!$C$22,1,0)</f>
        <v>1</v>
      </c>
      <c r="Q138" s="19" t="n">
        <f aca="false">IF(I138&lt;=Inputs!$C$23,1,0)</f>
        <v>1</v>
      </c>
      <c r="R138" s="19" t="n">
        <f aca="false">M138*N138*O138*P138*Q138</f>
        <v>1</v>
      </c>
      <c r="S138" s="14" t="n">
        <f aca="false">I138*R138</f>
        <v>30690</v>
      </c>
      <c r="T138" s="19" t="n">
        <f aca="false">IF(F138&gt;72,1,0)</f>
        <v>0</v>
      </c>
      <c r="U138" s="19" t="n">
        <f aca="false">IF(J138&gt;1.25,1,0)</f>
        <v>0</v>
      </c>
    </row>
    <row r="139" customFormat="false" ht="15" hidden="false" customHeight="false" outlineLevel="0" collapsed="false">
      <c r="B139" s="13" t="s">
        <v>359</v>
      </c>
      <c r="C139" s="13" t="s">
        <v>257</v>
      </c>
      <c r="D139" s="19" t="n">
        <v>620</v>
      </c>
      <c r="E139" s="23" t="n">
        <v>0.2084</v>
      </c>
      <c r="F139" s="19" t="n">
        <v>48</v>
      </c>
      <c r="G139" s="19" t="n">
        <v>1</v>
      </c>
      <c r="H139" s="14" t="n">
        <v>35910</v>
      </c>
      <c r="I139" s="14" t="n">
        <v>35424.75</v>
      </c>
      <c r="J139" s="24" t="n">
        <v>1.308</v>
      </c>
      <c r="K139" s="19" t="n">
        <v>0</v>
      </c>
      <c r="L139" s="13" t="str">
        <f aca="false">IF(D139&gt;=Inputs!$C$14,"Near-prime","Non-prime")</f>
        <v>Near-prime</v>
      </c>
      <c r="M139" s="19" t="n">
        <f aca="false">IF(K139&lt;=Inputs!$C$19,1,0)</f>
        <v>1</v>
      </c>
      <c r="N139" s="19" t="n">
        <f aca="false">IF(F139&lt;=Inputs!$C$20,1,0)</f>
        <v>1</v>
      </c>
      <c r="O139" s="19" t="n">
        <f aca="false">IF(J139&lt;=Inputs!$C$21,1,0)</f>
        <v>1</v>
      </c>
      <c r="P139" s="19" t="n">
        <f aca="false">IF(D139&gt;=Inputs!$C$22,1,0)</f>
        <v>1</v>
      </c>
      <c r="Q139" s="19" t="n">
        <f aca="false">IF(I139&lt;=Inputs!$C$23,1,0)</f>
        <v>1</v>
      </c>
      <c r="R139" s="19" t="n">
        <f aca="false">M139*N139*O139*P139*Q139</f>
        <v>1</v>
      </c>
      <c r="S139" s="14" t="n">
        <f aca="false">I139*R139</f>
        <v>35424.75</v>
      </c>
      <c r="T139" s="19" t="n">
        <f aca="false">IF(F139&gt;72,1,0)</f>
        <v>0</v>
      </c>
      <c r="U139" s="19" t="n">
        <f aca="false">IF(J139&gt;1.25,1,0)</f>
        <v>1</v>
      </c>
    </row>
    <row r="140" customFormat="false" ht="15" hidden="false" customHeight="false" outlineLevel="0" collapsed="false">
      <c r="B140" s="13" t="s">
        <v>360</v>
      </c>
      <c r="C140" s="13" t="s">
        <v>217</v>
      </c>
      <c r="D140" s="19" t="n">
        <v>520</v>
      </c>
      <c r="E140" s="23" t="n">
        <v>0.239</v>
      </c>
      <c r="F140" s="19" t="n">
        <v>75</v>
      </c>
      <c r="G140" s="19" t="n">
        <v>3</v>
      </c>
      <c r="H140" s="14" t="n">
        <v>31040</v>
      </c>
      <c r="I140" s="14" t="n">
        <v>30481.75</v>
      </c>
      <c r="J140" s="24" t="n">
        <v>1.026</v>
      </c>
      <c r="K140" s="19" t="n">
        <v>0</v>
      </c>
      <c r="L140" s="13" t="str">
        <f aca="false">IF(D140&gt;=Inputs!$C$14,"Near-prime","Non-prime")</f>
        <v>Non-prime</v>
      </c>
      <c r="M140" s="19" t="n">
        <f aca="false">IF(K140&lt;=Inputs!$C$19,1,0)</f>
        <v>1</v>
      </c>
      <c r="N140" s="19" t="n">
        <f aca="false">IF(F140&lt;=Inputs!$C$20,1,0)</f>
        <v>1</v>
      </c>
      <c r="O140" s="19" t="n">
        <f aca="false">IF(J140&lt;=Inputs!$C$21,1,0)</f>
        <v>1</v>
      </c>
      <c r="P140" s="19" t="n">
        <f aca="false">IF(D140&gt;=Inputs!$C$22,1,0)</f>
        <v>0</v>
      </c>
      <c r="Q140" s="19" t="n">
        <f aca="false">IF(I140&lt;=Inputs!$C$23,1,0)</f>
        <v>1</v>
      </c>
      <c r="R140" s="19" t="n">
        <f aca="false">M140*N140*O140*P140*Q140</f>
        <v>0</v>
      </c>
      <c r="S140" s="14" t="n">
        <f aca="false">I140*R140</f>
        <v>0</v>
      </c>
      <c r="T140" s="19" t="n">
        <f aca="false">IF(F140&gt;72,1,0)</f>
        <v>1</v>
      </c>
      <c r="U140" s="19" t="n">
        <f aca="false">IF(J140&gt;1.25,1,0)</f>
        <v>0</v>
      </c>
    </row>
    <row r="141" customFormat="false" ht="15" hidden="false" customHeight="false" outlineLevel="0" collapsed="false">
      <c r="B141" s="13" t="s">
        <v>361</v>
      </c>
      <c r="C141" s="13" t="s">
        <v>219</v>
      </c>
      <c r="D141" s="19" t="n">
        <v>622</v>
      </c>
      <c r="E141" s="23" t="n">
        <v>0.1966</v>
      </c>
      <c r="F141" s="19" t="n">
        <v>72</v>
      </c>
      <c r="G141" s="19" t="n">
        <v>8</v>
      </c>
      <c r="H141" s="14" t="n">
        <v>25620</v>
      </c>
      <c r="I141" s="14" t="n">
        <v>24019.32</v>
      </c>
      <c r="J141" s="24" t="n">
        <v>1.437</v>
      </c>
      <c r="K141" s="19" t="n">
        <v>0</v>
      </c>
      <c r="L141" s="13" t="str">
        <f aca="false">IF(D141&gt;=Inputs!$C$14,"Near-prime","Non-prime")</f>
        <v>Near-prime</v>
      </c>
      <c r="M141" s="19" t="n">
        <f aca="false">IF(K141&lt;=Inputs!$C$19,1,0)</f>
        <v>1</v>
      </c>
      <c r="N141" s="19" t="n">
        <f aca="false">IF(F141&lt;=Inputs!$C$20,1,0)</f>
        <v>1</v>
      </c>
      <c r="O141" s="19" t="n">
        <f aca="false">IF(J141&lt;=Inputs!$C$21,1,0)</f>
        <v>1</v>
      </c>
      <c r="P141" s="19" t="n">
        <f aca="false">IF(D141&gt;=Inputs!$C$22,1,0)</f>
        <v>1</v>
      </c>
      <c r="Q141" s="19" t="n">
        <f aca="false">IF(I141&lt;=Inputs!$C$23,1,0)</f>
        <v>1</v>
      </c>
      <c r="R141" s="19" t="n">
        <f aca="false">M141*N141*O141*P141*Q141</f>
        <v>1</v>
      </c>
      <c r="S141" s="14" t="n">
        <f aca="false">I141*R141</f>
        <v>24019.32</v>
      </c>
      <c r="T141" s="19" t="n">
        <f aca="false">IF(F141&gt;72,1,0)</f>
        <v>0</v>
      </c>
      <c r="U141" s="19" t="n">
        <f aca="false">IF(J141&gt;1.25,1,0)</f>
        <v>1</v>
      </c>
    </row>
    <row r="142" customFormat="false" ht="15" hidden="false" customHeight="false" outlineLevel="0" collapsed="false">
      <c r="B142" s="13" t="s">
        <v>362</v>
      </c>
      <c r="C142" s="13" t="s">
        <v>237</v>
      </c>
      <c r="D142" s="19" t="n">
        <v>639</v>
      </c>
      <c r="E142" s="23" t="n">
        <v>0.2077</v>
      </c>
      <c r="F142" s="19" t="n">
        <v>72</v>
      </c>
      <c r="G142" s="19" t="n">
        <v>7</v>
      </c>
      <c r="H142" s="14" t="n">
        <v>36170</v>
      </c>
      <c r="I142" s="14" t="n">
        <v>34278.16</v>
      </c>
      <c r="J142" s="24" t="n">
        <v>1.252</v>
      </c>
      <c r="K142" s="19" t="n">
        <v>0</v>
      </c>
      <c r="L142" s="13" t="str">
        <f aca="false">IF(D142&gt;=Inputs!$C$14,"Near-prime","Non-prime")</f>
        <v>Near-prime</v>
      </c>
      <c r="M142" s="19" t="n">
        <f aca="false">IF(K142&lt;=Inputs!$C$19,1,0)</f>
        <v>1</v>
      </c>
      <c r="N142" s="19" t="n">
        <f aca="false">IF(F142&lt;=Inputs!$C$20,1,0)</f>
        <v>1</v>
      </c>
      <c r="O142" s="19" t="n">
        <f aca="false">IF(J142&lt;=Inputs!$C$21,1,0)</f>
        <v>1</v>
      </c>
      <c r="P142" s="19" t="n">
        <f aca="false">IF(D142&gt;=Inputs!$C$22,1,0)</f>
        <v>1</v>
      </c>
      <c r="Q142" s="19" t="n">
        <f aca="false">IF(I142&lt;=Inputs!$C$23,1,0)</f>
        <v>1</v>
      </c>
      <c r="R142" s="19" t="n">
        <f aca="false">M142*N142*O142*P142*Q142</f>
        <v>1</v>
      </c>
      <c r="S142" s="14" t="n">
        <f aca="false">I142*R142</f>
        <v>34278.16</v>
      </c>
      <c r="T142" s="19" t="n">
        <f aca="false">IF(F142&gt;72,1,0)</f>
        <v>0</v>
      </c>
      <c r="U142" s="19" t="n">
        <f aca="false">IF(J142&gt;1.25,1,0)</f>
        <v>1</v>
      </c>
    </row>
    <row r="143" customFormat="false" ht="15" hidden="false" customHeight="false" outlineLevel="0" collapsed="false">
      <c r="B143" s="13" t="s">
        <v>363</v>
      </c>
      <c r="C143" s="13" t="s">
        <v>257</v>
      </c>
      <c r="D143" s="19" t="n">
        <v>639</v>
      </c>
      <c r="E143" s="23" t="n">
        <v>0.1966</v>
      </c>
      <c r="F143" s="19" t="n">
        <v>72</v>
      </c>
      <c r="G143" s="19" t="n">
        <v>0</v>
      </c>
      <c r="H143" s="14" t="n">
        <v>9370</v>
      </c>
      <c r="I143" s="14" t="n">
        <v>9370</v>
      </c>
      <c r="J143" s="24" t="n">
        <v>0.838</v>
      </c>
      <c r="K143" s="19" t="n">
        <v>45</v>
      </c>
      <c r="L143" s="13" t="str">
        <f aca="false">IF(D143&gt;=Inputs!$C$14,"Near-prime","Non-prime")</f>
        <v>Near-prime</v>
      </c>
      <c r="M143" s="19" t="n">
        <f aca="false">IF(K143&lt;=Inputs!$C$19,1,0)</f>
        <v>1</v>
      </c>
      <c r="N143" s="19" t="n">
        <f aca="false">IF(F143&lt;=Inputs!$C$20,1,0)</f>
        <v>1</v>
      </c>
      <c r="O143" s="19" t="n">
        <f aca="false">IF(J143&lt;=Inputs!$C$21,1,0)</f>
        <v>1</v>
      </c>
      <c r="P143" s="19" t="n">
        <f aca="false">IF(D143&gt;=Inputs!$C$22,1,0)</f>
        <v>1</v>
      </c>
      <c r="Q143" s="19" t="n">
        <f aca="false">IF(I143&lt;=Inputs!$C$23,1,0)</f>
        <v>1</v>
      </c>
      <c r="R143" s="19" t="n">
        <f aca="false">M143*N143*O143*P143*Q143</f>
        <v>1</v>
      </c>
      <c r="S143" s="14" t="n">
        <f aca="false">I143*R143</f>
        <v>9370</v>
      </c>
      <c r="T143" s="19" t="n">
        <f aca="false">IF(F143&gt;72,1,0)</f>
        <v>0</v>
      </c>
      <c r="U143" s="19" t="n">
        <f aca="false">IF(J143&gt;1.25,1,0)</f>
        <v>0</v>
      </c>
    </row>
    <row r="144" customFormat="false" ht="15" hidden="false" customHeight="false" outlineLevel="0" collapsed="false">
      <c r="B144" s="13" t="s">
        <v>364</v>
      </c>
      <c r="C144" s="13" t="s">
        <v>223</v>
      </c>
      <c r="D144" s="19" t="n">
        <v>637</v>
      </c>
      <c r="E144" s="23" t="n">
        <v>0.2016</v>
      </c>
      <c r="F144" s="19" t="n">
        <v>60</v>
      </c>
      <c r="G144" s="19" t="n">
        <v>9</v>
      </c>
      <c r="H144" s="14" t="n">
        <v>21470</v>
      </c>
      <c r="I144" s="14" t="n">
        <v>19447.49</v>
      </c>
      <c r="J144" s="24" t="n">
        <v>1.434</v>
      </c>
      <c r="K144" s="19" t="n">
        <v>0</v>
      </c>
      <c r="L144" s="13" t="str">
        <f aca="false">IF(D144&gt;=Inputs!$C$14,"Near-prime","Non-prime")</f>
        <v>Near-prime</v>
      </c>
      <c r="M144" s="19" t="n">
        <f aca="false">IF(K144&lt;=Inputs!$C$19,1,0)</f>
        <v>1</v>
      </c>
      <c r="N144" s="19" t="n">
        <f aca="false">IF(F144&lt;=Inputs!$C$20,1,0)</f>
        <v>1</v>
      </c>
      <c r="O144" s="19" t="n">
        <f aca="false">IF(J144&lt;=Inputs!$C$21,1,0)</f>
        <v>1</v>
      </c>
      <c r="P144" s="19" t="n">
        <f aca="false">IF(D144&gt;=Inputs!$C$22,1,0)</f>
        <v>1</v>
      </c>
      <c r="Q144" s="19" t="n">
        <f aca="false">IF(I144&lt;=Inputs!$C$23,1,0)</f>
        <v>1</v>
      </c>
      <c r="R144" s="19" t="n">
        <f aca="false">M144*N144*O144*P144*Q144</f>
        <v>1</v>
      </c>
      <c r="S144" s="14" t="n">
        <f aca="false">I144*R144</f>
        <v>19447.49</v>
      </c>
      <c r="T144" s="19" t="n">
        <f aca="false">IF(F144&gt;72,1,0)</f>
        <v>0</v>
      </c>
      <c r="U144" s="19" t="n">
        <f aca="false">IF(J144&gt;1.25,1,0)</f>
        <v>1</v>
      </c>
    </row>
    <row r="145" customFormat="false" ht="15" hidden="false" customHeight="false" outlineLevel="0" collapsed="false">
      <c r="B145" s="13" t="s">
        <v>365</v>
      </c>
      <c r="C145" s="13" t="s">
        <v>219</v>
      </c>
      <c r="D145" s="19" t="n">
        <v>654</v>
      </c>
      <c r="E145" s="23" t="n">
        <v>0.1938</v>
      </c>
      <c r="F145" s="19" t="n">
        <v>72</v>
      </c>
      <c r="G145" s="19" t="n">
        <v>1</v>
      </c>
      <c r="H145" s="14" t="n">
        <v>17820</v>
      </c>
      <c r="I145" s="14" t="n">
        <v>17687.33</v>
      </c>
      <c r="J145" s="24" t="n">
        <v>1.355</v>
      </c>
      <c r="K145" s="19" t="n">
        <v>0</v>
      </c>
      <c r="L145" s="13" t="str">
        <f aca="false">IF(D145&gt;=Inputs!$C$14,"Near-prime","Non-prime")</f>
        <v>Near-prime</v>
      </c>
      <c r="M145" s="19" t="n">
        <f aca="false">IF(K145&lt;=Inputs!$C$19,1,0)</f>
        <v>1</v>
      </c>
      <c r="N145" s="19" t="n">
        <f aca="false">IF(F145&lt;=Inputs!$C$20,1,0)</f>
        <v>1</v>
      </c>
      <c r="O145" s="19" t="n">
        <f aca="false">IF(J145&lt;=Inputs!$C$21,1,0)</f>
        <v>1</v>
      </c>
      <c r="P145" s="19" t="n">
        <f aca="false">IF(D145&gt;=Inputs!$C$22,1,0)</f>
        <v>1</v>
      </c>
      <c r="Q145" s="19" t="n">
        <f aca="false">IF(I145&lt;=Inputs!$C$23,1,0)</f>
        <v>1</v>
      </c>
      <c r="R145" s="19" t="n">
        <f aca="false">M145*N145*O145*P145*Q145</f>
        <v>1</v>
      </c>
      <c r="S145" s="14" t="n">
        <f aca="false">I145*R145</f>
        <v>17687.33</v>
      </c>
      <c r="T145" s="19" t="n">
        <f aca="false">IF(F145&gt;72,1,0)</f>
        <v>0</v>
      </c>
      <c r="U145" s="19" t="n">
        <f aca="false">IF(J145&gt;1.25,1,0)</f>
        <v>1</v>
      </c>
    </row>
    <row r="146" customFormat="false" ht="15" hidden="false" customHeight="false" outlineLevel="0" collapsed="false">
      <c r="B146" s="13" t="s">
        <v>366</v>
      </c>
      <c r="C146" s="13" t="s">
        <v>252</v>
      </c>
      <c r="D146" s="19" t="n">
        <v>658</v>
      </c>
      <c r="E146" s="23" t="n">
        <v>0.1907</v>
      </c>
      <c r="F146" s="19" t="n">
        <v>72</v>
      </c>
      <c r="G146" s="19" t="n">
        <v>9</v>
      </c>
      <c r="H146" s="14" t="n">
        <v>36050</v>
      </c>
      <c r="I146" s="14" t="n">
        <v>33447.37</v>
      </c>
      <c r="J146" s="24" t="n">
        <v>0.767</v>
      </c>
      <c r="K146" s="19" t="n">
        <v>0</v>
      </c>
      <c r="L146" s="13" t="str">
        <f aca="false">IF(D146&gt;=Inputs!$C$14,"Near-prime","Non-prime")</f>
        <v>Near-prime</v>
      </c>
      <c r="M146" s="19" t="n">
        <f aca="false">IF(K146&lt;=Inputs!$C$19,1,0)</f>
        <v>1</v>
      </c>
      <c r="N146" s="19" t="n">
        <f aca="false">IF(F146&lt;=Inputs!$C$20,1,0)</f>
        <v>1</v>
      </c>
      <c r="O146" s="19" t="n">
        <f aca="false">IF(J146&lt;=Inputs!$C$21,1,0)</f>
        <v>1</v>
      </c>
      <c r="P146" s="19" t="n">
        <f aca="false">IF(D146&gt;=Inputs!$C$22,1,0)</f>
        <v>1</v>
      </c>
      <c r="Q146" s="19" t="n">
        <f aca="false">IF(I146&lt;=Inputs!$C$23,1,0)</f>
        <v>1</v>
      </c>
      <c r="R146" s="19" t="n">
        <f aca="false">M146*N146*O146*P146*Q146</f>
        <v>1</v>
      </c>
      <c r="S146" s="14" t="n">
        <f aca="false">I146*R146</f>
        <v>33447.37</v>
      </c>
      <c r="T146" s="19" t="n">
        <f aca="false">IF(F146&gt;72,1,0)</f>
        <v>0</v>
      </c>
      <c r="U146" s="19" t="n">
        <f aca="false">IF(J146&gt;1.25,1,0)</f>
        <v>0</v>
      </c>
    </row>
    <row r="147" customFormat="false" ht="15" hidden="false" customHeight="false" outlineLevel="0" collapsed="false">
      <c r="B147" s="13" t="s">
        <v>367</v>
      </c>
      <c r="C147" s="13" t="s">
        <v>221</v>
      </c>
      <c r="D147" s="19" t="n">
        <v>728</v>
      </c>
      <c r="E147" s="23" t="n">
        <v>0.1995</v>
      </c>
      <c r="F147" s="19" t="n">
        <v>60</v>
      </c>
      <c r="G147" s="19" t="n">
        <v>4</v>
      </c>
      <c r="H147" s="14" t="n">
        <v>22570</v>
      </c>
      <c r="I147" s="14" t="n">
        <v>21659.15</v>
      </c>
      <c r="J147" s="24" t="n">
        <v>1.034</v>
      </c>
      <c r="K147" s="19" t="n">
        <v>45</v>
      </c>
      <c r="L147" s="13" t="str">
        <f aca="false">IF(D147&gt;=Inputs!$C$14,"Near-prime","Non-prime")</f>
        <v>Near-prime</v>
      </c>
      <c r="M147" s="19" t="n">
        <f aca="false">IF(K147&lt;=Inputs!$C$19,1,0)</f>
        <v>1</v>
      </c>
      <c r="N147" s="19" t="n">
        <f aca="false">IF(F147&lt;=Inputs!$C$20,1,0)</f>
        <v>1</v>
      </c>
      <c r="O147" s="19" t="n">
        <f aca="false">IF(J147&lt;=Inputs!$C$21,1,0)</f>
        <v>1</v>
      </c>
      <c r="P147" s="19" t="n">
        <f aca="false">IF(D147&gt;=Inputs!$C$22,1,0)</f>
        <v>1</v>
      </c>
      <c r="Q147" s="19" t="n">
        <f aca="false">IF(I147&lt;=Inputs!$C$23,1,0)</f>
        <v>1</v>
      </c>
      <c r="R147" s="19" t="n">
        <f aca="false">M147*N147*O147*P147*Q147</f>
        <v>1</v>
      </c>
      <c r="S147" s="14" t="n">
        <f aca="false">I147*R147</f>
        <v>21659.15</v>
      </c>
      <c r="T147" s="19" t="n">
        <f aca="false">IF(F147&gt;72,1,0)</f>
        <v>0</v>
      </c>
      <c r="U147" s="19" t="n">
        <f aca="false">IF(J147&gt;1.25,1,0)</f>
        <v>0</v>
      </c>
    </row>
    <row r="148" customFormat="false" ht="15" hidden="false" customHeight="false" outlineLevel="0" collapsed="false">
      <c r="B148" s="13" t="s">
        <v>368</v>
      </c>
      <c r="C148" s="13" t="s">
        <v>217</v>
      </c>
      <c r="D148" s="19" t="n">
        <v>652</v>
      </c>
      <c r="E148" s="23" t="n">
        <v>0.2143</v>
      </c>
      <c r="F148" s="19" t="n">
        <v>60</v>
      </c>
      <c r="G148" s="19" t="n">
        <v>8</v>
      </c>
      <c r="H148" s="14" t="n">
        <v>31330</v>
      </c>
      <c r="I148" s="14" t="n">
        <v>28811.34</v>
      </c>
      <c r="J148" s="24" t="n">
        <v>1.377</v>
      </c>
      <c r="K148" s="19" t="n">
        <v>0</v>
      </c>
      <c r="L148" s="13" t="str">
        <f aca="false">IF(D148&gt;=Inputs!$C$14,"Near-prime","Non-prime")</f>
        <v>Near-prime</v>
      </c>
      <c r="M148" s="19" t="n">
        <f aca="false">IF(K148&lt;=Inputs!$C$19,1,0)</f>
        <v>1</v>
      </c>
      <c r="N148" s="19" t="n">
        <f aca="false">IF(F148&lt;=Inputs!$C$20,1,0)</f>
        <v>1</v>
      </c>
      <c r="O148" s="19" t="n">
        <f aca="false">IF(J148&lt;=Inputs!$C$21,1,0)</f>
        <v>1</v>
      </c>
      <c r="P148" s="19" t="n">
        <f aca="false">IF(D148&gt;=Inputs!$C$22,1,0)</f>
        <v>1</v>
      </c>
      <c r="Q148" s="19" t="n">
        <f aca="false">IF(I148&lt;=Inputs!$C$23,1,0)</f>
        <v>1</v>
      </c>
      <c r="R148" s="19" t="n">
        <f aca="false">M148*N148*O148*P148*Q148</f>
        <v>1</v>
      </c>
      <c r="S148" s="14" t="n">
        <f aca="false">I148*R148</f>
        <v>28811.34</v>
      </c>
      <c r="T148" s="19" t="n">
        <f aca="false">IF(F148&gt;72,1,0)</f>
        <v>0</v>
      </c>
      <c r="U148" s="19" t="n">
        <f aca="false">IF(J148&gt;1.25,1,0)</f>
        <v>1</v>
      </c>
    </row>
    <row r="149" customFormat="false" ht="15" hidden="false" customHeight="false" outlineLevel="0" collapsed="false">
      <c r="B149" s="13" t="s">
        <v>369</v>
      </c>
      <c r="C149" s="13" t="s">
        <v>223</v>
      </c>
      <c r="D149" s="19" t="n">
        <v>688</v>
      </c>
      <c r="E149" s="23" t="n">
        <v>0.1997</v>
      </c>
      <c r="F149" s="19" t="n">
        <v>66</v>
      </c>
      <c r="G149" s="19" t="n">
        <v>4</v>
      </c>
      <c r="H149" s="14" t="n">
        <v>25400</v>
      </c>
      <c r="I149" s="14" t="n">
        <v>24521.06</v>
      </c>
      <c r="J149" s="24" t="n">
        <v>1.068</v>
      </c>
      <c r="K149" s="19" t="n">
        <v>0</v>
      </c>
      <c r="L149" s="13" t="str">
        <f aca="false">IF(D149&gt;=Inputs!$C$14,"Near-prime","Non-prime")</f>
        <v>Near-prime</v>
      </c>
      <c r="M149" s="19" t="n">
        <f aca="false">IF(K149&lt;=Inputs!$C$19,1,0)</f>
        <v>1</v>
      </c>
      <c r="N149" s="19" t="n">
        <f aca="false">IF(F149&lt;=Inputs!$C$20,1,0)</f>
        <v>1</v>
      </c>
      <c r="O149" s="19" t="n">
        <f aca="false">IF(J149&lt;=Inputs!$C$21,1,0)</f>
        <v>1</v>
      </c>
      <c r="P149" s="19" t="n">
        <f aca="false">IF(D149&gt;=Inputs!$C$22,1,0)</f>
        <v>1</v>
      </c>
      <c r="Q149" s="19" t="n">
        <f aca="false">IF(I149&lt;=Inputs!$C$23,1,0)</f>
        <v>1</v>
      </c>
      <c r="R149" s="19" t="n">
        <f aca="false">M149*N149*O149*P149*Q149</f>
        <v>1</v>
      </c>
      <c r="S149" s="14" t="n">
        <f aca="false">I149*R149</f>
        <v>24521.06</v>
      </c>
      <c r="T149" s="19" t="n">
        <f aca="false">IF(F149&gt;72,1,0)</f>
        <v>0</v>
      </c>
      <c r="U149" s="19" t="n">
        <f aca="false">IF(J149&gt;1.25,1,0)</f>
        <v>0</v>
      </c>
    </row>
    <row r="150" customFormat="false" ht="15" hidden="false" customHeight="false" outlineLevel="0" collapsed="false">
      <c r="B150" s="13" t="s">
        <v>370</v>
      </c>
      <c r="C150" s="13" t="s">
        <v>233</v>
      </c>
      <c r="D150" s="19" t="n">
        <v>613</v>
      </c>
      <c r="E150" s="23" t="n">
        <v>0.2078</v>
      </c>
      <c r="F150" s="19" t="n">
        <v>60</v>
      </c>
      <c r="G150" s="19" t="n">
        <v>8</v>
      </c>
      <c r="H150" s="14" t="n">
        <v>35440</v>
      </c>
      <c r="I150" s="14" t="n">
        <v>32543.46</v>
      </c>
      <c r="J150" s="24" t="n">
        <v>1.087</v>
      </c>
      <c r="K150" s="19" t="n">
        <v>0</v>
      </c>
      <c r="L150" s="13" t="str">
        <f aca="false">IF(D150&gt;=Inputs!$C$14,"Near-prime","Non-prime")</f>
        <v>Non-prime</v>
      </c>
      <c r="M150" s="19" t="n">
        <f aca="false">IF(K150&lt;=Inputs!$C$19,1,0)</f>
        <v>1</v>
      </c>
      <c r="N150" s="19" t="n">
        <f aca="false">IF(F150&lt;=Inputs!$C$20,1,0)</f>
        <v>1</v>
      </c>
      <c r="O150" s="19" t="n">
        <f aca="false">IF(J150&lt;=Inputs!$C$21,1,0)</f>
        <v>1</v>
      </c>
      <c r="P150" s="19" t="n">
        <f aca="false">IF(D150&gt;=Inputs!$C$22,1,0)</f>
        <v>1</v>
      </c>
      <c r="Q150" s="19" t="n">
        <f aca="false">IF(I150&lt;=Inputs!$C$23,1,0)</f>
        <v>1</v>
      </c>
      <c r="R150" s="19" t="n">
        <f aca="false">M150*N150*O150*P150*Q150</f>
        <v>1</v>
      </c>
      <c r="S150" s="14" t="n">
        <f aca="false">I150*R150</f>
        <v>32543.46</v>
      </c>
      <c r="T150" s="19" t="n">
        <f aca="false">IF(F150&gt;72,1,0)</f>
        <v>0</v>
      </c>
      <c r="U150" s="19" t="n">
        <f aca="false">IF(J150&gt;1.25,1,0)</f>
        <v>0</v>
      </c>
    </row>
    <row r="151" customFormat="false" ht="15" hidden="false" customHeight="false" outlineLevel="0" collapsed="false">
      <c r="B151" s="13" t="s">
        <v>371</v>
      </c>
      <c r="C151" s="13" t="s">
        <v>217</v>
      </c>
      <c r="D151" s="19" t="n">
        <v>661</v>
      </c>
      <c r="E151" s="23" t="n">
        <v>0.1895</v>
      </c>
      <c r="F151" s="19" t="n">
        <v>72</v>
      </c>
      <c r="G151" s="19" t="n">
        <v>10</v>
      </c>
      <c r="H151" s="14" t="n">
        <v>32270</v>
      </c>
      <c r="I151" s="14" t="n">
        <v>29650.75</v>
      </c>
      <c r="J151" s="24" t="n">
        <v>0.936</v>
      </c>
      <c r="K151" s="19" t="n">
        <v>0</v>
      </c>
      <c r="L151" s="13" t="str">
        <f aca="false">IF(D151&gt;=Inputs!$C$14,"Near-prime","Non-prime")</f>
        <v>Near-prime</v>
      </c>
      <c r="M151" s="19" t="n">
        <f aca="false">IF(K151&lt;=Inputs!$C$19,1,0)</f>
        <v>1</v>
      </c>
      <c r="N151" s="19" t="n">
        <f aca="false">IF(F151&lt;=Inputs!$C$20,1,0)</f>
        <v>1</v>
      </c>
      <c r="O151" s="19" t="n">
        <f aca="false">IF(J151&lt;=Inputs!$C$21,1,0)</f>
        <v>1</v>
      </c>
      <c r="P151" s="19" t="n">
        <f aca="false">IF(D151&gt;=Inputs!$C$22,1,0)</f>
        <v>1</v>
      </c>
      <c r="Q151" s="19" t="n">
        <f aca="false">IF(I151&lt;=Inputs!$C$23,1,0)</f>
        <v>1</v>
      </c>
      <c r="R151" s="19" t="n">
        <f aca="false">M151*N151*O151*P151*Q151</f>
        <v>1</v>
      </c>
      <c r="S151" s="14" t="n">
        <f aca="false">I151*R151</f>
        <v>29650.75</v>
      </c>
      <c r="T151" s="19" t="n">
        <f aca="false">IF(F151&gt;72,1,0)</f>
        <v>0</v>
      </c>
      <c r="U151" s="19" t="n">
        <f aca="false">IF(J151&gt;1.25,1,0)</f>
        <v>0</v>
      </c>
    </row>
    <row r="152" customFormat="false" ht="15" hidden="false" customHeight="false" outlineLevel="0" collapsed="false">
      <c r="B152" s="13" t="s">
        <v>372</v>
      </c>
      <c r="C152" s="13" t="s">
        <v>217</v>
      </c>
      <c r="D152" s="19" t="n">
        <v>659</v>
      </c>
      <c r="E152" s="23" t="n">
        <v>0.1742</v>
      </c>
      <c r="F152" s="19" t="n">
        <v>75</v>
      </c>
      <c r="G152" s="19" t="n">
        <v>0</v>
      </c>
      <c r="H152" s="14" t="n">
        <v>24200</v>
      </c>
      <c r="I152" s="14" t="n">
        <v>24200</v>
      </c>
      <c r="J152" s="24" t="n">
        <v>1.088</v>
      </c>
      <c r="K152" s="19" t="n">
        <v>0</v>
      </c>
      <c r="L152" s="13" t="str">
        <f aca="false">IF(D152&gt;=Inputs!$C$14,"Near-prime","Non-prime")</f>
        <v>Near-prime</v>
      </c>
      <c r="M152" s="19" t="n">
        <f aca="false">IF(K152&lt;=Inputs!$C$19,1,0)</f>
        <v>1</v>
      </c>
      <c r="N152" s="19" t="n">
        <f aca="false">IF(F152&lt;=Inputs!$C$20,1,0)</f>
        <v>1</v>
      </c>
      <c r="O152" s="19" t="n">
        <f aca="false">IF(J152&lt;=Inputs!$C$21,1,0)</f>
        <v>1</v>
      </c>
      <c r="P152" s="19" t="n">
        <f aca="false">IF(D152&gt;=Inputs!$C$22,1,0)</f>
        <v>1</v>
      </c>
      <c r="Q152" s="19" t="n">
        <f aca="false">IF(I152&lt;=Inputs!$C$23,1,0)</f>
        <v>1</v>
      </c>
      <c r="R152" s="19" t="n">
        <f aca="false">M152*N152*O152*P152*Q152</f>
        <v>1</v>
      </c>
      <c r="S152" s="14" t="n">
        <f aca="false">I152*R152</f>
        <v>24200</v>
      </c>
      <c r="T152" s="19" t="n">
        <f aca="false">IF(F152&gt;72,1,0)</f>
        <v>1</v>
      </c>
      <c r="U152" s="19" t="n">
        <f aca="false">IF(J152&gt;1.25,1,0)</f>
        <v>0</v>
      </c>
    </row>
    <row r="153" customFormat="false" ht="15" hidden="false" customHeight="false" outlineLevel="0" collapsed="false">
      <c r="B153" s="13" t="s">
        <v>373</v>
      </c>
      <c r="C153" s="13" t="s">
        <v>223</v>
      </c>
      <c r="D153" s="19" t="n">
        <v>632</v>
      </c>
      <c r="E153" s="23" t="n">
        <v>0.2034</v>
      </c>
      <c r="F153" s="19" t="n">
        <v>75</v>
      </c>
      <c r="G153" s="19" t="n">
        <v>7</v>
      </c>
      <c r="H153" s="14" t="n">
        <v>28910</v>
      </c>
      <c r="I153" s="14" t="n">
        <v>27481.88</v>
      </c>
      <c r="J153" s="24" t="n">
        <v>1.165</v>
      </c>
      <c r="K153" s="19" t="n">
        <v>0</v>
      </c>
      <c r="L153" s="13" t="str">
        <f aca="false">IF(D153&gt;=Inputs!$C$14,"Near-prime","Non-prime")</f>
        <v>Near-prime</v>
      </c>
      <c r="M153" s="19" t="n">
        <f aca="false">IF(K153&lt;=Inputs!$C$19,1,0)</f>
        <v>1</v>
      </c>
      <c r="N153" s="19" t="n">
        <f aca="false">IF(F153&lt;=Inputs!$C$20,1,0)</f>
        <v>1</v>
      </c>
      <c r="O153" s="19" t="n">
        <f aca="false">IF(J153&lt;=Inputs!$C$21,1,0)</f>
        <v>1</v>
      </c>
      <c r="P153" s="19" t="n">
        <f aca="false">IF(D153&gt;=Inputs!$C$22,1,0)</f>
        <v>1</v>
      </c>
      <c r="Q153" s="19" t="n">
        <f aca="false">IF(I153&lt;=Inputs!$C$23,1,0)</f>
        <v>1</v>
      </c>
      <c r="R153" s="19" t="n">
        <f aca="false">M153*N153*O153*P153*Q153</f>
        <v>1</v>
      </c>
      <c r="S153" s="14" t="n">
        <f aca="false">I153*R153</f>
        <v>27481.88</v>
      </c>
      <c r="T153" s="19" t="n">
        <f aca="false">IF(F153&gt;72,1,0)</f>
        <v>1</v>
      </c>
      <c r="U153" s="19" t="n">
        <f aca="false">IF(J153&gt;1.25,1,0)</f>
        <v>0</v>
      </c>
    </row>
    <row r="154" customFormat="false" ht="15" hidden="false" customHeight="false" outlineLevel="0" collapsed="false">
      <c r="B154" s="13" t="s">
        <v>374</v>
      </c>
      <c r="C154" s="13" t="s">
        <v>217</v>
      </c>
      <c r="D154" s="19" t="n">
        <v>556</v>
      </c>
      <c r="E154" s="23" t="n">
        <v>0.223</v>
      </c>
      <c r="F154" s="19" t="n">
        <v>72</v>
      </c>
      <c r="G154" s="19" t="n">
        <v>9</v>
      </c>
      <c r="H154" s="14" t="n">
        <v>24260</v>
      </c>
      <c r="I154" s="14" t="n">
        <v>22678.55</v>
      </c>
      <c r="J154" s="24" t="n">
        <v>1.389</v>
      </c>
      <c r="K154" s="19" t="n">
        <v>0</v>
      </c>
      <c r="L154" s="13" t="str">
        <f aca="false">IF(D154&gt;=Inputs!$C$14,"Near-prime","Non-prime")</f>
        <v>Non-prime</v>
      </c>
      <c r="M154" s="19" t="n">
        <f aca="false">IF(K154&lt;=Inputs!$C$19,1,0)</f>
        <v>1</v>
      </c>
      <c r="N154" s="19" t="n">
        <f aca="false">IF(F154&lt;=Inputs!$C$20,1,0)</f>
        <v>1</v>
      </c>
      <c r="O154" s="19" t="n">
        <f aca="false">IF(J154&lt;=Inputs!$C$21,1,0)</f>
        <v>1</v>
      </c>
      <c r="P154" s="19" t="n">
        <f aca="false">IF(D154&gt;=Inputs!$C$22,1,0)</f>
        <v>1</v>
      </c>
      <c r="Q154" s="19" t="n">
        <f aca="false">IF(I154&lt;=Inputs!$C$23,1,0)</f>
        <v>1</v>
      </c>
      <c r="R154" s="19" t="n">
        <f aca="false">M154*N154*O154*P154*Q154</f>
        <v>1</v>
      </c>
      <c r="S154" s="14" t="n">
        <f aca="false">I154*R154</f>
        <v>22678.55</v>
      </c>
      <c r="T154" s="19" t="n">
        <f aca="false">IF(F154&gt;72,1,0)</f>
        <v>0</v>
      </c>
      <c r="U154" s="19" t="n">
        <f aca="false">IF(J154&gt;1.25,1,0)</f>
        <v>1</v>
      </c>
    </row>
    <row r="155" customFormat="false" ht="15" hidden="false" customHeight="false" outlineLevel="0" collapsed="false">
      <c r="B155" s="13" t="s">
        <v>375</v>
      </c>
      <c r="C155" s="13" t="s">
        <v>223</v>
      </c>
      <c r="D155" s="19" t="n">
        <v>575</v>
      </c>
      <c r="E155" s="23" t="n">
        <v>0.2266</v>
      </c>
      <c r="F155" s="19" t="n">
        <v>60</v>
      </c>
      <c r="G155" s="19" t="n">
        <v>4</v>
      </c>
      <c r="H155" s="14" t="n">
        <v>20690</v>
      </c>
      <c r="I155" s="14" t="n">
        <v>19914.25</v>
      </c>
      <c r="J155" s="24" t="n">
        <v>0.974</v>
      </c>
      <c r="K155" s="19" t="n">
        <v>0</v>
      </c>
      <c r="L155" s="13" t="str">
        <f aca="false">IF(D155&gt;=Inputs!$C$14,"Near-prime","Non-prime")</f>
        <v>Non-prime</v>
      </c>
      <c r="M155" s="19" t="n">
        <f aca="false">IF(K155&lt;=Inputs!$C$19,1,0)</f>
        <v>1</v>
      </c>
      <c r="N155" s="19" t="n">
        <f aca="false">IF(F155&lt;=Inputs!$C$20,1,0)</f>
        <v>1</v>
      </c>
      <c r="O155" s="19" t="n">
        <f aca="false">IF(J155&lt;=Inputs!$C$21,1,0)</f>
        <v>1</v>
      </c>
      <c r="P155" s="19" t="n">
        <f aca="false">IF(D155&gt;=Inputs!$C$22,1,0)</f>
        <v>1</v>
      </c>
      <c r="Q155" s="19" t="n">
        <f aca="false">IF(I155&lt;=Inputs!$C$23,1,0)</f>
        <v>1</v>
      </c>
      <c r="R155" s="19" t="n">
        <f aca="false">M155*N155*O155*P155*Q155</f>
        <v>1</v>
      </c>
      <c r="S155" s="14" t="n">
        <f aca="false">I155*R155</f>
        <v>19914.25</v>
      </c>
      <c r="T155" s="19" t="n">
        <f aca="false">IF(F155&gt;72,1,0)</f>
        <v>0</v>
      </c>
      <c r="U155" s="19" t="n">
        <f aca="false">IF(J155&gt;1.25,1,0)</f>
        <v>0</v>
      </c>
    </row>
    <row r="156" customFormat="false" ht="15" hidden="false" customHeight="false" outlineLevel="0" collapsed="false">
      <c r="B156" s="13" t="s">
        <v>376</v>
      </c>
      <c r="C156" s="13" t="s">
        <v>228</v>
      </c>
      <c r="D156" s="19" t="n">
        <v>667</v>
      </c>
      <c r="E156" s="23" t="n">
        <v>0.2139</v>
      </c>
      <c r="F156" s="19" t="n">
        <v>48</v>
      </c>
      <c r="G156" s="19" t="n">
        <v>2</v>
      </c>
      <c r="H156" s="14" t="n">
        <v>28880</v>
      </c>
      <c r="I156" s="14" t="n">
        <v>28101.98</v>
      </c>
      <c r="J156" s="24" t="n">
        <v>1.105</v>
      </c>
      <c r="K156" s="19" t="n">
        <v>0</v>
      </c>
      <c r="L156" s="13" t="str">
        <f aca="false">IF(D156&gt;=Inputs!$C$14,"Near-prime","Non-prime")</f>
        <v>Near-prime</v>
      </c>
      <c r="M156" s="19" t="n">
        <f aca="false">IF(K156&lt;=Inputs!$C$19,1,0)</f>
        <v>1</v>
      </c>
      <c r="N156" s="19" t="n">
        <f aca="false">IF(F156&lt;=Inputs!$C$20,1,0)</f>
        <v>1</v>
      </c>
      <c r="O156" s="19" t="n">
        <f aca="false">IF(J156&lt;=Inputs!$C$21,1,0)</f>
        <v>1</v>
      </c>
      <c r="P156" s="19" t="n">
        <f aca="false">IF(D156&gt;=Inputs!$C$22,1,0)</f>
        <v>1</v>
      </c>
      <c r="Q156" s="19" t="n">
        <f aca="false">IF(I156&lt;=Inputs!$C$23,1,0)</f>
        <v>1</v>
      </c>
      <c r="R156" s="19" t="n">
        <f aca="false">M156*N156*O156*P156*Q156</f>
        <v>1</v>
      </c>
      <c r="S156" s="14" t="n">
        <f aca="false">I156*R156</f>
        <v>28101.98</v>
      </c>
      <c r="T156" s="19" t="n">
        <f aca="false">IF(F156&gt;72,1,0)</f>
        <v>0</v>
      </c>
      <c r="U156" s="19" t="n">
        <f aca="false">IF(J156&gt;1.25,1,0)</f>
        <v>0</v>
      </c>
    </row>
    <row r="157" customFormat="false" ht="15" hidden="false" customHeight="false" outlineLevel="0" collapsed="false">
      <c r="B157" s="13" t="s">
        <v>377</v>
      </c>
      <c r="C157" s="13" t="s">
        <v>223</v>
      </c>
      <c r="D157" s="19" t="n">
        <v>642</v>
      </c>
      <c r="E157" s="23" t="n">
        <v>0.2075</v>
      </c>
      <c r="F157" s="19" t="n">
        <v>66</v>
      </c>
      <c r="G157" s="19" t="n">
        <v>10</v>
      </c>
      <c r="H157" s="14" t="n">
        <v>41830</v>
      </c>
      <c r="I157" s="14" t="n">
        <v>38105.42</v>
      </c>
      <c r="J157" s="24" t="n">
        <v>1.358</v>
      </c>
      <c r="K157" s="19" t="n">
        <v>0</v>
      </c>
      <c r="L157" s="13" t="str">
        <f aca="false">IF(D157&gt;=Inputs!$C$14,"Near-prime","Non-prime")</f>
        <v>Near-prime</v>
      </c>
      <c r="M157" s="19" t="n">
        <f aca="false">IF(K157&lt;=Inputs!$C$19,1,0)</f>
        <v>1</v>
      </c>
      <c r="N157" s="19" t="n">
        <f aca="false">IF(F157&lt;=Inputs!$C$20,1,0)</f>
        <v>1</v>
      </c>
      <c r="O157" s="19" t="n">
        <f aca="false">IF(J157&lt;=Inputs!$C$21,1,0)</f>
        <v>1</v>
      </c>
      <c r="P157" s="19" t="n">
        <f aca="false">IF(D157&gt;=Inputs!$C$22,1,0)</f>
        <v>1</v>
      </c>
      <c r="Q157" s="19" t="n">
        <f aca="false">IF(I157&lt;=Inputs!$C$23,1,0)</f>
        <v>1</v>
      </c>
      <c r="R157" s="19" t="n">
        <f aca="false">M157*N157*O157*P157*Q157</f>
        <v>1</v>
      </c>
      <c r="S157" s="14" t="n">
        <f aca="false">I157*R157</f>
        <v>38105.42</v>
      </c>
      <c r="T157" s="19" t="n">
        <f aca="false">IF(F157&gt;72,1,0)</f>
        <v>0</v>
      </c>
      <c r="U157" s="19" t="n">
        <f aca="false">IF(J157&gt;1.25,1,0)</f>
        <v>1</v>
      </c>
    </row>
    <row r="158" customFormat="false" ht="15" hidden="false" customHeight="false" outlineLevel="0" collapsed="false">
      <c r="B158" s="13" t="s">
        <v>378</v>
      </c>
      <c r="C158" s="13" t="s">
        <v>252</v>
      </c>
      <c r="D158" s="19" t="n">
        <v>632</v>
      </c>
      <c r="E158" s="23" t="n">
        <v>0.2112</v>
      </c>
      <c r="F158" s="19" t="n">
        <v>60</v>
      </c>
      <c r="G158" s="19" t="n">
        <v>1</v>
      </c>
      <c r="H158" s="14" t="n">
        <v>32790</v>
      </c>
      <c r="I158" s="14" t="n">
        <v>32477.81</v>
      </c>
      <c r="J158" s="24" t="n">
        <v>1.175</v>
      </c>
      <c r="K158" s="19" t="n">
        <v>0</v>
      </c>
      <c r="L158" s="13" t="str">
        <f aca="false">IF(D158&gt;=Inputs!$C$14,"Near-prime","Non-prime")</f>
        <v>Near-prime</v>
      </c>
      <c r="M158" s="19" t="n">
        <f aca="false">IF(K158&lt;=Inputs!$C$19,1,0)</f>
        <v>1</v>
      </c>
      <c r="N158" s="19" t="n">
        <f aca="false">IF(F158&lt;=Inputs!$C$20,1,0)</f>
        <v>1</v>
      </c>
      <c r="O158" s="19" t="n">
        <f aca="false">IF(J158&lt;=Inputs!$C$21,1,0)</f>
        <v>1</v>
      </c>
      <c r="P158" s="19" t="n">
        <f aca="false">IF(D158&gt;=Inputs!$C$22,1,0)</f>
        <v>1</v>
      </c>
      <c r="Q158" s="19" t="n">
        <f aca="false">IF(I158&lt;=Inputs!$C$23,1,0)</f>
        <v>1</v>
      </c>
      <c r="R158" s="19" t="n">
        <f aca="false">M158*N158*O158*P158*Q158</f>
        <v>1</v>
      </c>
      <c r="S158" s="14" t="n">
        <f aca="false">I158*R158</f>
        <v>32477.81</v>
      </c>
      <c r="T158" s="19" t="n">
        <f aca="false">IF(F158&gt;72,1,0)</f>
        <v>0</v>
      </c>
      <c r="U158" s="19" t="n">
        <f aca="false">IF(J158&gt;1.25,1,0)</f>
        <v>0</v>
      </c>
    </row>
    <row r="159" customFormat="false" ht="15" hidden="false" customHeight="false" outlineLevel="0" collapsed="false">
      <c r="B159" s="13" t="s">
        <v>379</v>
      </c>
      <c r="C159" s="13" t="s">
        <v>217</v>
      </c>
      <c r="D159" s="19" t="n">
        <v>609</v>
      </c>
      <c r="E159" s="23" t="n">
        <v>0.2078</v>
      </c>
      <c r="F159" s="19" t="n">
        <v>60</v>
      </c>
      <c r="G159" s="19" t="n">
        <v>10</v>
      </c>
      <c r="H159" s="14" t="n">
        <v>18360</v>
      </c>
      <c r="I159" s="14" t="n">
        <v>16450.96</v>
      </c>
      <c r="J159" s="24" t="n">
        <v>0.881</v>
      </c>
      <c r="K159" s="19" t="n">
        <v>0</v>
      </c>
      <c r="L159" s="13" t="str">
        <f aca="false">IF(D159&gt;=Inputs!$C$14,"Near-prime","Non-prime")</f>
        <v>Non-prime</v>
      </c>
      <c r="M159" s="19" t="n">
        <f aca="false">IF(K159&lt;=Inputs!$C$19,1,0)</f>
        <v>1</v>
      </c>
      <c r="N159" s="19" t="n">
        <f aca="false">IF(F159&lt;=Inputs!$C$20,1,0)</f>
        <v>1</v>
      </c>
      <c r="O159" s="19" t="n">
        <f aca="false">IF(J159&lt;=Inputs!$C$21,1,0)</f>
        <v>1</v>
      </c>
      <c r="P159" s="19" t="n">
        <f aca="false">IF(D159&gt;=Inputs!$C$22,1,0)</f>
        <v>1</v>
      </c>
      <c r="Q159" s="19" t="n">
        <f aca="false">IF(I159&lt;=Inputs!$C$23,1,0)</f>
        <v>1</v>
      </c>
      <c r="R159" s="19" t="n">
        <f aca="false">M159*N159*O159*P159*Q159</f>
        <v>1</v>
      </c>
      <c r="S159" s="14" t="n">
        <f aca="false">I159*R159</f>
        <v>16450.96</v>
      </c>
      <c r="T159" s="19" t="n">
        <f aca="false">IF(F159&gt;72,1,0)</f>
        <v>0</v>
      </c>
      <c r="U159" s="19" t="n">
        <f aca="false">IF(J159&gt;1.25,1,0)</f>
        <v>0</v>
      </c>
    </row>
    <row r="160" customFormat="false" ht="15" hidden="false" customHeight="false" outlineLevel="0" collapsed="false">
      <c r="B160" s="13" t="s">
        <v>380</v>
      </c>
      <c r="C160" s="13" t="s">
        <v>219</v>
      </c>
      <c r="D160" s="19" t="n">
        <v>649</v>
      </c>
      <c r="E160" s="23" t="n">
        <v>0.2047</v>
      </c>
      <c r="F160" s="19" t="n">
        <v>72</v>
      </c>
      <c r="G160" s="19" t="n">
        <v>2</v>
      </c>
      <c r="H160" s="14" t="n">
        <v>32640</v>
      </c>
      <c r="I160" s="14" t="n">
        <v>32168.1</v>
      </c>
      <c r="J160" s="24" t="n">
        <v>1.219</v>
      </c>
      <c r="K160" s="19" t="n">
        <v>0</v>
      </c>
      <c r="L160" s="13" t="str">
        <f aca="false">IF(D160&gt;=Inputs!$C$14,"Near-prime","Non-prime")</f>
        <v>Near-prime</v>
      </c>
      <c r="M160" s="19" t="n">
        <f aca="false">IF(K160&lt;=Inputs!$C$19,1,0)</f>
        <v>1</v>
      </c>
      <c r="N160" s="19" t="n">
        <f aca="false">IF(F160&lt;=Inputs!$C$20,1,0)</f>
        <v>1</v>
      </c>
      <c r="O160" s="19" t="n">
        <f aca="false">IF(J160&lt;=Inputs!$C$21,1,0)</f>
        <v>1</v>
      </c>
      <c r="P160" s="19" t="n">
        <f aca="false">IF(D160&gt;=Inputs!$C$22,1,0)</f>
        <v>1</v>
      </c>
      <c r="Q160" s="19" t="n">
        <f aca="false">IF(I160&lt;=Inputs!$C$23,1,0)</f>
        <v>1</v>
      </c>
      <c r="R160" s="19" t="n">
        <f aca="false">M160*N160*O160*P160*Q160</f>
        <v>1</v>
      </c>
      <c r="S160" s="14" t="n">
        <f aca="false">I160*R160</f>
        <v>32168.1</v>
      </c>
      <c r="T160" s="19" t="n">
        <f aca="false">IF(F160&gt;72,1,0)</f>
        <v>0</v>
      </c>
      <c r="U160" s="19" t="n">
        <f aca="false">IF(J160&gt;1.25,1,0)</f>
        <v>0</v>
      </c>
    </row>
    <row r="161" customFormat="false" ht="15" hidden="false" customHeight="false" outlineLevel="0" collapsed="false">
      <c r="B161" s="13" t="s">
        <v>381</v>
      </c>
      <c r="C161" s="13" t="s">
        <v>217</v>
      </c>
      <c r="D161" s="19" t="n">
        <v>674</v>
      </c>
      <c r="E161" s="23" t="n">
        <v>0.2073</v>
      </c>
      <c r="F161" s="19" t="n">
        <v>60</v>
      </c>
      <c r="G161" s="19" t="n">
        <v>6</v>
      </c>
      <c r="H161" s="14" t="n">
        <v>18260</v>
      </c>
      <c r="I161" s="14" t="n">
        <v>17158.69</v>
      </c>
      <c r="J161" s="24" t="n">
        <v>1.148</v>
      </c>
      <c r="K161" s="19" t="n">
        <v>30</v>
      </c>
      <c r="L161" s="13" t="str">
        <f aca="false">IF(D161&gt;=Inputs!$C$14,"Near-prime","Non-prime")</f>
        <v>Near-prime</v>
      </c>
      <c r="M161" s="19" t="n">
        <f aca="false">IF(K161&lt;=Inputs!$C$19,1,0)</f>
        <v>1</v>
      </c>
      <c r="N161" s="19" t="n">
        <f aca="false">IF(F161&lt;=Inputs!$C$20,1,0)</f>
        <v>1</v>
      </c>
      <c r="O161" s="19" t="n">
        <f aca="false">IF(J161&lt;=Inputs!$C$21,1,0)</f>
        <v>1</v>
      </c>
      <c r="P161" s="19" t="n">
        <f aca="false">IF(D161&gt;=Inputs!$C$22,1,0)</f>
        <v>1</v>
      </c>
      <c r="Q161" s="19" t="n">
        <f aca="false">IF(I161&lt;=Inputs!$C$23,1,0)</f>
        <v>1</v>
      </c>
      <c r="R161" s="19" t="n">
        <f aca="false">M161*N161*O161*P161*Q161</f>
        <v>1</v>
      </c>
      <c r="S161" s="14" t="n">
        <f aca="false">I161*R161</f>
        <v>17158.69</v>
      </c>
      <c r="T161" s="19" t="n">
        <f aca="false">IF(F161&gt;72,1,0)</f>
        <v>0</v>
      </c>
      <c r="U161" s="19" t="n">
        <f aca="false">IF(J161&gt;1.25,1,0)</f>
        <v>0</v>
      </c>
    </row>
    <row r="162" customFormat="false" ht="15" hidden="false" customHeight="false" outlineLevel="0" collapsed="false">
      <c r="B162" s="13" t="s">
        <v>382</v>
      </c>
      <c r="C162" s="13" t="s">
        <v>226</v>
      </c>
      <c r="D162" s="19" t="n">
        <v>741</v>
      </c>
      <c r="E162" s="23" t="n">
        <v>0.1751</v>
      </c>
      <c r="F162" s="19" t="n">
        <v>72</v>
      </c>
      <c r="G162" s="19" t="n">
        <v>2</v>
      </c>
      <c r="H162" s="14" t="n">
        <v>8440</v>
      </c>
      <c r="I162" s="14" t="n">
        <v>8305</v>
      </c>
      <c r="J162" s="24" t="n">
        <v>0.81</v>
      </c>
      <c r="K162" s="19" t="n">
        <v>30</v>
      </c>
      <c r="L162" s="13" t="str">
        <f aca="false">IF(D162&gt;=Inputs!$C$14,"Near-prime","Non-prime")</f>
        <v>Near-prime</v>
      </c>
      <c r="M162" s="19" t="n">
        <f aca="false">IF(K162&lt;=Inputs!$C$19,1,0)</f>
        <v>1</v>
      </c>
      <c r="N162" s="19" t="n">
        <f aca="false">IF(F162&lt;=Inputs!$C$20,1,0)</f>
        <v>1</v>
      </c>
      <c r="O162" s="19" t="n">
        <f aca="false">IF(J162&lt;=Inputs!$C$21,1,0)</f>
        <v>1</v>
      </c>
      <c r="P162" s="19" t="n">
        <f aca="false">IF(D162&gt;=Inputs!$C$22,1,0)</f>
        <v>1</v>
      </c>
      <c r="Q162" s="19" t="n">
        <f aca="false">IF(I162&lt;=Inputs!$C$23,1,0)</f>
        <v>1</v>
      </c>
      <c r="R162" s="19" t="n">
        <f aca="false">M162*N162*O162*P162*Q162</f>
        <v>1</v>
      </c>
      <c r="S162" s="14" t="n">
        <f aca="false">I162*R162</f>
        <v>8305</v>
      </c>
      <c r="T162" s="19" t="n">
        <f aca="false">IF(F162&gt;72,1,0)</f>
        <v>0</v>
      </c>
      <c r="U162" s="19" t="n">
        <f aca="false">IF(J162&gt;1.25,1,0)</f>
        <v>0</v>
      </c>
    </row>
    <row r="163" customFormat="false" ht="15" hidden="false" customHeight="false" outlineLevel="0" collapsed="false">
      <c r="B163" s="13" t="s">
        <v>383</v>
      </c>
      <c r="C163" s="13" t="s">
        <v>221</v>
      </c>
      <c r="D163" s="19" t="n">
        <v>644</v>
      </c>
      <c r="E163" s="23" t="n">
        <v>0.2069</v>
      </c>
      <c r="F163" s="19" t="n">
        <v>72</v>
      </c>
      <c r="G163" s="19" t="n">
        <v>3</v>
      </c>
      <c r="H163" s="14" t="n">
        <v>17250</v>
      </c>
      <c r="I163" s="14" t="n">
        <v>16875.53</v>
      </c>
      <c r="J163" s="24" t="n">
        <v>1.311</v>
      </c>
      <c r="K163" s="19" t="n">
        <v>0</v>
      </c>
      <c r="L163" s="13" t="str">
        <f aca="false">IF(D163&gt;=Inputs!$C$14,"Near-prime","Non-prime")</f>
        <v>Near-prime</v>
      </c>
      <c r="M163" s="19" t="n">
        <f aca="false">IF(K163&lt;=Inputs!$C$19,1,0)</f>
        <v>1</v>
      </c>
      <c r="N163" s="19" t="n">
        <f aca="false">IF(F163&lt;=Inputs!$C$20,1,0)</f>
        <v>1</v>
      </c>
      <c r="O163" s="19" t="n">
        <f aca="false">IF(J163&lt;=Inputs!$C$21,1,0)</f>
        <v>1</v>
      </c>
      <c r="P163" s="19" t="n">
        <f aca="false">IF(D163&gt;=Inputs!$C$22,1,0)</f>
        <v>1</v>
      </c>
      <c r="Q163" s="19" t="n">
        <f aca="false">IF(I163&lt;=Inputs!$C$23,1,0)</f>
        <v>1</v>
      </c>
      <c r="R163" s="19" t="n">
        <f aca="false">M163*N163*O163*P163*Q163</f>
        <v>1</v>
      </c>
      <c r="S163" s="14" t="n">
        <f aca="false">I163*R163</f>
        <v>16875.53</v>
      </c>
      <c r="T163" s="19" t="n">
        <f aca="false">IF(F163&gt;72,1,0)</f>
        <v>0</v>
      </c>
      <c r="U163" s="19" t="n">
        <f aca="false">IF(J163&gt;1.25,1,0)</f>
        <v>1</v>
      </c>
    </row>
    <row r="164" customFormat="false" ht="15" hidden="false" customHeight="false" outlineLevel="0" collapsed="false">
      <c r="B164" s="13" t="s">
        <v>384</v>
      </c>
      <c r="C164" s="13" t="s">
        <v>217</v>
      </c>
      <c r="D164" s="19" t="n">
        <v>636</v>
      </c>
      <c r="E164" s="23" t="n">
        <v>0.2102</v>
      </c>
      <c r="F164" s="19" t="n">
        <v>48</v>
      </c>
      <c r="G164" s="19" t="n">
        <v>0</v>
      </c>
      <c r="H164" s="14" t="n">
        <v>25510</v>
      </c>
      <c r="I164" s="14" t="n">
        <v>25510</v>
      </c>
      <c r="J164" s="24" t="n">
        <v>0.865</v>
      </c>
      <c r="K164" s="19" t="n">
        <v>100</v>
      </c>
      <c r="L164" s="13" t="str">
        <f aca="false">IF(D164&gt;=Inputs!$C$14,"Near-prime","Non-prime")</f>
        <v>Near-prime</v>
      </c>
      <c r="M164" s="19" t="n">
        <f aca="false">IF(K164&lt;=Inputs!$C$19,1,0)</f>
        <v>0</v>
      </c>
      <c r="N164" s="19" t="n">
        <f aca="false">IF(F164&lt;=Inputs!$C$20,1,0)</f>
        <v>1</v>
      </c>
      <c r="O164" s="19" t="n">
        <f aca="false">IF(J164&lt;=Inputs!$C$21,1,0)</f>
        <v>1</v>
      </c>
      <c r="P164" s="19" t="n">
        <f aca="false">IF(D164&gt;=Inputs!$C$22,1,0)</f>
        <v>1</v>
      </c>
      <c r="Q164" s="19" t="n">
        <f aca="false">IF(I164&lt;=Inputs!$C$23,1,0)</f>
        <v>1</v>
      </c>
      <c r="R164" s="19" t="n">
        <f aca="false">M164*N164*O164*P164*Q164</f>
        <v>0</v>
      </c>
      <c r="S164" s="14" t="n">
        <f aca="false">I164*R164</f>
        <v>0</v>
      </c>
      <c r="T164" s="19" t="n">
        <f aca="false">IF(F164&gt;72,1,0)</f>
        <v>0</v>
      </c>
      <c r="U164" s="19" t="n">
        <f aca="false">IF(J164&gt;1.25,1,0)</f>
        <v>0</v>
      </c>
    </row>
    <row r="165" customFormat="false" ht="15" hidden="false" customHeight="false" outlineLevel="0" collapsed="false">
      <c r="B165" s="13" t="s">
        <v>385</v>
      </c>
      <c r="C165" s="13" t="s">
        <v>237</v>
      </c>
      <c r="D165" s="19" t="n">
        <v>659</v>
      </c>
      <c r="E165" s="23" t="n">
        <v>0.193</v>
      </c>
      <c r="F165" s="19" t="n">
        <v>72</v>
      </c>
      <c r="G165" s="19" t="n">
        <v>4</v>
      </c>
      <c r="H165" s="14" t="n">
        <v>14470</v>
      </c>
      <c r="I165" s="14" t="n">
        <v>14027.36</v>
      </c>
      <c r="J165" s="24" t="n">
        <v>1.28</v>
      </c>
      <c r="K165" s="19" t="n">
        <v>0</v>
      </c>
      <c r="L165" s="13" t="str">
        <f aca="false">IF(D165&gt;=Inputs!$C$14,"Near-prime","Non-prime")</f>
        <v>Near-prime</v>
      </c>
      <c r="M165" s="19" t="n">
        <f aca="false">IF(K165&lt;=Inputs!$C$19,1,0)</f>
        <v>1</v>
      </c>
      <c r="N165" s="19" t="n">
        <f aca="false">IF(F165&lt;=Inputs!$C$20,1,0)</f>
        <v>1</v>
      </c>
      <c r="O165" s="19" t="n">
        <f aca="false">IF(J165&lt;=Inputs!$C$21,1,0)</f>
        <v>1</v>
      </c>
      <c r="P165" s="19" t="n">
        <f aca="false">IF(D165&gt;=Inputs!$C$22,1,0)</f>
        <v>1</v>
      </c>
      <c r="Q165" s="19" t="n">
        <f aca="false">IF(I165&lt;=Inputs!$C$23,1,0)</f>
        <v>1</v>
      </c>
      <c r="R165" s="19" t="n">
        <f aca="false">M165*N165*O165*P165*Q165</f>
        <v>1</v>
      </c>
      <c r="S165" s="14" t="n">
        <f aca="false">I165*R165</f>
        <v>14027.36</v>
      </c>
      <c r="T165" s="19" t="n">
        <f aca="false">IF(F165&gt;72,1,0)</f>
        <v>0</v>
      </c>
      <c r="U165" s="19" t="n">
        <f aca="false">IF(J165&gt;1.25,1,0)</f>
        <v>1</v>
      </c>
    </row>
    <row r="166" customFormat="false" ht="15" hidden="false" customHeight="false" outlineLevel="0" collapsed="false">
      <c r="B166" s="13" t="s">
        <v>386</v>
      </c>
      <c r="C166" s="13" t="s">
        <v>252</v>
      </c>
      <c r="D166" s="19" t="n">
        <v>705</v>
      </c>
      <c r="E166" s="23" t="n">
        <v>0.1809</v>
      </c>
      <c r="F166" s="19" t="n">
        <v>72</v>
      </c>
      <c r="G166" s="19" t="n">
        <v>2</v>
      </c>
      <c r="H166" s="14" t="n">
        <v>25700</v>
      </c>
      <c r="I166" s="14" t="n">
        <v>25296.9</v>
      </c>
      <c r="J166" s="24" t="n">
        <v>1.124</v>
      </c>
      <c r="K166" s="19" t="n">
        <v>45</v>
      </c>
      <c r="L166" s="13" t="str">
        <f aca="false">IF(D166&gt;=Inputs!$C$14,"Near-prime","Non-prime")</f>
        <v>Near-prime</v>
      </c>
      <c r="M166" s="19" t="n">
        <f aca="false">IF(K166&lt;=Inputs!$C$19,1,0)</f>
        <v>1</v>
      </c>
      <c r="N166" s="19" t="n">
        <f aca="false">IF(F166&lt;=Inputs!$C$20,1,0)</f>
        <v>1</v>
      </c>
      <c r="O166" s="19" t="n">
        <f aca="false">IF(J166&lt;=Inputs!$C$21,1,0)</f>
        <v>1</v>
      </c>
      <c r="P166" s="19" t="n">
        <f aca="false">IF(D166&gt;=Inputs!$C$22,1,0)</f>
        <v>1</v>
      </c>
      <c r="Q166" s="19" t="n">
        <f aca="false">IF(I166&lt;=Inputs!$C$23,1,0)</f>
        <v>1</v>
      </c>
      <c r="R166" s="19" t="n">
        <f aca="false">M166*N166*O166*P166*Q166</f>
        <v>1</v>
      </c>
      <c r="S166" s="14" t="n">
        <f aca="false">I166*R166</f>
        <v>25296.9</v>
      </c>
      <c r="T166" s="19" t="n">
        <f aca="false">IF(F166&gt;72,1,0)</f>
        <v>0</v>
      </c>
      <c r="U166" s="19" t="n">
        <f aca="false">IF(J166&gt;1.25,1,0)</f>
        <v>0</v>
      </c>
    </row>
    <row r="167" customFormat="false" ht="15" hidden="false" customHeight="false" outlineLevel="0" collapsed="false">
      <c r="B167" s="13" t="s">
        <v>387</v>
      </c>
      <c r="C167" s="13" t="s">
        <v>221</v>
      </c>
      <c r="D167" s="19" t="n">
        <v>765</v>
      </c>
      <c r="E167" s="23" t="n">
        <v>0.1974</v>
      </c>
      <c r="F167" s="19" t="n">
        <v>66</v>
      </c>
      <c r="G167" s="19" t="n">
        <v>10</v>
      </c>
      <c r="H167" s="14" t="n">
        <v>36230</v>
      </c>
      <c r="I167" s="14" t="n">
        <v>32912.49</v>
      </c>
      <c r="J167" s="24" t="n">
        <v>1.194</v>
      </c>
      <c r="K167" s="19" t="n">
        <v>0</v>
      </c>
      <c r="L167" s="13" t="str">
        <f aca="false">IF(D167&gt;=Inputs!$C$14,"Near-prime","Non-prime")</f>
        <v>Near-prime</v>
      </c>
      <c r="M167" s="19" t="n">
        <f aca="false">IF(K167&lt;=Inputs!$C$19,1,0)</f>
        <v>1</v>
      </c>
      <c r="N167" s="19" t="n">
        <f aca="false">IF(F167&lt;=Inputs!$C$20,1,0)</f>
        <v>1</v>
      </c>
      <c r="O167" s="19" t="n">
        <f aca="false">IF(J167&lt;=Inputs!$C$21,1,0)</f>
        <v>1</v>
      </c>
      <c r="P167" s="19" t="n">
        <f aca="false">IF(D167&gt;=Inputs!$C$22,1,0)</f>
        <v>1</v>
      </c>
      <c r="Q167" s="19" t="n">
        <f aca="false">IF(I167&lt;=Inputs!$C$23,1,0)</f>
        <v>1</v>
      </c>
      <c r="R167" s="19" t="n">
        <f aca="false">M167*N167*O167*P167*Q167</f>
        <v>1</v>
      </c>
      <c r="S167" s="14" t="n">
        <f aca="false">I167*R167</f>
        <v>32912.49</v>
      </c>
      <c r="T167" s="19" t="n">
        <f aca="false">IF(F167&gt;72,1,0)</f>
        <v>0</v>
      </c>
      <c r="U167" s="19" t="n">
        <f aca="false">IF(J167&gt;1.25,1,0)</f>
        <v>0</v>
      </c>
    </row>
    <row r="168" customFormat="false" ht="15" hidden="false" customHeight="false" outlineLevel="0" collapsed="false">
      <c r="B168" s="13" t="s">
        <v>388</v>
      </c>
      <c r="C168" s="13" t="s">
        <v>217</v>
      </c>
      <c r="D168" s="19" t="n">
        <v>674</v>
      </c>
      <c r="E168" s="23" t="n">
        <v>0.2107</v>
      </c>
      <c r="F168" s="19" t="n">
        <v>60</v>
      </c>
      <c r="G168" s="19" t="n">
        <v>9</v>
      </c>
      <c r="H168" s="14" t="n">
        <v>23380</v>
      </c>
      <c r="I168" s="14" t="n">
        <v>21226.94</v>
      </c>
      <c r="J168" s="24" t="n">
        <v>0.886</v>
      </c>
      <c r="K168" s="19" t="n">
        <v>0</v>
      </c>
      <c r="L168" s="13" t="str">
        <f aca="false">IF(D168&gt;=Inputs!$C$14,"Near-prime","Non-prime")</f>
        <v>Near-prime</v>
      </c>
      <c r="M168" s="19" t="n">
        <f aca="false">IF(K168&lt;=Inputs!$C$19,1,0)</f>
        <v>1</v>
      </c>
      <c r="N168" s="19" t="n">
        <f aca="false">IF(F168&lt;=Inputs!$C$20,1,0)</f>
        <v>1</v>
      </c>
      <c r="O168" s="19" t="n">
        <f aca="false">IF(J168&lt;=Inputs!$C$21,1,0)</f>
        <v>1</v>
      </c>
      <c r="P168" s="19" t="n">
        <f aca="false">IF(D168&gt;=Inputs!$C$22,1,0)</f>
        <v>1</v>
      </c>
      <c r="Q168" s="19" t="n">
        <f aca="false">IF(I168&lt;=Inputs!$C$23,1,0)</f>
        <v>1</v>
      </c>
      <c r="R168" s="19" t="n">
        <f aca="false">M168*N168*O168*P168*Q168</f>
        <v>1</v>
      </c>
      <c r="S168" s="14" t="n">
        <f aca="false">I168*R168</f>
        <v>21226.94</v>
      </c>
      <c r="T168" s="19" t="n">
        <f aca="false">IF(F168&gt;72,1,0)</f>
        <v>0</v>
      </c>
      <c r="U168" s="19" t="n">
        <f aca="false">IF(J168&gt;1.25,1,0)</f>
        <v>0</v>
      </c>
    </row>
    <row r="169" customFormat="false" ht="15" hidden="false" customHeight="false" outlineLevel="0" collapsed="false">
      <c r="B169" s="13" t="s">
        <v>389</v>
      </c>
      <c r="C169" s="13" t="s">
        <v>226</v>
      </c>
      <c r="D169" s="19" t="n">
        <v>571</v>
      </c>
      <c r="E169" s="23" t="n">
        <v>0.2196</v>
      </c>
      <c r="F169" s="19" t="n">
        <v>60</v>
      </c>
      <c r="G169" s="19" t="n">
        <v>7</v>
      </c>
      <c r="H169" s="14" t="n">
        <v>28030</v>
      </c>
      <c r="I169" s="14" t="n">
        <v>26102.75</v>
      </c>
      <c r="J169" s="24" t="n">
        <v>0.963</v>
      </c>
      <c r="K169" s="19" t="n">
        <v>0</v>
      </c>
      <c r="L169" s="13" t="str">
        <f aca="false">IF(D169&gt;=Inputs!$C$14,"Near-prime","Non-prime")</f>
        <v>Non-prime</v>
      </c>
      <c r="M169" s="19" t="n">
        <f aca="false">IF(K169&lt;=Inputs!$C$19,1,0)</f>
        <v>1</v>
      </c>
      <c r="N169" s="19" t="n">
        <f aca="false">IF(F169&lt;=Inputs!$C$20,1,0)</f>
        <v>1</v>
      </c>
      <c r="O169" s="19" t="n">
        <f aca="false">IF(J169&lt;=Inputs!$C$21,1,0)</f>
        <v>1</v>
      </c>
      <c r="P169" s="19" t="n">
        <f aca="false">IF(D169&gt;=Inputs!$C$22,1,0)</f>
        <v>1</v>
      </c>
      <c r="Q169" s="19" t="n">
        <f aca="false">IF(I169&lt;=Inputs!$C$23,1,0)</f>
        <v>1</v>
      </c>
      <c r="R169" s="19" t="n">
        <f aca="false">M169*N169*O169*P169*Q169</f>
        <v>1</v>
      </c>
      <c r="S169" s="14" t="n">
        <f aca="false">I169*R169</f>
        <v>26102.75</v>
      </c>
      <c r="T169" s="19" t="n">
        <f aca="false">IF(F169&gt;72,1,0)</f>
        <v>0</v>
      </c>
      <c r="U169" s="19" t="n">
        <f aca="false">IF(J169&gt;1.25,1,0)</f>
        <v>0</v>
      </c>
    </row>
    <row r="170" customFormat="false" ht="15" hidden="false" customHeight="false" outlineLevel="0" collapsed="false">
      <c r="B170" s="13" t="s">
        <v>390</v>
      </c>
      <c r="C170" s="13" t="s">
        <v>223</v>
      </c>
      <c r="D170" s="19" t="n">
        <v>647</v>
      </c>
      <c r="E170" s="23" t="n">
        <v>0.2065</v>
      </c>
      <c r="F170" s="19" t="n">
        <v>84</v>
      </c>
      <c r="G170" s="19" t="n">
        <v>8</v>
      </c>
      <c r="H170" s="14" t="n">
        <v>21760</v>
      </c>
      <c r="I170" s="14" t="n">
        <v>20763.04</v>
      </c>
      <c r="J170" s="24" t="n">
        <v>1.103</v>
      </c>
      <c r="K170" s="19" t="n">
        <v>0</v>
      </c>
      <c r="L170" s="13" t="str">
        <f aca="false">IF(D170&gt;=Inputs!$C$14,"Near-prime","Non-prime")</f>
        <v>Near-prime</v>
      </c>
      <c r="M170" s="19" t="n">
        <f aca="false">IF(K170&lt;=Inputs!$C$19,1,0)</f>
        <v>1</v>
      </c>
      <c r="N170" s="19" t="n">
        <f aca="false">IF(F170&lt;=Inputs!$C$20,1,0)</f>
        <v>0</v>
      </c>
      <c r="O170" s="19" t="n">
        <f aca="false">IF(J170&lt;=Inputs!$C$21,1,0)</f>
        <v>1</v>
      </c>
      <c r="P170" s="19" t="n">
        <f aca="false">IF(D170&gt;=Inputs!$C$22,1,0)</f>
        <v>1</v>
      </c>
      <c r="Q170" s="19" t="n">
        <f aca="false">IF(I170&lt;=Inputs!$C$23,1,0)</f>
        <v>1</v>
      </c>
      <c r="R170" s="19" t="n">
        <f aca="false">M170*N170*O170*P170*Q170</f>
        <v>0</v>
      </c>
      <c r="S170" s="14" t="n">
        <f aca="false">I170*R170</f>
        <v>0</v>
      </c>
      <c r="T170" s="19" t="n">
        <f aca="false">IF(F170&gt;72,1,0)</f>
        <v>1</v>
      </c>
      <c r="U170" s="19" t="n">
        <f aca="false">IF(J170&gt;1.25,1,0)</f>
        <v>0</v>
      </c>
    </row>
    <row r="171" customFormat="false" ht="15" hidden="false" customHeight="false" outlineLevel="0" collapsed="false">
      <c r="B171" s="13" t="s">
        <v>391</v>
      </c>
      <c r="C171" s="13" t="s">
        <v>217</v>
      </c>
      <c r="D171" s="19" t="n">
        <v>587</v>
      </c>
      <c r="E171" s="23" t="n">
        <v>0.2296</v>
      </c>
      <c r="F171" s="19" t="n">
        <v>66</v>
      </c>
      <c r="G171" s="19" t="n">
        <v>3</v>
      </c>
      <c r="H171" s="14" t="n">
        <v>10490</v>
      </c>
      <c r="I171" s="14" t="n">
        <v>10243.86</v>
      </c>
      <c r="J171" s="24" t="n">
        <v>0.985</v>
      </c>
      <c r="K171" s="19" t="n">
        <v>0</v>
      </c>
      <c r="L171" s="13" t="str">
        <f aca="false">IF(D171&gt;=Inputs!$C$14,"Near-prime","Non-prime")</f>
        <v>Non-prime</v>
      </c>
      <c r="M171" s="19" t="n">
        <f aca="false">IF(K171&lt;=Inputs!$C$19,1,0)</f>
        <v>1</v>
      </c>
      <c r="N171" s="19" t="n">
        <f aca="false">IF(F171&lt;=Inputs!$C$20,1,0)</f>
        <v>1</v>
      </c>
      <c r="O171" s="19" t="n">
        <f aca="false">IF(J171&lt;=Inputs!$C$21,1,0)</f>
        <v>1</v>
      </c>
      <c r="P171" s="19" t="n">
        <f aca="false">IF(D171&gt;=Inputs!$C$22,1,0)</f>
        <v>1</v>
      </c>
      <c r="Q171" s="19" t="n">
        <f aca="false">IF(I171&lt;=Inputs!$C$23,1,0)</f>
        <v>1</v>
      </c>
      <c r="R171" s="19" t="n">
        <f aca="false">M171*N171*O171*P171*Q171</f>
        <v>1</v>
      </c>
      <c r="S171" s="14" t="n">
        <f aca="false">I171*R171</f>
        <v>10243.86</v>
      </c>
      <c r="T171" s="19" t="n">
        <f aca="false">IF(F171&gt;72,1,0)</f>
        <v>0</v>
      </c>
      <c r="U171" s="19" t="n">
        <f aca="false">IF(J171&gt;1.25,1,0)</f>
        <v>0</v>
      </c>
    </row>
    <row r="172" customFormat="false" ht="15" hidden="false" customHeight="false" outlineLevel="0" collapsed="false">
      <c r="B172" s="13" t="s">
        <v>392</v>
      </c>
      <c r="C172" s="13" t="s">
        <v>233</v>
      </c>
      <c r="D172" s="19" t="n">
        <v>596</v>
      </c>
      <c r="E172" s="23" t="n">
        <v>0.2062</v>
      </c>
      <c r="F172" s="19" t="n">
        <v>60</v>
      </c>
      <c r="G172" s="19" t="n">
        <v>8</v>
      </c>
      <c r="H172" s="14" t="n">
        <v>26160</v>
      </c>
      <c r="I172" s="14" t="n">
        <v>24013.23</v>
      </c>
      <c r="J172" s="24" t="n">
        <v>0.906</v>
      </c>
      <c r="K172" s="19" t="n">
        <v>75</v>
      </c>
      <c r="L172" s="13" t="str">
        <f aca="false">IF(D172&gt;=Inputs!$C$14,"Near-prime","Non-prime")</f>
        <v>Non-prime</v>
      </c>
      <c r="M172" s="19" t="n">
        <f aca="false">IF(K172&lt;=Inputs!$C$19,1,0)</f>
        <v>0</v>
      </c>
      <c r="N172" s="19" t="n">
        <f aca="false">IF(F172&lt;=Inputs!$C$20,1,0)</f>
        <v>1</v>
      </c>
      <c r="O172" s="19" t="n">
        <f aca="false">IF(J172&lt;=Inputs!$C$21,1,0)</f>
        <v>1</v>
      </c>
      <c r="P172" s="19" t="n">
        <f aca="false">IF(D172&gt;=Inputs!$C$22,1,0)</f>
        <v>1</v>
      </c>
      <c r="Q172" s="19" t="n">
        <f aca="false">IF(I172&lt;=Inputs!$C$23,1,0)</f>
        <v>1</v>
      </c>
      <c r="R172" s="19" t="n">
        <f aca="false">M172*N172*O172*P172*Q172</f>
        <v>0</v>
      </c>
      <c r="S172" s="14" t="n">
        <f aca="false">I172*R172</f>
        <v>0</v>
      </c>
      <c r="T172" s="19" t="n">
        <f aca="false">IF(F172&gt;72,1,0)</f>
        <v>0</v>
      </c>
      <c r="U172" s="19" t="n">
        <f aca="false">IF(J172&gt;1.25,1,0)</f>
        <v>0</v>
      </c>
    </row>
    <row r="173" customFormat="false" ht="15" hidden="false" customHeight="false" outlineLevel="0" collapsed="false">
      <c r="B173" s="13" t="s">
        <v>393</v>
      </c>
      <c r="C173" s="13" t="s">
        <v>217</v>
      </c>
      <c r="D173" s="19" t="n">
        <v>739</v>
      </c>
      <c r="E173" s="23" t="n">
        <v>0.1864</v>
      </c>
      <c r="F173" s="19" t="n">
        <v>48</v>
      </c>
      <c r="G173" s="19" t="n">
        <v>5</v>
      </c>
      <c r="H173" s="14" t="n">
        <v>18440</v>
      </c>
      <c r="I173" s="14" t="n">
        <v>17091.62</v>
      </c>
      <c r="J173" s="24" t="n">
        <v>1.007</v>
      </c>
      <c r="K173" s="19" t="n">
        <v>0</v>
      </c>
      <c r="L173" s="13" t="str">
        <f aca="false">IF(D173&gt;=Inputs!$C$14,"Near-prime","Non-prime")</f>
        <v>Near-prime</v>
      </c>
      <c r="M173" s="19" t="n">
        <f aca="false">IF(K173&lt;=Inputs!$C$19,1,0)</f>
        <v>1</v>
      </c>
      <c r="N173" s="19" t="n">
        <f aca="false">IF(F173&lt;=Inputs!$C$20,1,0)</f>
        <v>1</v>
      </c>
      <c r="O173" s="19" t="n">
        <f aca="false">IF(J173&lt;=Inputs!$C$21,1,0)</f>
        <v>1</v>
      </c>
      <c r="P173" s="19" t="n">
        <f aca="false">IF(D173&gt;=Inputs!$C$22,1,0)</f>
        <v>1</v>
      </c>
      <c r="Q173" s="19" t="n">
        <f aca="false">IF(I173&lt;=Inputs!$C$23,1,0)</f>
        <v>1</v>
      </c>
      <c r="R173" s="19" t="n">
        <f aca="false">M173*N173*O173*P173*Q173</f>
        <v>1</v>
      </c>
      <c r="S173" s="14" t="n">
        <f aca="false">I173*R173</f>
        <v>17091.62</v>
      </c>
      <c r="T173" s="19" t="n">
        <f aca="false">IF(F173&gt;72,1,0)</f>
        <v>0</v>
      </c>
      <c r="U173" s="19" t="n">
        <f aca="false">IF(J173&gt;1.25,1,0)</f>
        <v>0</v>
      </c>
    </row>
    <row r="174" customFormat="false" ht="15" hidden="false" customHeight="false" outlineLevel="0" collapsed="false">
      <c r="B174" s="13" t="s">
        <v>394</v>
      </c>
      <c r="C174" s="13" t="s">
        <v>217</v>
      </c>
      <c r="D174" s="19" t="n">
        <v>628</v>
      </c>
      <c r="E174" s="23" t="n">
        <v>0.2213</v>
      </c>
      <c r="F174" s="19" t="n">
        <v>60</v>
      </c>
      <c r="G174" s="19" t="n">
        <v>1</v>
      </c>
      <c r="H174" s="14" t="n">
        <v>26530</v>
      </c>
      <c r="I174" s="14" t="n">
        <v>26284.57</v>
      </c>
      <c r="J174" s="24" t="n">
        <v>0.932</v>
      </c>
      <c r="K174" s="19" t="n">
        <v>0</v>
      </c>
      <c r="L174" s="13" t="str">
        <f aca="false">IF(D174&gt;=Inputs!$C$14,"Near-prime","Non-prime")</f>
        <v>Near-prime</v>
      </c>
      <c r="M174" s="19" t="n">
        <f aca="false">IF(K174&lt;=Inputs!$C$19,1,0)</f>
        <v>1</v>
      </c>
      <c r="N174" s="19" t="n">
        <f aca="false">IF(F174&lt;=Inputs!$C$20,1,0)</f>
        <v>1</v>
      </c>
      <c r="O174" s="19" t="n">
        <f aca="false">IF(J174&lt;=Inputs!$C$21,1,0)</f>
        <v>1</v>
      </c>
      <c r="P174" s="19" t="n">
        <f aca="false">IF(D174&gt;=Inputs!$C$22,1,0)</f>
        <v>1</v>
      </c>
      <c r="Q174" s="19" t="n">
        <f aca="false">IF(I174&lt;=Inputs!$C$23,1,0)</f>
        <v>1</v>
      </c>
      <c r="R174" s="19" t="n">
        <f aca="false">M174*N174*O174*P174*Q174</f>
        <v>1</v>
      </c>
      <c r="S174" s="14" t="n">
        <f aca="false">I174*R174</f>
        <v>26284.57</v>
      </c>
      <c r="T174" s="19" t="n">
        <f aca="false">IF(F174&gt;72,1,0)</f>
        <v>0</v>
      </c>
      <c r="U174" s="19" t="n">
        <f aca="false">IF(J174&gt;1.25,1,0)</f>
        <v>0</v>
      </c>
    </row>
    <row r="175" customFormat="false" ht="15" hidden="false" customHeight="false" outlineLevel="0" collapsed="false">
      <c r="B175" s="13" t="s">
        <v>395</v>
      </c>
      <c r="C175" s="13" t="s">
        <v>221</v>
      </c>
      <c r="D175" s="19" t="n">
        <v>609</v>
      </c>
      <c r="E175" s="23" t="n">
        <v>0.2055</v>
      </c>
      <c r="F175" s="19" t="n">
        <v>72</v>
      </c>
      <c r="G175" s="19" t="n">
        <v>7</v>
      </c>
      <c r="H175" s="14" t="n">
        <v>12060</v>
      </c>
      <c r="I175" s="14" t="n">
        <v>11424.69</v>
      </c>
      <c r="J175" s="24" t="n">
        <v>1.1</v>
      </c>
      <c r="K175" s="19" t="n">
        <v>0</v>
      </c>
      <c r="L175" s="13" t="str">
        <f aca="false">IF(D175&gt;=Inputs!$C$14,"Near-prime","Non-prime")</f>
        <v>Non-prime</v>
      </c>
      <c r="M175" s="19" t="n">
        <f aca="false">IF(K175&lt;=Inputs!$C$19,1,0)</f>
        <v>1</v>
      </c>
      <c r="N175" s="19" t="n">
        <f aca="false">IF(F175&lt;=Inputs!$C$20,1,0)</f>
        <v>1</v>
      </c>
      <c r="O175" s="19" t="n">
        <f aca="false">IF(J175&lt;=Inputs!$C$21,1,0)</f>
        <v>1</v>
      </c>
      <c r="P175" s="19" t="n">
        <f aca="false">IF(D175&gt;=Inputs!$C$22,1,0)</f>
        <v>1</v>
      </c>
      <c r="Q175" s="19" t="n">
        <f aca="false">IF(I175&lt;=Inputs!$C$23,1,0)</f>
        <v>1</v>
      </c>
      <c r="R175" s="19" t="n">
        <f aca="false">M175*N175*O175*P175*Q175</f>
        <v>1</v>
      </c>
      <c r="S175" s="14" t="n">
        <f aca="false">I175*R175</f>
        <v>11424.69</v>
      </c>
      <c r="T175" s="19" t="n">
        <f aca="false">IF(F175&gt;72,1,0)</f>
        <v>0</v>
      </c>
      <c r="U175" s="19" t="n">
        <f aca="false">IF(J175&gt;1.25,1,0)</f>
        <v>0</v>
      </c>
    </row>
    <row r="176" customFormat="false" ht="15" hidden="false" customHeight="false" outlineLevel="0" collapsed="false">
      <c r="B176" s="13" t="s">
        <v>396</v>
      </c>
      <c r="C176" s="13" t="s">
        <v>217</v>
      </c>
      <c r="D176" s="19" t="n">
        <v>717</v>
      </c>
      <c r="E176" s="23" t="n">
        <v>0.1943</v>
      </c>
      <c r="F176" s="19" t="n">
        <v>60</v>
      </c>
      <c r="G176" s="19" t="n">
        <v>3</v>
      </c>
      <c r="H176" s="14" t="n">
        <v>25520</v>
      </c>
      <c r="I176" s="14" t="n">
        <v>24743.02</v>
      </c>
      <c r="J176" s="24" t="n">
        <v>0.951</v>
      </c>
      <c r="K176" s="19" t="n">
        <v>0</v>
      </c>
      <c r="L176" s="13" t="str">
        <f aca="false">IF(D176&gt;=Inputs!$C$14,"Near-prime","Non-prime")</f>
        <v>Near-prime</v>
      </c>
      <c r="M176" s="19" t="n">
        <f aca="false">IF(K176&lt;=Inputs!$C$19,1,0)</f>
        <v>1</v>
      </c>
      <c r="N176" s="19" t="n">
        <f aca="false">IF(F176&lt;=Inputs!$C$20,1,0)</f>
        <v>1</v>
      </c>
      <c r="O176" s="19" t="n">
        <f aca="false">IF(J176&lt;=Inputs!$C$21,1,0)</f>
        <v>1</v>
      </c>
      <c r="P176" s="19" t="n">
        <f aca="false">IF(D176&gt;=Inputs!$C$22,1,0)</f>
        <v>1</v>
      </c>
      <c r="Q176" s="19" t="n">
        <f aca="false">IF(I176&lt;=Inputs!$C$23,1,0)</f>
        <v>1</v>
      </c>
      <c r="R176" s="19" t="n">
        <f aca="false">M176*N176*O176*P176*Q176</f>
        <v>1</v>
      </c>
      <c r="S176" s="14" t="n">
        <f aca="false">I176*R176</f>
        <v>24743.02</v>
      </c>
      <c r="T176" s="19" t="n">
        <f aca="false">IF(F176&gt;72,1,0)</f>
        <v>0</v>
      </c>
      <c r="U176" s="19" t="n">
        <f aca="false">IF(J176&gt;1.25,1,0)</f>
        <v>0</v>
      </c>
    </row>
    <row r="177" customFormat="false" ht="15" hidden="false" customHeight="false" outlineLevel="0" collapsed="false">
      <c r="B177" s="13" t="s">
        <v>397</v>
      </c>
      <c r="C177" s="13" t="s">
        <v>223</v>
      </c>
      <c r="D177" s="19" t="n">
        <v>650</v>
      </c>
      <c r="E177" s="23" t="n">
        <v>0.183</v>
      </c>
      <c r="F177" s="19" t="n">
        <v>72</v>
      </c>
      <c r="G177" s="19" t="n">
        <v>4</v>
      </c>
      <c r="H177" s="14" t="n">
        <v>28930</v>
      </c>
      <c r="I177" s="14" t="n">
        <v>28015.08</v>
      </c>
      <c r="J177" s="24" t="n">
        <v>0.6</v>
      </c>
      <c r="K177" s="19" t="n">
        <v>0</v>
      </c>
      <c r="L177" s="13" t="str">
        <f aca="false">IF(D177&gt;=Inputs!$C$14,"Near-prime","Non-prime")</f>
        <v>Near-prime</v>
      </c>
      <c r="M177" s="19" t="n">
        <f aca="false">IF(K177&lt;=Inputs!$C$19,1,0)</f>
        <v>1</v>
      </c>
      <c r="N177" s="19" t="n">
        <f aca="false">IF(F177&lt;=Inputs!$C$20,1,0)</f>
        <v>1</v>
      </c>
      <c r="O177" s="19" t="n">
        <f aca="false">IF(J177&lt;=Inputs!$C$21,1,0)</f>
        <v>1</v>
      </c>
      <c r="P177" s="19" t="n">
        <f aca="false">IF(D177&gt;=Inputs!$C$22,1,0)</f>
        <v>1</v>
      </c>
      <c r="Q177" s="19" t="n">
        <f aca="false">IF(I177&lt;=Inputs!$C$23,1,0)</f>
        <v>1</v>
      </c>
      <c r="R177" s="19" t="n">
        <f aca="false">M177*N177*O177*P177*Q177</f>
        <v>1</v>
      </c>
      <c r="S177" s="14" t="n">
        <f aca="false">I177*R177</f>
        <v>28015.08</v>
      </c>
      <c r="T177" s="19" t="n">
        <f aca="false">IF(F177&gt;72,1,0)</f>
        <v>0</v>
      </c>
      <c r="U177" s="19" t="n">
        <f aca="false">IF(J177&gt;1.25,1,0)</f>
        <v>0</v>
      </c>
    </row>
    <row r="178" customFormat="false" ht="15" hidden="false" customHeight="false" outlineLevel="0" collapsed="false">
      <c r="B178" s="13" t="s">
        <v>398</v>
      </c>
      <c r="C178" s="13" t="s">
        <v>252</v>
      </c>
      <c r="D178" s="19" t="n">
        <v>587</v>
      </c>
      <c r="E178" s="23" t="n">
        <v>0.2211</v>
      </c>
      <c r="F178" s="19" t="n">
        <v>75</v>
      </c>
      <c r="G178" s="19" t="n">
        <v>0</v>
      </c>
      <c r="H178" s="14" t="n">
        <v>39070</v>
      </c>
      <c r="I178" s="14" t="n">
        <v>39070</v>
      </c>
      <c r="J178" s="24" t="n">
        <v>1.367</v>
      </c>
      <c r="K178" s="19" t="n">
        <v>0</v>
      </c>
      <c r="L178" s="13" t="str">
        <f aca="false">IF(D178&gt;=Inputs!$C$14,"Near-prime","Non-prime")</f>
        <v>Non-prime</v>
      </c>
      <c r="M178" s="19" t="n">
        <f aca="false">IF(K178&lt;=Inputs!$C$19,1,0)</f>
        <v>1</v>
      </c>
      <c r="N178" s="19" t="n">
        <f aca="false">IF(F178&lt;=Inputs!$C$20,1,0)</f>
        <v>1</v>
      </c>
      <c r="O178" s="19" t="n">
        <f aca="false">IF(J178&lt;=Inputs!$C$21,1,0)</f>
        <v>1</v>
      </c>
      <c r="P178" s="19" t="n">
        <f aca="false">IF(D178&gt;=Inputs!$C$22,1,0)</f>
        <v>1</v>
      </c>
      <c r="Q178" s="19" t="n">
        <f aca="false">IF(I178&lt;=Inputs!$C$23,1,0)</f>
        <v>1</v>
      </c>
      <c r="R178" s="19" t="n">
        <f aca="false">M178*N178*O178*P178*Q178</f>
        <v>1</v>
      </c>
      <c r="S178" s="14" t="n">
        <f aca="false">I178*R178</f>
        <v>39070</v>
      </c>
      <c r="T178" s="19" t="n">
        <f aca="false">IF(F178&gt;72,1,0)</f>
        <v>1</v>
      </c>
      <c r="U178" s="19" t="n">
        <f aca="false">IF(J178&gt;1.25,1,0)</f>
        <v>1</v>
      </c>
    </row>
    <row r="179" customFormat="false" ht="15" hidden="false" customHeight="false" outlineLevel="0" collapsed="false">
      <c r="B179" s="13" t="s">
        <v>399</v>
      </c>
      <c r="C179" s="13" t="s">
        <v>233</v>
      </c>
      <c r="D179" s="19" t="n">
        <v>649</v>
      </c>
      <c r="E179" s="23" t="n">
        <v>0.2051</v>
      </c>
      <c r="F179" s="19" t="n">
        <v>66</v>
      </c>
      <c r="G179" s="19" t="n">
        <v>6</v>
      </c>
      <c r="H179" s="14" t="n">
        <v>25960</v>
      </c>
      <c r="I179" s="14" t="n">
        <v>24611.38</v>
      </c>
      <c r="J179" s="24" t="n">
        <v>1.083</v>
      </c>
      <c r="K179" s="19" t="n">
        <v>30</v>
      </c>
      <c r="L179" s="13" t="str">
        <f aca="false">IF(D179&gt;=Inputs!$C$14,"Near-prime","Non-prime")</f>
        <v>Near-prime</v>
      </c>
      <c r="M179" s="19" t="n">
        <f aca="false">IF(K179&lt;=Inputs!$C$19,1,0)</f>
        <v>1</v>
      </c>
      <c r="N179" s="19" t="n">
        <f aca="false">IF(F179&lt;=Inputs!$C$20,1,0)</f>
        <v>1</v>
      </c>
      <c r="O179" s="19" t="n">
        <f aca="false">IF(J179&lt;=Inputs!$C$21,1,0)</f>
        <v>1</v>
      </c>
      <c r="P179" s="19" t="n">
        <f aca="false">IF(D179&gt;=Inputs!$C$22,1,0)</f>
        <v>1</v>
      </c>
      <c r="Q179" s="19" t="n">
        <f aca="false">IF(I179&lt;=Inputs!$C$23,1,0)</f>
        <v>1</v>
      </c>
      <c r="R179" s="19" t="n">
        <f aca="false">M179*N179*O179*P179*Q179</f>
        <v>1</v>
      </c>
      <c r="S179" s="14" t="n">
        <f aca="false">I179*R179</f>
        <v>24611.38</v>
      </c>
      <c r="T179" s="19" t="n">
        <f aca="false">IF(F179&gt;72,1,0)</f>
        <v>0</v>
      </c>
      <c r="U179" s="19" t="n">
        <f aca="false">IF(J179&gt;1.25,1,0)</f>
        <v>0</v>
      </c>
    </row>
    <row r="180" customFormat="false" ht="15" hidden="false" customHeight="false" outlineLevel="0" collapsed="false">
      <c r="B180" s="13" t="s">
        <v>400</v>
      </c>
      <c r="C180" s="13" t="s">
        <v>228</v>
      </c>
      <c r="D180" s="19" t="n">
        <v>574</v>
      </c>
      <c r="E180" s="23" t="n">
        <v>0.2459</v>
      </c>
      <c r="F180" s="19" t="n">
        <v>66</v>
      </c>
      <c r="G180" s="19" t="n">
        <v>2</v>
      </c>
      <c r="H180" s="14" t="n">
        <v>15130</v>
      </c>
      <c r="I180" s="14" t="n">
        <v>14907.42</v>
      </c>
      <c r="J180" s="24" t="n">
        <v>1.183</v>
      </c>
      <c r="K180" s="19" t="n">
        <v>0</v>
      </c>
      <c r="L180" s="13" t="str">
        <f aca="false">IF(D180&gt;=Inputs!$C$14,"Near-prime","Non-prime")</f>
        <v>Non-prime</v>
      </c>
      <c r="M180" s="19" t="n">
        <f aca="false">IF(K180&lt;=Inputs!$C$19,1,0)</f>
        <v>1</v>
      </c>
      <c r="N180" s="19" t="n">
        <f aca="false">IF(F180&lt;=Inputs!$C$20,1,0)</f>
        <v>1</v>
      </c>
      <c r="O180" s="19" t="n">
        <f aca="false">IF(J180&lt;=Inputs!$C$21,1,0)</f>
        <v>1</v>
      </c>
      <c r="P180" s="19" t="n">
        <f aca="false">IF(D180&gt;=Inputs!$C$22,1,0)</f>
        <v>1</v>
      </c>
      <c r="Q180" s="19" t="n">
        <f aca="false">IF(I180&lt;=Inputs!$C$23,1,0)</f>
        <v>1</v>
      </c>
      <c r="R180" s="19" t="n">
        <f aca="false">M180*N180*O180*P180*Q180</f>
        <v>1</v>
      </c>
      <c r="S180" s="14" t="n">
        <f aca="false">I180*R180</f>
        <v>14907.42</v>
      </c>
      <c r="T180" s="19" t="n">
        <f aca="false">IF(F180&gt;72,1,0)</f>
        <v>0</v>
      </c>
      <c r="U180" s="19" t="n">
        <f aca="false">IF(J180&gt;1.25,1,0)</f>
        <v>0</v>
      </c>
    </row>
    <row r="181" customFormat="false" ht="15" hidden="false" customHeight="false" outlineLevel="0" collapsed="false">
      <c r="B181" s="13" t="s">
        <v>401</v>
      </c>
      <c r="C181" s="13" t="s">
        <v>217</v>
      </c>
      <c r="D181" s="19" t="n">
        <v>602</v>
      </c>
      <c r="E181" s="23" t="n">
        <v>0.2197</v>
      </c>
      <c r="F181" s="19" t="n">
        <v>60</v>
      </c>
      <c r="G181" s="19" t="n">
        <v>10</v>
      </c>
      <c r="H181" s="14" t="n">
        <v>24300</v>
      </c>
      <c r="I181" s="14" t="n">
        <v>21846.23</v>
      </c>
      <c r="J181" s="24" t="n">
        <v>0.746</v>
      </c>
      <c r="K181" s="19" t="n">
        <v>0</v>
      </c>
      <c r="L181" s="13" t="str">
        <f aca="false">IF(D181&gt;=Inputs!$C$14,"Near-prime","Non-prime")</f>
        <v>Non-prime</v>
      </c>
      <c r="M181" s="19" t="n">
        <f aca="false">IF(K181&lt;=Inputs!$C$19,1,0)</f>
        <v>1</v>
      </c>
      <c r="N181" s="19" t="n">
        <f aca="false">IF(F181&lt;=Inputs!$C$20,1,0)</f>
        <v>1</v>
      </c>
      <c r="O181" s="19" t="n">
        <f aca="false">IF(J181&lt;=Inputs!$C$21,1,0)</f>
        <v>1</v>
      </c>
      <c r="P181" s="19" t="n">
        <f aca="false">IF(D181&gt;=Inputs!$C$22,1,0)</f>
        <v>1</v>
      </c>
      <c r="Q181" s="19" t="n">
        <f aca="false">IF(I181&lt;=Inputs!$C$23,1,0)</f>
        <v>1</v>
      </c>
      <c r="R181" s="19" t="n">
        <f aca="false">M181*N181*O181*P181*Q181</f>
        <v>1</v>
      </c>
      <c r="S181" s="14" t="n">
        <f aca="false">I181*R181</f>
        <v>21846.23</v>
      </c>
      <c r="T181" s="19" t="n">
        <f aca="false">IF(F181&gt;72,1,0)</f>
        <v>0</v>
      </c>
      <c r="U181" s="19" t="n">
        <f aca="false">IF(J181&gt;1.25,1,0)</f>
        <v>0</v>
      </c>
    </row>
    <row r="182" customFormat="false" ht="15" hidden="false" customHeight="false" outlineLevel="0" collapsed="false">
      <c r="B182" s="13" t="s">
        <v>402</v>
      </c>
      <c r="C182" s="13" t="s">
        <v>257</v>
      </c>
      <c r="D182" s="19" t="n">
        <v>656</v>
      </c>
      <c r="E182" s="23" t="n">
        <v>0.1995</v>
      </c>
      <c r="F182" s="19" t="n">
        <v>60</v>
      </c>
      <c r="G182" s="19" t="n">
        <v>1</v>
      </c>
      <c r="H182" s="14" t="n">
        <v>12150</v>
      </c>
      <c r="I182" s="14" t="n">
        <v>12030.43</v>
      </c>
      <c r="J182" s="24" t="n">
        <v>0.891</v>
      </c>
      <c r="K182" s="19" t="n">
        <v>0</v>
      </c>
      <c r="L182" s="13" t="str">
        <f aca="false">IF(D182&gt;=Inputs!$C$14,"Near-prime","Non-prime")</f>
        <v>Near-prime</v>
      </c>
      <c r="M182" s="19" t="n">
        <f aca="false">IF(K182&lt;=Inputs!$C$19,1,0)</f>
        <v>1</v>
      </c>
      <c r="N182" s="19" t="n">
        <f aca="false">IF(F182&lt;=Inputs!$C$20,1,0)</f>
        <v>1</v>
      </c>
      <c r="O182" s="19" t="n">
        <f aca="false">IF(J182&lt;=Inputs!$C$21,1,0)</f>
        <v>1</v>
      </c>
      <c r="P182" s="19" t="n">
        <f aca="false">IF(D182&gt;=Inputs!$C$22,1,0)</f>
        <v>1</v>
      </c>
      <c r="Q182" s="19" t="n">
        <f aca="false">IF(I182&lt;=Inputs!$C$23,1,0)</f>
        <v>1</v>
      </c>
      <c r="R182" s="19" t="n">
        <f aca="false">M182*N182*O182*P182*Q182</f>
        <v>1</v>
      </c>
      <c r="S182" s="14" t="n">
        <f aca="false">I182*R182</f>
        <v>12030.43</v>
      </c>
      <c r="T182" s="19" t="n">
        <f aca="false">IF(F182&gt;72,1,0)</f>
        <v>0</v>
      </c>
      <c r="U182" s="19" t="n">
        <f aca="false">IF(J182&gt;1.25,1,0)</f>
        <v>0</v>
      </c>
    </row>
    <row r="183" customFormat="false" ht="15" hidden="false" customHeight="false" outlineLevel="0" collapsed="false">
      <c r="B183" s="13" t="s">
        <v>403</v>
      </c>
      <c r="C183" s="13" t="s">
        <v>217</v>
      </c>
      <c r="D183" s="19" t="n">
        <v>520</v>
      </c>
      <c r="E183" s="23" t="n">
        <v>0.2414</v>
      </c>
      <c r="F183" s="19" t="n">
        <v>66</v>
      </c>
      <c r="G183" s="19" t="n">
        <v>1</v>
      </c>
      <c r="H183" s="14" t="n">
        <v>12360</v>
      </c>
      <c r="I183" s="14" t="n">
        <v>12268.69</v>
      </c>
      <c r="J183" s="24" t="n">
        <v>1.083</v>
      </c>
      <c r="K183" s="19" t="n">
        <v>0</v>
      </c>
      <c r="L183" s="13" t="str">
        <f aca="false">IF(D183&gt;=Inputs!$C$14,"Near-prime","Non-prime")</f>
        <v>Non-prime</v>
      </c>
      <c r="M183" s="19" t="n">
        <f aca="false">IF(K183&lt;=Inputs!$C$19,1,0)</f>
        <v>1</v>
      </c>
      <c r="N183" s="19" t="n">
        <f aca="false">IF(F183&lt;=Inputs!$C$20,1,0)</f>
        <v>1</v>
      </c>
      <c r="O183" s="19" t="n">
        <f aca="false">IF(J183&lt;=Inputs!$C$21,1,0)</f>
        <v>1</v>
      </c>
      <c r="P183" s="19" t="n">
        <f aca="false">IF(D183&gt;=Inputs!$C$22,1,0)</f>
        <v>0</v>
      </c>
      <c r="Q183" s="19" t="n">
        <f aca="false">IF(I183&lt;=Inputs!$C$23,1,0)</f>
        <v>1</v>
      </c>
      <c r="R183" s="19" t="n">
        <f aca="false">M183*N183*O183*P183*Q183</f>
        <v>0</v>
      </c>
      <c r="S183" s="14" t="n">
        <f aca="false">I183*R183</f>
        <v>0</v>
      </c>
      <c r="T183" s="19" t="n">
        <f aca="false">IF(F183&gt;72,1,0)</f>
        <v>0</v>
      </c>
      <c r="U183" s="19" t="n">
        <f aca="false">IF(J183&gt;1.25,1,0)</f>
        <v>0</v>
      </c>
    </row>
    <row r="184" customFormat="false" ht="15" hidden="false" customHeight="false" outlineLevel="0" collapsed="false">
      <c r="B184" s="13" t="s">
        <v>404</v>
      </c>
      <c r="C184" s="13" t="s">
        <v>226</v>
      </c>
      <c r="D184" s="19" t="n">
        <v>683</v>
      </c>
      <c r="E184" s="23" t="n">
        <v>0.2018</v>
      </c>
      <c r="F184" s="19" t="n">
        <v>72</v>
      </c>
      <c r="G184" s="19" t="n">
        <v>6</v>
      </c>
      <c r="H184" s="14" t="n">
        <v>26240</v>
      </c>
      <c r="I184" s="14" t="n">
        <v>25051.02</v>
      </c>
      <c r="J184" s="24" t="n">
        <v>1.445</v>
      </c>
      <c r="K184" s="19" t="n">
        <v>0</v>
      </c>
      <c r="L184" s="13" t="str">
        <f aca="false">IF(D184&gt;=Inputs!$C$14,"Near-prime","Non-prime")</f>
        <v>Near-prime</v>
      </c>
      <c r="M184" s="19" t="n">
        <f aca="false">IF(K184&lt;=Inputs!$C$19,1,0)</f>
        <v>1</v>
      </c>
      <c r="N184" s="19" t="n">
        <f aca="false">IF(F184&lt;=Inputs!$C$20,1,0)</f>
        <v>1</v>
      </c>
      <c r="O184" s="19" t="n">
        <f aca="false">IF(J184&lt;=Inputs!$C$21,1,0)</f>
        <v>1</v>
      </c>
      <c r="P184" s="19" t="n">
        <f aca="false">IF(D184&gt;=Inputs!$C$22,1,0)</f>
        <v>1</v>
      </c>
      <c r="Q184" s="19" t="n">
        <f aca="false">IF(I184&lt;=Inputs!$C$23,1,0)</f>
        <v>1</v>
      </c>
      <c r="R184" s="19" t="n">
        <f aca="false">M184*N184*O184*P184*Q184</f>
        <v>1</v>
      </c>
      <c r="S184" s="14" t="n">
        <f aca="false">I184*R184</f>
        <v>25051.02</v>
      </c>
      <c r="T184" s="19" t="n">
        <f aca="false">IF(F184&gt;72,1,0)</f>
        <v>0</v>
      </c>
      <c r="U184" s="19" t="n">
        <f aca="false">IF(J184&gt;1.25,1,0)</f>
        <v>1</v>
      </c>
    </row>
    <row r="185" customFormat="false" ht="15" hidden="false" customHeight="false" outlineLevel="0" collapsed="false">
      <c r="B185" s="13" t="s">
        <v>405</v>
      </c>
      <c r="C185" s="13" t="s">
        <v>223</v>
      </c>
      <c r="D185" s="19" t="n">
        <v>660</v>
      </c>
      <c r="E185" s="23" t="n">
        <v>0.1927</v>
      </c>
      <c r="F185" s="19" t="n">
        <v>66</v>
      </c>
      <c r="G185" s="19" t="n">
        <v>7</v>
      </c>
      <c r="H185" s="14" t="n">
        <v>29310</v>
      </c>
      <c r="I185" s="14" t="n">
        <v>27452.75</v>
      </c>
      <c r="J185" s="24" t="n">
        <v>1.146</v>
      </c>
      <c r="K185" s="19" t="n">
        <v>0</v>
      </c>
      <c r="L185" s="13" t="str">
        <f aca="false">IF(D185&gt;=Inputs!$C$14,"Near-prime","Non-prime")</f>
        <v>Near-prime</v>
      </c>
      <c r="M185" s="19" t="n">
        <f aca="false">IF(K185&lt;=Inputs!$C$19,1,0)</f>
        <v>1</v>
      </c>
      <c r="N185" s="19" t="n">
        <f aca="false">IF(F185&lt;=Inputs!$C$20,1,0)</f>
        <v>1</v>
      </c>
      <c r="O185" s="19" t="n">
        <f aca="false">IF(J185&lt;=Inputs!$C$21,1,0)</f>
        <v>1</v>
      </c>
      <c r="P185" s="19" t="n">
        <f aca="false">IF(D185&gt;=Inputs!$C$22,1,0)</f>
        <v>1</v>
      </c>
      <c r="Q185" s="19" t="n">
        <f aca="false">IF(I185&lt;=Inputs!$C$23,1,0)</f>
        <v>1</v>
      </c>
      <c r="R185" s="19" t="n">
        <f aca="false">M185*N185*O185*P185*Q185</f>
        <v>1</v>
      </c>
      <c r="S185" s="14" t="n">
        <f aca="false">I185*R185</f>
        <v>27452.75</v>
      </c>
      <c r="T185" s="19" t="n">
        <f aca="false">IF(F185&gt;72,1,0)</f>
        <v>0</v>
      </c>
      <c r="U185" s="19" t="n">
        <f aca="false">IF(J185&gt;1.25,1,0)</f>
        <v>0</v>
      </c>
    </row>
    <row r="186" customFormat="false" ht="15" hidden="false" customHeight="false" outlineLevel="0" collapsed="false">
      <c r="B186" s="13" t="s">
        <v>406</v>
      </c>
      <c r="C186" s="13" t="s">
        <v>237</v>
      </c>
      <c r="D186" s="19" t="n">
        <v>690</v>
      </c>
      <c r="E186" s="23" t="n">
        <v>0.1978</v>
      </c>
      <c r="F186" s="19" t="n">
        <v>72</v>
      </c>
      <c r="G186" s="19" t="n">
        <v>7</v>
      </c>
      <c r="H186" s="14" t="n">
        <v>26010</v>
      </c>
      <c r="I186" s="14" t="n">
        <v>24605.27</v>
      </c>
      <c r="J186" s="24" t="n">
        <v>1.006</v>
      </c>
      <c r="K186" s="19" t="n">
        <v>0</v>
      </c>
      <c r="L186" s="13" t="str">
        <f aca="false">IF(D186&gt;=Inputs!$C$14,"Near-prime","Non-prime")</f>
        <v>Near-prime</v>
      </c>
      <c r="M186" s="19" t="n">
        <f aca="false">IF(K186&lt;=Inputs!$C$19,1,0)</f>
        <v>1</v>
      </c>
      <c r="N186" s="19" t="n">
        <f aca="false">IF(F186&lt;=Inputs!$C$20,1,0)</f>
        <v>1</v>
      </c>
      <c r="O186" s="19" t="n">
        <f aca="false">IF(J186&lt;=Inputs!$C$21,1,0)</f>
        <v>1</v>
      </c>
      <c r="P186" s="19" t="n">
        <f aca="false">IF(D186&gt;=Inputs!$C$22,1,0)</f>
        <v>1</v>
      </c>
      <c r="Q186" s="19" t="n">
        <f aca="false">IF(I186&lt;=Inputs!$C$23,1,0)</f>
        <v>1</v>
      </c>
      <c r="R186" s="19" t="n">
        <f aca="false">M186*N186*O186*P186*Q186</f>
        <v>1</v>
      </c>
      <c r="S186" s="14" t="n">
        <f aca="false">I186*R186</f>
        <v>24605.27</v>
      </c>
      <c r="T186" s="19" t="n">
        <f aca="false">IF(F186&gt;72,1,0)</f>
        <v>0</v>
      </c>
      <c r="U186" s="19" t="n">
        <f aca="false">IF(J186&gt;1.25,1,0)</f>
        <v>0</v>
      </c>
    </row>
    <row r="187" customFormat="false" ht="15" hidden="false" customHeight="false" outlineLevel="0" collapsed="false">
      <c r="B187" s="13" t="s">
        <v>407</v>
      </c>
      <c r="C187" s="13" t="s">
        <v>237</v>
      </c>
      <c r="D187" s="19" t="n">
        <v>626</v>
      </c>
      <c r="E187" s="23" t="n">
        <v>0.235</v>
      </c>
      <c r="F187" s="19" t="n">
        <v>72</v>
      </c>
      <c r="G187" s="19" t="n">
        <v>9</v>
      </c>
      <c r="H187" s="14" t="n">
        <v>36660</v>
      </c>
      <c r="I187" s="14" t="n">
        <v>34360.62</v>
      </c>
      <c r="J187" s="24" t="n">
        <v>1.109</v>
      </c>
      <c r="K187" s="19" t="n">
        <v>0</v>
      </c>
      <c r="L187" s="13" t="str">
        <f aca="false">IF(D187&gt;=Inputs!$C$14,"Near-prime","Non-prime")</f>
        <v>Near-prime</v>
      </c>
      <c r="M187" s="19" t="n">
        <f aca="false">IF(K187&lt;=Inputs!$C$19,1,0)</f>
        <v>1</v>
      </c>
      <c r="N187" s="19" t="n">
        <f aca="false">IF(F187&lt;=Inputs!$C$20,1,0)</f>
        <v>1</v>
      </c>
      <c r="O187" s="19" t="n">
        <f aca="false">IF(J187&lt;=Inputs!$C$21,1,0)</f>
        <v>1</v>
      </c>
      <c r="P187" s="19" t="n">
        <f aca="false">IF(D187&gt;=Inputs!$C$22,1,0)</f>
        <v>1</v>
      </c>
      <c r="Q187" s="19" t="n">
        <f aca="false">IF(I187&lt;=Inputs!$C$23,1,0)</f>
        <v>1</v>
      </c>
      <c r="R187" s="19" t="n">
        <f aca="false">M187*N187*O187*P187*Q187</f>
        <v>1</v>
      </c>
      <c r="S187" s="14" t="n">
        <f aca="false">I187*R187</f>
        <v>34360.62</v>
      </c>
      <c r="T187" s="19" t="n">
        <f aca="false">IF(F187&gt;72,1,0)</f>
        <v>0</v>
      </c>
      <c r="U187" s="19" t="n">
        <f aca="false">IF(J187&gt;1.25,1,0)</f>
        <v>0</v>
      </c>
    </row>
    <row r="188" customFormat="false" ht="15" hidden="false" customHeight="false" outlineLevel="0" collapsed="false">
      <c r="B188" s="13" t="s">
        <v>408</v>
      </c>
      <c r="C188" s="13" t="s">
        <v>257</v>
      </c>
      <c r="D188" s="19" t="n">
        <v>669</v>
      </c>
      <c r="E188" s="23" t="n">
        <v>0.2075</v>
      </c>
      <c r="F188" s="19" t="n">
        <v>72</v>
      </c>
      <c r="G188" s="19" t="n">
        <v>1</v>
      </c>
      <c r="H188" s="14" t="n">
        <v>31990</v>
      </c>
      <c r="I188" s="14" t="n">
        <v>31762.94</v>
      </c>
      <c r="J188" s="24" t="n">
        <v>0.838</v>
      </c>
      <c r="K188" s="19" t="n">
        <v>0</v>
      </c>
      <c r="L188" s="13" t="str">
        <f aca="false">IF(D188&gt;=Inputs!$C$14,"Near-prime","Non-prime")</f>
        <v>Near-prime</v>
      </c>
      <c r="M188" s="19" t="n">
        <f aca="false">IF(K188&lt;=Inputs!$C$19,1,0)</f>
        <v>1</v>
      </c>
      <c r="N188" s="19" t="n">
        <f aca="false">IF(F188&lt;=Inputs!$C$20,1,0)</f>
        <v>1</v>
      </c>
      <c r="O188" s="19" t="n">
        <f aca="false">IF(J188&lt;=Inputs!$C$21,1,0)</f>
        <v>1</v>
      </c>
      <c r="P188" s="19" t="n">
        <f aca="false">IF(D188&gt;=Inputs!$C$22,1,0)</f>
        <v>1</v>
      </c>
      <c r="Q188" s="19" t="n">
        <f aca="false">IF(I188&lt;=Inputs!$C$23,1,0)</f>
        <v>1</v>
      </c>
      <c r="R188" s="19" t="n">
        <f aca="false">M188*N188*O188*P188*Q188</f>
        <v>1</v>
      </c>
      <c r="S188" s="14" t="n">
        <f aca="false">I188*R188</f>
        <v>31762.94</v>
      </c>
      <c r="T188" s="19" t="n">
        <f aca="false">IF(F188&gt;72,1,0)</f>
        <v>0</v>
      </c>
      <c r="U188" s="19" t="n">
        <f aca="false">IF(J188&gt;1.25,1,0)</f>
        <v>0</v>
      </c>
    </row>
    <row r="189" customFormat="false" ht="15" hidden="false" customHeight="false" outlineLevel="0" collapsed="false">
      <c r="B189" s="13" t="s">
        <v>409</v>
      </c>
      <c r="C189" s="13" t="s">
        <v>233</v>
      </c>
      <c r="D189" s="19" t="n">
        <v>595</v>
      </c>
      <c r="E189" s="23" t="n">
        <v>0.2006</v>
      </c>
      <c r="F189" s="19" t="n">
        <v>66</v>
      </c>
      <c r="G189" s="19" t="n">
        <v>5</v>
      </c>
      <c r="H189" s="14" t="n">
        <v>29470</v>
      </c>
      <c r="I189" s="14" t="n">
        <v>28188.02</v>
      </c>
      <c r="J189" s="24" t="n">
        <v>0.898</v>
      </c>
      <c r="K189" s="19" t="n">
        <v>0</v>
      </c>
      <c r="L189" s="13" t="str">
        <f aca="false">IF(D189&gt;=Inputs!$C$14,"Near-prime","Non-prime")</f>
        <v>Non-prime</v>
      </c>
      <c r="M189" s="19" t="n">
        <f aca="false">IF(K189&lt;=Inputs!$C$19,1,0)</f>
        <v>1</v>
      </c>
      <c r="N189" s="19" t="n">
        <f aca="false">IF(F189&lt;=Inputs!$C$20,1,0)</f>
        <v>1</v>
      </c>
      <c r="O189" s="19" t="n">
        <f aca="false">IF(J189&lt;=Inputs!$C$21,1,0)</f>
        <v>1</v>
      </c>
      <c r="P189" s="19" t="n">
        <f aca="false">IF(D189&gt;=Inputs!$C$22,1,0)</f>
        <v>1</v>
      </c>
      <c r="Q189" s="19" t="n">
        <f aca="false">IF(I189&lt;=Inputs!$C$23,1,0)</f>
        <v>1</v>
      </c>
      <c r="R189" s="19" t="n">
        <f aca="false">M189*N189*O189*P189*Q189</f>
        <v>1</v>
      </c>
      <c r="S189" s="14" t="n">
        <f aca="false">I189*R189</f>
        <v>28188.02</v>
      </c>
      <c r="T189" s="19" t="n">
        <f aca="false">IF(F189&gt;72,1,0)</f>
        <v>0</v>
      </c>
      <c r="U189" s="19" t="n">
        <f aca="false">IF(J189&gt;1.25,1,0)</f>
        <v>0</v>
      </c>
    </row>
    <row r="190" customFormat="false" ht="15" hidden="false" customHeight="false" outlineLevel="0" collapsed="false">
      <c r="B190" s="13" t="s">
        <v>410</v>
      </c>
      <c r="C190" s="13" t="s">
        <v>223</v>
      </c>
      <c r="D190" s="19" t="n">
        <v>599</v>
      </c>
      <c r="E190" s="23" t="n">
        <v>0.2148</v>
      </c>
      <c r="F190" s="19" t="n">
        <v>72</v>
      </c>
      <c r="G190" s="19" t="n">
        <v>4</v>
      </c>
      <c r="H190" s="14" t="n">
        <v>13540</v>
      </c>
      <c r="I190" s="14" t="n">
        <v>13155.12</v>
      </c>
      <c r="J190" s="24" t="n">
        <v>1.214</v>
      </c>
      <c r="K190" s="19" t="n">
        <v>0</v>
      </c>
      <c r="L190" s="13" t="str">
        <f aca="false">IF(D190&gt;=Inputs!$C$14,"Near-prime","Non-prime")</f>
        <v>Non-prime</v>
      </c>
      <c r="M190" s="19" t="n">
        <f aca="false">IF(K190&lt;=Inputs!$C$19,1,0)</f>
        <v>1</v>
      </c>
      <c r="N190" s="19" t="n">
        <f aca="false">IF(F190&lt;=Inputs!$C$20,1,0)</f>
        <v>1</v>
      </c>
      <c r="O190" s="19" t="n">
        <f aca="false">IF(J190&lt;=Inputs!$C$21,1,0)</f>
        <v>1</v>
      </c>
      <c r="P190" s="19" t="n">
        <f aca="false">IF(D190&gt;=Inputs!$C$22,1,0)</f>
        <v>1</v>
      </c>
      <c r="Q190" s="19" t="n">
        <f aca="false">IF(I190&lt;=Inputs!$C$23,1,0)</f>
        <v>1</v>
      </c>
      <c r="R190" s="19" t="n">
        <f aca="false">M190*N190*O190*P190*Q190</f>
        <v>1</v>
      </c>
      <c r="S190" s="14" t="n">
        <f aca="false">I190*R190</f>
        <v>13155.12</v>
      </c>
      <c r="T190" s="19" t="n">
        <f aca="false">IF(F190&gt;72,1,0)</f>
        <v>0</v>
      </c>
      <c r="U190" s="19" t="n">
        <f aca="false">IF(J190&gt;1.25,1,0)</f>
        <v>0</v>
      </c>
    </row>
    <row r="191" customFormat="false" ht="15" hidden="false" customHeight="false" outlineLevel="0" collapsed="false">
      <c r="B191" s="13" t="s">
        <v>411</v>
      </c>
      <c r="C191" s="13" t="s">
        <v>219</v>
      </c>
      <c r="D191" s="19" t="n">
        <v>652</v>
      </c>
      <c r="E191" s="23" t="n">
        <v>0.2107</v>
      </c>
      <c r="F191" s="19" t="n">
        <v>66</v>
      </c>
      <c r="G191" s="19" t="n">
        <v>5</v>
      </c>
      <c r="H191" s="14" t="n">
        <v>18830</v>
      </c>
      <c r="I191" s="14" t="n">
        <v>18035.25</v>
      </c>
      <c r="J191" s="24" t="n">
        <v>1.089</v>
      </c>
      <c r="K191" s="19" t="n">
        <v>0</v>
      </c>
      <c r="L191" s="13" t="str">
        <f aca="false">IF(D191&gt;=Inputs!$C$14,"Near-prime","Non-prime")</f>
        <v>Near-prime</v>
      </c>
      <c r="M191" s="19" t="n">
        <f aca="false">IF(K191&lt;=Inputs!$C$19,1,0)</f>
        <v>1</v>
      </c>
      <c r="N191" s="19" t="n">
        <f aca="false">IF(F191&lt;=Inputs!$C$20,1,0)</f>
        <v>1</v>
      </c>
      <c r="O191" s="19" t="n">
        <f aca="false">IF(J191&lt;=Inputs!$C$21,1,0)</f>
        <v>1</v>
      </c>
      <c r="P191" s="19" t="n">
        <f aca="false">IF(D191&gt;=Inputs!$C$22,1,0)</f>
        <v>1</v>
      </c>
      <c r="Q191" s="19" t="n">
        <f aca="false">IF(I191&lt;=Inputs!$C$23,1,0)</f>
        <v>1</v>
      </c>
      <c r="R191" s="19" t="n">
        <f aca="false">M191*N191*O191*P191*Q191</f>
        <v>1</v>
      </c>
      <c r="S191" s="14" t="n">
        <f aca="false">I191*R191</f>
        <v>18035.25</v>
      </c>
      <c r="T191" s="19" t="n">
        <f aca="false">IF(F191&gt;72,1,0)</f>
        <v>0</v>
      </c>
      <c r="U191" s="19" t="n">
        <f aca="false">IF(J191&gt;1.25,1,0)</f>
        <v>0</v>
      </c>
    </row>
    <row r="192" customFormat="false" ht="15" hidden="false" customHeight="false" outlineLevel="0" collapsed="false">
      <c r="B192" s="13" t="s">
        <v>412</v>
      </c>
      <c r="C192" s="13" t="s">
        <v>237</v>
      </c>
      <c r="D192" s="19" t="n">
        <v>648</v>
      </c>
      <c r="E192" s="23" t="n">
        <v>0.2059</v>
      </c>
      <c r="F192" s="19" t="n">
        <v>66</v>
      </c>
      <c r="G192" s="19" t="n">
        <v>0</v>
      </c>
      <c r="H192" s="14" t="n">
        <v>25540</v>
      </c>
      <c r="I192" s="14" t="n">
        <v>25540</v>
      </c>
      <c r="J192" s="24" t="n">
        <v>1.113</v>
      </c>
      <c r="K192" s="19" t="n">
        <v>0</v>
      </c>
      <c r="L192" s="13" t="str">
        <f aca="false">IF(D192&gt;=Inputs!$C$14,"Near-prime","Non-prime")</f>
        <v>Near-prime</v>
      </c>
      <c r="M192" s="19" t="n">
        <f aca="false">IF(K192&lt;=Inputs!$C$19,1,0)</f>
        <v>1</v>
      </c>
      <c r="N192" s="19" t="n">
        <f aca="false">IF(F192&lt;=Inputs!$C$20,1,0)</f>
        <v>1</v>
      </c>
      <c r="O192" s="19" t="n">
        <f aca="false">IF(J192&lt;=Inputs!$C$21,1,0)</f>
        <v>1</v>
      </c>
      <c r="P192" s="19" t="n">
        <f aca="false">IF(D192&gt;=Inputs!$C$22,1,0)</f>
        <v>1</v>
      </c>
      <c r="Q192" s="19" t="n">
        <f aca="false">IF(I192&lt;=Inputs!$C$23,1,0)</f>
        <v>1</v>
      </c>
      <c r="R192" s="19" t="n">
        <f aca="false">M192*N192*O192*P192*Q192</f>
        <v>1</v>
      </c>
      <c r="S192" s="14" t="n">
        <f aca="false">I192*R192</f>
        <v>25540</v>
      </c>
      <c r="T192" s="19" t="n">
        <f aca="false">IF(F192&gt;72,1,0)</f>
        <v>0</v>
      </c>
      <c r="U192" s="19" t="n">
        <f aca="false">IF(J192&gt;1.25,1,0)</f>
        <v>0</v>
      </c>
    </row>
    <row r="193" customFormat="false" ht="15" hidden="false" customHeight="false" outlineLevel="0" collapsed="false">
      <c r="B193" s="13" t="s">
        <v>413</v>
      </c>
      <c r="C193" s="13" t="s">
        <v>217</v>
      </c>
      <c r="D193" s="19" t="n">
        <v>646</v>
      </c>
      <c r="E193" s="23" t="n">
        <v>0.2247</v>
      </c>
      <c r="F193" s="19" t="n">
        <v>60</v>
      </c>
      <c r="G193" s="19" t="n">
        <v>3</v>
      </c>
      <c r="H193" s="14" t="n">
        <v>14480</v>
      </c>
      <c r="I193" s="14" t="n">
        <v>14074.51</v>
      </c>
      <c r="J193" s="24" t="n">
        <v>1.28</v>
      </c>
      <c r="K193" s="19" t="n">
        <v>0</v>
      </c>
      <c r="L193" s="13" t="str">
        <f aca="false">IF(D193&gt;=Inputs!$C$14,"Near-prime","Non-prime")</f>
        <v>Near-prime</v>
      </c>
      <c r="M193" s="19" t="n">
        <f aca="false">IF(K193&lt;=Inputs!$C$19,1,0)</f>
        <v>1</v>
      </c>
      <c r="N193" s="19" t="n">
        <f aca="false">IF(F193&lt;=Inputs!$C$20,1,0)</f>
        <v>1</v>
      </c>
      <c r="O193" s="19" t="n">
        <f aca="false">IF(J193&lt;=Inputs!$C$21,1,0)</f>
        <v>1</v>
      </c>
      <c r="P193" s="19" t="n">
        <f aca="false">IF(D193&gt;=Inputs!$C$22,1,0)</f>
        <v>1</v>
      </c>
      <c r="Q193" s="19" t="n">
        <f aca="false">IF(I193&lt;=Inputs!$C$23,1,0)</f>
        <v>1</v>
      </c>
      <c r="R193" s="19" t="n">
        <f aca="false">M193*N193*O193*P193*Q193</f>
        <v>1</v>
      </c>
      <c r="S193" s="14" t="n">
        <f aca="false">I193*R193</f>
        <v>14074.51</v>
      </c>
      <c r="T193" s="19" t="n">
        <f aca="false">IF(F193&gt;72,1,0)</f>
        <v>0</v>
      </c>
      <c r="U193" s="19" t="n">
        <f aca="false">IF(J193&gt;1.25,1,0)</f>
        <v>1</v>
      </c>
    </row>
    <row r="194" customFormat="false" ht="15" hidden="false" customHeight="false" outlineLevel="0" collapsed="false">
      <c r="B194" s="13" t="s">
        <v>414</v>
      </c>
      <c r="C194" s="13" t="s">
        <v>219</v>
      </c>
      <c r="D194" s="19" t="n">
        <v>717</v>
      </c>
      <c r="E194" s="23" t="n">
        <v>0.1868</v>
      </c>
      <c r="F194" s="19" t="n">
        <v>60</v>
      </c>
      <c r="G194" s="19" t="n">
        <v>8</v>
      </c>
      <c r="H194" s="14" t="n">
        <v>15670</v>
      </c>
      <c r="I194" s="14" t="n">
        <v>14319.7</v>
      </c>
      <c r="J194" s="24" t="n">
        <v>1.113</v>
      </c>
      <c r="K194" s="19" t="n">
        <v>0</v>
      </c>
      <c r="L194" s="13" t="str">
        <f aca="false">IF(D194&gt;=Inputs!$C$14,"Near-prime","Non-prime")</f>
        <v>Near-prime</v>
      </c>
      <c r="M194" s="19" t="n">
        <f aca="false">IF(K194&lt;=Inputs!$C$19,1,0)</f>
        <v>1</v>
      </c>
      <c r="N194" s="19" t="n">
        <f aca="false">IF(F194&lt;=Inputs!$C$20,1,0)</f>
        <v>1</v>
      </c>
      <c r="O194" s="19" t="n">
        <f aca="false">IF(J194&lt;=Inputs!$C$21,1,0)</f>
        <v>1</v>
      </c>
      <c r="P194" s="19" t="n">
        <f aca="false">IF(D194&gt;=Inputs!$C$22,1,0)</f>
        <v>1</v>
      </c>
      <c r="Q194" s="19" t="n">
        <f aca="false">IF(I194&lt;=Inputs!$C$23,1,0)</f>
        <v>1</v>
      </c>
      <c r="R194" s="19" t="n">
        <f aca="false">M194*N194*O194*P194*Q194</f>
        <v>1</v>
      </c>
      <c r="S194" s="14" t="n">
        <f aca="false">I194*R194</f>
        <v>14319.7</v>
      </c>
      <c r="T194" s="19" t="n">
        <f aca="false">IF(F194&gt;72,1,0)</f>
        <v>0</v>
      </c>
      <c r="U194" s="19" t="n">
        <f aca="false">IF(J194&gt;1.25,1,0)</f>
        <v>0</v>
      </c>
    </row>
    <row r="195" customFormat="false" ht="15" hidden="false" customHeight="false" outlineLevel="0" collapsed="false">
      <c r="B195" s="13" t="s">
        <v>415</v>
      </c>
      <c r="C195" s="13" t="s">
        <v>223</v>
      </c>
      <c r="D195" s="19" t="n">
        <v>633</v>
      </c>
      <c r="E195" s="23" t="n">
        <v>0.2301</v>
      </c>
      <c r="F195" s="19" t="n">
        <v>84</v>
      </c>
      <c r="G195" s="19" t="n">
        <v>5</v>
      </c>
      <c r="H195" s="14" t="n">
        <v>14060</v>
      </c>
      <c r="I195" s="14" t="n">
        <v>13703.64</v>
      </c>
      <c r="J195" s="24" t="n">
        <v>0.821</v>
      </c>
      <c r="K195" s="19" t="n">
        <v>0</v>
      </c>
      <c r="L195" s="13" t="str">
        <f aca="false">IF(D195&gt;=Inputs!$C$14,"Near-prime","Non-prime")</f>
        <v>Near-prime</v>
      </c>
      <c r="M195" s="19" t="n">
        <f aca="false">IF(K195&lt;=Inputs!$C$19,1,0)</f>
        <v>1</v>
      </c>
      <c r="N195" s="19" t="n">
        <f aca="false">IF(F195&lt;=Inputs!$C$20,1,0)</f>
        <v>0</v>
      </c>
      <c r="O195" s="19" t="n">
        <f aca="false">IF(J195&lt;=Inputs!$C$21,1,0)</f>
        <v>1</v>
      </c>
      <c r="P195" s="19" t="n">
        <f aca="false">IF(D195&gt;=Inputs!$C$22,1,0)</f>
        <v>1</v>
      </c>
      <c r="Q195" s="19" t="n">
        <f aca="false">IF(I195&lt;=Inputs!$C$23,1,0)</f>
        <v>1</v>
      </c>
      <c r="R195" s="19" t="n">
        <f aca="false">M195*N195*O195*P195*Q195</f>
        <v>0</v>
      </c>
      <c r="S195" s="14" t="n">
        <f aca="false">I195*R195</f>
        <v>0</v>
      </c>
      <c r="T195" s="19" t="n">
        <f aca="false">IF(F195&gt;72,1,0)</f>
        <v>1</v>
      </c>
      <c r="U195" s="19" t="n">
        <f aca="false">IF(J195&gt;1.25,1,0)</f>
        <v>0</v>
      </c>
    </row>
    <row r="196" customFormat="false" ht="15" hidden="false" customHeight="false" outlineLevel="0" collapsed="false">
      <c r="B196" s="13" t="s">
        <v>416</v>
      </c>
      <c r="C196" s="13" t="s">
        <v>217</v>
      </c>
      <c r="D196" s="19" t="n">
        <v>670</v>
      </c>
      <c r="E196" s="23" t="n">
        <v>0.1949</v>
      </c>
      <c r="F196" s="19" t="n">
        <v>48</v>
      </c>
      <c r="G196" s="19" t="n">
        <v>5</v>
      </c>
      <c r="H196" s="14" t="n">
        <v>18950</v>
      </c>
      <c r="I196" s="14" t="n">
        <v>17587.77</v>
      </c>
      <c r="J196" s="24" t="n">
        <v>1.35</v>
      </c>
      <c r="K196" s="19" t="n">
        <v>0</v>
      </c>
      <c r="L196" s="13" t="str">
        <f aca="false">IF(D196&gt;=Inputs!$C$14,"Near-prime","Non-prime")</f>
        <v>Near-prime</v>
      </c>
      <c r="M196" s="19" t="n">
        <f aca="false">IF(K196&lt;=Inputs!$C$19,1,0)</f>
        <v>1</v>
      </c>
      <c r="N196" s="19" t="n">
        <f aca="false">IF(F196&lt;=Inputs!$C$20,1,0)</f>
        <v>1</v>
      </c>
      <c r="O196" s="19" t="n">
        <f aca="false">IF(J196&lt;=Inputs!$C$21,1,0)</f>
        <v>1</v>
      </c>
      <c r="P196" s="19" t="n">
        <f aca="false">IF(D196&gt;=Inputs!$C$22,1,0)</f>
        <v>1</v>
      </c>
      <c r="Q196" s="19" t="n">
        <f aca="false">IF(I196&lt;=Inputs!$C$23,1,0)</f>
        <v>1</v>
      </c>
      <c r="R196" s="19" t="n">
        <f aca="false">M196*N196*O196*P196*Q196</f>
        <v>1</v>
      </c>
      <c r="S196" s="14" t="n">
        <f aca="false">I196*R196</f>
        <v>17587.77</v>
      </c>
      <c r="T196" s="19" t="n">
        <f aca="false">IF(F196&gt;72,1,0)</f>
        <v>0</v>
      </c>
      <c r="U196" s="19" t="n">
        <f aca="false">IF(J196&gt;1.25,1,0)</f>
        <v>1</v>
      </c>
    </row>
    <row r="197" customFormat="false" ht="15" hidden="false" customHeight="false" outlineLevel="0" collapsed="false">
      <c r="B197" s="13" t="s">
        <v>417</v>
      </c>
      <c r="C197" s="13" t="s">
        <v>252</v>
      </c>
      <c r="D197" s="19" t="n">
        <v>665</v>
      </c>
      <c r="E197" s="23" t="n">
        <v>0.2035</v>
      </c>
      <c r="F197" s="19" t="n">
        <v>48</v>
      </c>
      <c r="G197" s="19" t="n">
        <v>8</v>
      </c>
      <c r="H197" s="14" t="n">
        <v>25520</v>
      </c>
      <c r="I197" s="14" t="n">
        <v>22560.17</v>
      </c>
      <c r="J197" s="24" t="n">
        <v>1.192</v>
      </c>
      <c r="K197" s="19" t="n">
        <v>0</v>
      </c>
      <c r="L197" s="13" t="str">
        <f aca="false">IF(D197&gt;=Inputs!$C$14,"Near-prime","Non-prime")</f>
        <v>Near-prime</v>
      </c>
      <c r="M197" s="19" t="n">
        <f aca="false">IF(K197&lt;=Inputs!$C$19,1,0)</f>
        <v>1</v>
      </c>
      <c r="N197" s="19" t="n">
        <f aca="false">IF(F197&lt;=Inputs!$C$20,1,0)</f>
        <v>1</v>
      </c>
      <c r="O197" s="19" t="n">
        <f aca="false">IF(J197&lt;=Inputs!$C$21,1,0)</f>
        <v>1</v>
      </c>
      <c r="P197" s="19" t="n">
        <f aca="false">IF(D197&gt;=Inputs!$C$22,1,0)</f>
        <v>1</v>
      </c>
      <c r="Q197" s="19" t="n">
        <f aca="false">IF(I197&lt;=Inputs!$C$23,1,0)</f>
        <v>1</v>
      </c>
      <c r="R197" s="19" t="n">
        <f aca="false">M197*N197*O197*P197*Q197</f>
        <v>1</v>
      </c>
      <c r="S197" s="14" t="n">
        <f aca="false">I197*R197</f>
        <v>22560.17</v>
      </c>
      <c r="T197" s="19" t="n">
        <f aca="false">IF(F197&gt;72,1,0)</f>
        <v>0</v>
      </c>
      <c r="U197" s="19" t="n">
        <f aca="false">IF(J197&gt;1.25,1,0)</f>
        <v>0</v>
      </c>
    </row>
    <row r="198" customFormat="false" ht="15" hidden="false" customHeight="false" outlineLevel="0" collapsed="false">
      <c r="B198" s="13" t="s">
        <v>418</v>
      </c>
      <c r="C198" s="13" t="s">
        <v>221</v>
      </c>
      <c r="D198" s="19" t="n">
        <v>655</v>
      </c>
      <c r="E198" s="23" t="n">
        <v>0.2198</v>
      </c>
      <c r="F198" s="19" t="n">
        <v>60</v>
      </c>
      <c r="G198" s="19" t="n">
        <v>10</v>
      </c>
      <c r="H198" s="14" t="n">
        <v>36440</v>
      </c>
      <c r="I198" s="14" t="n">
        <v>32761.27</v>
      </c>
      <c r="J198" s="24" t="n">
        <v>1.256</v>
      </c>
      <c r="K198" s="19" t="n">
        <v>0</v>
      </c>
      <c r="L198" s="13" t="str">
        <f aca="false">IF(D198&gt;=Inputs!$C$14,"Near-prime","Non-prime")</f>
        <v>Near-prime</v>
      </c>
      <c r="M198" s="19" t="n">
        <f aca="false">IF(K198&lt;=Inputs!$C$19,1,0)</f>
        <v>1</v>
      </c>
      <c r="N198" s="19" t="n">
        <f aca="false">IF(F198&lt;=Inputs!$C$20,1,0)</f>
        <v>1</v>
      </c>
      <c r="O198" s="19" t="n">
        <f aca="false">IF(J198&lt;=Inputs!$C$21,1,0)</f>
        <v>1</v>
      </c>
      <c r="P198" s="19" t="n">
        <f aca="false">IF(D198&gt;=Inputs!$C$22,1,0)</f>
        <v>1</v>
      </c>
      <c r="Q198" s="19" t="n">
        <f aca="false">IF(I198&lt;=Inputs!$C$23,1,0)</f>
        <v>1</v>
      </c>
      <c r="R198" s="19" t="n">
        <f aca="false">M198*N198*O198*P198*Q198</f>
        <v>1</v>
      </c>
      <c r="S198" s="14" t="n">
        <f aca="false">I198*R198</f>
        <v>32761.27</v>
      </c>
      <c r="T198" s="19" t="n">
        <f aca="false">IF(F198&gt;72,1,0)</f>
        <v>0</v>
      </c>
      <c r="U198" s="19" t="n">
        <f aca="false">IF(J198&gt;1.25,1,0)</f>
        <v>1</v>
      </c>
    </row>
    <row r="199" customFormat="false" ht="15" hidden="false" customHeight="false" outlineLevel="0" collapsed="false">
      <c r="B199" s="13" t="s">
        <v>419</v>
      </c>
      <c r="C199" s="13" t="s">
        <v>252</v>
      </c>
      <c r="D199" s="19" t="n">
        <v>668</v>
      </c>
      <c r="E199" s="23" t="n">
        <v>0.1836</v>
      </c>
      <c r="F199" s="19" t="n">
        <v>66</v>
      </c>
      <c r="G199" s="19" t="n">
        <v>8</v>
      </c>
      <c r="H199" s="14" t="n">
        <v>24350</v>
      </c>
      <c r="I199" s="14" t="n">
        <v>22525.89</v>
      </c>
      <c r="J199" s="24" t="n">
        <v>0.987</v>
      </c>
      <c r="K199" s="19" t="n">
        <v>30</v>
      </c>
      <c r="L199" s="13" t="str">
        <f aca="false">IF(D199&gt;=Inputs!$C$14,"Near-prime","Non-prime")</f>
        <v>Near-prime</v>
      </c>
      <c r="M199" s="19" t="n">
        <f aca="false">IF(K199&lt;=Inputs!$C$19,1,0)</f>
        <v>1</v>
      </c>
      <c r="N199" s="19" t="n">
        <f aca="false">IF(F199&lt;=Inputs!$C$20,1,0)</f>
        <v>1</v>
      </c>
      <c r="O199" s="19" t="n">
        <f aca="false">IF(J199&lt;=Inputs!$C$21,1,0)</f>
        <v>1</v>
      </c>
      <c r="P199" s="19" t="n">
        <f aca="false">IF(D199&gt;=Inputs!$C$22,1,0)</f>
        <v>1</v>
      </c>
      <c r="Q199" s="19" t="n">
        <f aca="false">IF(I199&lt;=Inputs!$C$23,1,0)</f>
        <v>1</v>
      </c>
      <c r="R199" s="19" t="n">
        <f aca="false">M199*N199*O199*P199*Q199</f>
        <v>1</v>
      </c>
      <c r="S199" s="14" t="n">
        <f aca="false">I199*R199</f>
        <v>22525.89</v>
      </c>
      <c r="T199" s="19" t="n">
        <f aca="false">IF(F199&gt;72,1,0)</f>
        <v>0</v>
      </c>
      <c r="U199" s="19" t="n">
        <f aca="false">IF(J199&gt;1.25,1,0)</f>
        <v>0</v>
      </c>
    </row>
    <row r="200" customFormat="false" ht="15" hidden="false" customHeight="false" outlineLevel="0" collapsed="false">
      <c r="B200" s="13" t="s">
        <v>420</v>
      </c>
      <c r="C200" s="13" t="s">
        <v>219</v>
      </c>
      <c r="D200" s="19" t="n">
        <v>557</v>
      </c>
      <c r="E200" s="23" t="n">
        <v>0.2165</v>
      </c>
      <c r="F200" s="19" t="n">
        <v>66</v>
      </c>
      <c r="G200" s="19" t="n">
        <v>6</v>
      </c>
      <c r="H200" s="14" t="n">
        <v>21210</v>
      </c>
      <c r="I200" s="14" t="n">
        <v>20144.7</v>
      </c>
      <c r="J200" s="24" t="n">
        <v>1.16</v>
      </c>
      <c r="K200" s="19" t="n">
        <v>0</v>
      </c>
      <c r="L200" s="13" t="str">
        <f aca="false">IF(D200&gt;=Inputs!$C$14,"Near-prime","Non-prime")</f>
        <v>Non-prime</v>
      </c>
      <c r="M200" s="19" t="n">
        <f aca="false">IF(K200&lt;=Inputs!$C$19,1,0)</f>
        <v>1</v>
      </c>
      <c r="N200" s="19" t="n">
        <f aca="false">IF(F200&lt;=Inputs!$C$20,1,0)</f>
        <v>1</v>
      </c>
      <c r="O200" s="19" t="n">
        <f aca="false">IF(J200&lt;=Inputs!$C$21,1,0)</f>
        <v>1</v>
      </c>
      <c r="P200" s="19" t="n">
        <f aca="false">IF(D200&gt;=Inputs!$C$22,1,0)</f>
        <v>1</v>
      </c>
      <c r="Q200" s="19" t="n">
        <f aca="false">IF(I200&lt;=Inputs!$C$23,1,0)</f>
        <v>1</v>
      </c>
      <c r="R200" s="19" t="n">
        <f aca="false">M200*N200*O200*P200*Q200</f>
        <v>1</v>
      </c>
      <c r="S200" s="14" t="n">
        <f aca="false">I200*R200</f>
        <v>20144.7</v>
      </c>
      <c r="T200" s="19" t="n">
        <f aca="false">IF(F200&gt;72,1,0)</f>
        <v>0</v>
      </c>
      <c r="U200" s="19" t="n">
        <f aca="false">IF(J200&gt;1.25,1,0)</f>
        <v>0</v>
      </c>
    </row>
    <row r="201" customFormat="false" ht="15" hidden="false" customHeight="false" outlineLevel="0" collapsed="false">
      <c r="B201" s="13" t="s">
        <v>421</v>
      </c>
      <c r="C201" s="13" t="s">
        <v>221</v>
      </c>
      <c r="D201" s="19" t="n">
        <v>618</v>
      </c>
      <c r="E201" s="23" t="n">
        <v>0.2206</v>
      </c>
      <c r="F201" s="19" t="n">
        <v>60</v>
      </c>
      <c r="G201" s="19" t="n">
        <v>7</v>
      </c>
      <c r="H201" s="14" t="n">
        <v>16640</v>
      </c>
      <c r="I201" s="14" t="n">
        <v>15498.86</v>
      </c>
      <c r="J201" s="24" t="n">
        <v>1.343</v>
      </c>
      <c r="K201" s="19" t="n">
        <v>0</v>
      </c>
      <c r="L201" s="13" t="str">
        <f aca="false">IF(D201&gt;=Inputs!$C$14,"Near-prime","Non-prime")</f>
        <v>Non-prime</v>
      </c>
      <c r="M201" s="19" t="n">
        <f aca="false">IF(K201&lt;=Inputs!$C$19,1,0)</f>
        <v>1</v>
      </c>
      <c r="N201" s="19" t="n">
        <f aca="false">IF(F201&lt;=Inputs!$C$20,1,0)</f>
        <v>1</v>
      </c>
      <c r="O201" s="19" t="n">
        <f aca="false">IF(J201&lt;=Inputs!$C$21,1,0)</f>
        <v>1</v>
      </c>
      <c r="P201" s="19" t="n">
        <f aca="false">IF(D201&gt;=Inputs!$C$22,1,0)</f>
        <v>1</v>
      </c>
      <c r="Q201" s="19" t="n">
        <f aca="false">IF(I201&lt;=Inputs!$C$23,1,0)</f>
        <v>1</v>
      </c>
      <c r="R201" s="19" t="n">
        <f aca="false">M201*N201*O201*P201*Q201</f>
        <v>1</v>
      </c>
      <c r="S201" s="14" t="n">
        <f aca="false">I201*R201</f>
        <v>15498.86</v>
      </c>
      <c r="T201" s="19" t="n">
        <f aca="false">IF(F201&gt;72,1,0)</f>
        <v>0</v>
      </c>
      <c r="U201" s="19" t="n">
        <f aca="false">IF(J201&gt;1.25,1,0)</f>
        <v>1</v>
      </c>
    </row>
    <row r="202" customFormat="false" ht="15" hidden="false" customHeight="false" outlineLevel="0" collapsed="false">
      <c r="B202" s="13" t="s">
        <v>422</v>
      </c>
      <c r="C202" s="13" t="s">
        <v>228</v>
      </c>
      <c r="D202" s="19" t="n">
        <v>704</v>
      </c>
      <c r="E202" s="23" t="n">
        <v>0.2127</v>
      </c>
      <c r="F202" s="19" t="n">
        <v>72</v>
      </c>
      <c r="G202" s="19" t="n">
        <v>9</v>
      </c>
      <c r="H202" s="14" t="n">
        <v>38010</v>
      </c>
      <c r="I202" s="14" t="n">
        <v>35449.53</v>
      </c>
      <c r="J202" s="24" t="n">
        <v>0.979</v>
      </c>
      <c r="K202" s="19" t="n">
        <v>0</v>
      </c>
      <c r="L202" s="13" t="str">
        <f aca="false">IF(D202&gt;=Inputs!$C$14,"Near-prime","Non-prime")</f>
        <v>Near-prime</v>
      </c>
      <c r="M202" s="19" t="n">
        <f aca="false">IF(K202&lt;=Inputs!$C$19,1,0)</f>
        <v>1</v>
      </c>
      <c r="N202" s="19" t="n">
        <f aca="false">IF(F202&lt;=Inputs!$C$20,1,0)</f>
        <v>1</v>
      </c>
      <c r="O202" s="19" t="n">
        <f aca="false">IF(J202&lt;=Inputs!$C$21,1,0)</f>
        <v>1</v>
      </c>
      <c r="P202" s="19" t="n">
        <f aca="false">IF(D202&gt;=Inputs!$C$22,1,0)</f>
        <v>1</v>
      </c>
      <c r="Q202" s="19" t="n">
        <f aca="false">IF(I202&lt;=Inputs!$C$23,1,0)</f>
        <v>1</v>
      </c>
      <c r="R202" s="19" t="n">
        <f aca="false">M202*N202*O202*P202*Q202</f>
        <v>1</v>
      </c>
      <c r="S202" s="14" t="n">
        <f aca="false">I202*R202</f>
        <v>35449.53</v>
      </c>
      <c r="T202" s="19" t="n">
        <f aca="false">IF(F202&gt;72,1,0)</f>
        <v>0</v>
      </c>
      <c r="U202" s="19" t="n">
        <f aca="false">IF(J202&gt;1.25,1,0)</f>
        <v>0</v>
      </c>
    </row>
    <row r="203" customFormat="false" ht="15" hidden="false" customHeight="false" outlineLevel="0" collapsed="false">
      <c r="B203" s="13" t="s">
        <v>423</v>
      </c>
      <c r="C203" s="13" t="s">
        <v>217</v>
      </c>
      <c r="D203" s="19" t="n">
        <v>632</v>
      </c>
      <c r="E203" s="23" t="n">
        <v>0.2027</v>
      </c>
      <c r="F203" s="19" t="n">
        <v>60</v>
      </c>
      <c r="G203" s="19" t="n">
        <v>6</v>
      </c>
      <c r="H203" s="14" t="n">
        <v>26230</v>
      </c>
      <c r="I203" s="14" t="n">
        <v>24628.83</v>
      </c>
      <c r="J203" s="24" t="n">
        <v>1.22</v>
      </c>
      <c r="K203" s="19" t="n">
        <v>0</v>
      </c>
      <c r="L203" s="13" t="str">
        <f aca="false">IF(D203&gt;=Inputs!$C$14,"Near-prime","Non-prime")</f>
        <v>Near-prime</v>
      </c>
      <c r="M203" s="19" t="n">
        <f aca="false">IF(K203&lt;=Inputs!$C$19,1,0)</f>
        <v>1</v>
      </c>
      <c r="N203" s="19" t="n">
        <f aca="false">IF(F203&lt;=Inputs!$C$20,1,0)</f>
        <v>1</v>
      </c>
      <c r="O203" s="19" t="n">
        <f aca="false">IF(J203&lt;=Inputs!$C$21,1,0)</f>
        <v>1</v>
      </c>
      <c r="P203" s="19" t="n">
        <f aca="false">IF(D203&gt;=Inputs!$C$22,1,0)</f>
        <v>1</v>
      </c>
      <c r="Q203" s="19" t="n">
        <f aca="false">IF(I203&lt;=Inputs!$C$23,1,0)</f>
        <v>1</v>
      </c>
      <c r="R203" s="19" t="n">
        <f aca="false">M203*N203*O203*P203*Q203</f>
        <v>1</v>
      </c>
      <c r="S203" s="14" t="n">
        <f aca="false">I203*R203</f>
        <v>24628.83</v>
      </c>
      <c r="T203" s="19" t="n">
        <f aca="false">IF(F203&gt;72,1,0)</f>
        <v>0</v>
      </c>
      <c r="U203" s="19" t="n">
        <f aca="false">IF(J203&gt;1.25,1,0)</f>
        <v>0</v>
      </c>
    </row>
    <row r="204" customFormat="false" ht="15" hidden="false" customHeight="false" outlineLevel="0" collapsed="false">
      <c r="B204" s="13" t="s">
        <v>424</v>
      </c>
      <c r="C204" s="13" t="s">
        <v>223</v>
      </c>
      <c r="D204" s="19" t="n">
        <v>683</v>
      </c>
      <c r="E204" s="23" t="n">
        <v>0.2062</v>
      </c>
      <c r="F204" s="19" t="n">
        <v>60</v>
      </c>
      <c r="G204" s="19" t="n">
        <v>8</v>
      </c>
      <c r="H204" s="14" t="n">
        <v>30920</v>
      </c>
      <c r="I204" s="14" t="n">
        <v>28382.61</v>
      </c>
      <c r="J204" s="24" t="n">
        <v>1.319</v>
      </c>
      <c r="K204" s="19" t="n">
        <v>0</v>
      </c>
      <c r="L204" s="13" t="str">
        <f aca="false">IF(D204&gt;=Inputs!$C$14,"Near-prime","Non-prime")</f>
        <v>Near-prime</v>
      </c>
      <c r="M204" s="19" t="n">
        <f aca="false">IF(K204&lt;=Inputs!$C$19,1,0)</f>
        <v>1</v>
      </c>
      <c r="N204" s="19" t="n">
        <f aca="false">IF(F204&lt;=Inputs!$C$20,1,0)</f>
        <v>1</v>
      </c>
      <c r="O204" s="19" t="n">
        <f aca="false">IF(J204&lt;=Inputs!$C$21,1,0)</f>
        <v>1</v>
      </c>
      <c r="P204" s="19" t="n">
        <f aca="false">IF(D204&gt;=Inputs!$C$22,1,0)</f>
        <v>1</v>
      </c>
      <c r="Q204" s="19" t="n">
        <f aca="false">IF(I204&lt;=Inputs!$C$23,1,0)</f>
        <v>1</v>
      </c>
      <c r="R204" s="19" t="n">
        <f aca="false">M204*N204*O204*P204*Q204</f>
        <v>1</v>
      </c>
      <c r="S204" s="14" t="n">
        <f aca="false">I204*R204</f>
        <v>28382.61</v>
      </c>
      <c r="T204" s="19" t="n">
        <f aca="false">IF(F204&gt;72,1,0)</f>
        <v>0</v>
      </c>
      <c r="U204" s="19" t="n">
        <f aca="false">IF(J204&gt;1.25,1,0)</f>
        <v>1</v>
      </c>
    </row>
    <row r="205" customFormat="false" ht="15" hidden="false" customHeight="false" outlineLevel="0" collapsed="false">
      <c r="B205" s="13" t="s">
        <v>425</v>
      </c>
      <c r="C205" s="13" t="s">
        <v>223</v>
      </c>
      <c r="D205" s="19" t="n">
        <v>672</v>
      </c>
      <c r="E205" s="23" t="n">
        <v>0.188</v>
      </c>
      <c r="F205" s="19" t="n">
        <v>66</v>
      </c>
      <c r="G205" s="19" t="n">
        <v>8</v>
      </c>
      <c r="H205" s="14" t="n">
        <v>16660</v>
      </c>
      <c r="I205" s="14" t="n">
        <v>15427.37</v>
      </c>
      <c r="J205" s="24" t="n">
        <v>1.396</v>
      </c>
      <c r="K205" s="19" t="n">
        <v>0</v>
      </c>
      <c r="L205" s="13" t="str">
        <f aca="false">IF(D205&gt;=Inputs!$C$14,"Near-prime","Non-prime")</f>
        <v>Near-prime</v>
      </c>
      <c r="M205" s="19" t="n">
        <f aca="false">IF(K205&lt;=Inputs!$C$19,1,0)</f>
        <v>1</v>
      </c>
      <c r="N205" s="19" t="n">
        <f aca="false">IF(F205&lt;=Inputs!$C$20,1,0)</f>
        <v>1</v>
      </c>
      <c r="O205" s="19" t="n">
        <f aca="false">IF(J205&lt;=Inputs!$C$21,1,0)</f>
        <v>1</v>
      </c>
      <c r="P205" s="19" t="n">
        <f aca="false">IF(D205&gt;=Inputs!$C$22,1,0)</f>
        <v>1</v>
      </c>
      <c r="Q205" s="19" t="n">
        <f aca="false">IF(I205&lt;=Inputs!$C$23,1,0)</f>
        <v>1</v>
      </c>
      <c r="R205" s="19" t="n">
        <f aca="false">M205*N205*O205*P205*Q205</f>
        <v>1</v>
      </c>
      <c r="S205" s="14" t="n">
        <f aca="false">I205*R205</f>
        <v>15427.37</v>
      </c>
      <c r="T205" s="19" t="n">
        <f aca="false">IF(F205&gt;72,1,0)</f>
        <v>0</v>
      </c>
      <c r="U205" s="19" t="n">
        <f aca="false">IF(J205&gt;1.25,1,0)</f>
        <v>1</v>
      </c>
    </row>
    <row r="206" customFormat="false" ht="15" hidden="false" customHeight="false" outlineLevel="0" collapsed="false">
      <c r="B206" s="13" t="s">
        <v>426</v>
      </c>
      <c r="C206" s="13" t="s">
        <v>226</v>
      </c>
      <c r="D206" s="19" t="n">
        <v>520</v>
      </c>
      <c r="E206" s="23" t="n">
        <v>0.2418</v>
      </c>
      <c r="F206" s="19" t="n">
        <v>66</v>
      </c>
      <c r="G206" s="19" t="n">
        <v>8</v>
      </c>
      <c r="H206" s="14" t="n">
        <v>15470</v>
      </c>
      <c r="I206" s="14" t="n">
        <v>14489.81</v>
      </c>
      <c r="J206" s="24" t="n">
        <v>0.883</v>
      </c>
      <c r="K206" s="19" t="n">
        <v>0</v>
      </c>
      <c r="L206" s="13" t="str">
        <f aca="false">IF(D206&gt;=Inputs!$C$14,"Near-prime","Non-prime")</f>
        <v>Non-prime</v>
      </c>
      <c r="M206" s="19" t="n">
        <f aca="false">IF(K206&lt;=Inputs!$C$19,1,0)</f>
        <v>1</v>
      </c>
      <c r="N206" s="19" t="n">
        <f aca="false">IF(F206&lt;=Inputs!$C$20,1,0)</f>
        <v>1</v>
      </c>
      <c r="O206" s="19" t="n">
        <f aca="false">IF(J206&lt;=Inputs!$C$21,1,0)</f>
        <v>1</v>
      </c>
      <c r="P206" s="19" t="n">
        <f aca="false">IF(D206&gt;=Inputs!$C$22,1,0)</f>
        <v>0</v>
      </c>
      <c r="Q206" s="19" t="n">
        <f aca="false">IF(I206&lt;=Inputs!$C$23,1,0)</f>
        <v>1</v>
      </c>
      <c r="R206" s="19" t="n">
        <f aca="false">M206*N206*O206*P206*Q206</f>
        <v>0</v>
      </c>
      <c r="S206" s="14" t="n">
        <f aca="false">I206*R206</f>
        <v>0</v>
      </c>
      <c r="T206" s="19" t="n">
        <f aca="false">IF(F206&gt;72,1,0)</f>
        <v>0</v>
      </c>
      <c r="U206" s="19" t="n">
        <f aca="false">IF(J206&gt;1.25,1,0)</f>
        <v>0</v>
      </c>
    </row>
    <row r="207" customFormat="false" ht="15" hidden="false" customHeight="false" outlineLevel="0" collapsed="false">
      <c r="B207" s="13" t="s">
        <v>427</v>
      </c>
      <c r="C207" s="13" t="s">
        <v>219</v>
      </c>
      <c r="D207" s="19" t="n">
        <v>579</v>
      </c>
      <c r="E207" s="23" t="n">
        <v>0.2412</v>
      </c>
      <c r="F207" s="19" t="n">
        <v>66</v>
      </c>
      <c r="G207" s="19" t="n">
        <v>0</v>
      </c>
      <c r="H207" s="14" t="n">
        <v>26200</v>
      </c>
      <c r="I207" s="14" t="n">
        <v>26200</v>
      </c>
      <c r="J207" s="24" t="n">
        <v>0.901</v>
      </c>
      <c r="K207" s="19" t="n">
        <v>0</v>
      </c>
      <c r="L207" s="13" t="str">
        <f aca="false">IF(D207&gt;=Inputs!$C$14,"Near-prime","Non-prime")</f>
        <v>Non-prime</v>
      </c>
      <c r="M207" s="19" t="n">
        <f aca="false">IF(K207&lt;=Inputs!$C$19,1,0)</f>
        <v>1</v>
      </c>
      <c r="N207" s="19" t="n">
        <f aca="false">IF(F207&lt;=Inputs!$C$20,1,0)</f>
        <v>1</v>
      </c>
      <c r="O207" s="19" t="n">
        <f aca="false">IF(J207&lt;=Inputs!$C$21,1,0)</f>
        <v>1</v>
      </c>
      <c r="P207" s="19" t="n">
        <f aca="false">IF(D207&gt;=Inputs!$C$22,1,0)</f>
        <v>1</v>
      </c>
      <c r="Q207" s="19" t="n">
        <f aca="false">IF(I207&lt;=Inputs!$C$23,1,0)</f>
        <v>1</v>
      </c>
      <c r="R207" s="19" t="n">
        <f aca="false">M207*N207*O207*P207*Q207</f>
        <v>1</v>
      </c>
      <c r="S207" s="14" t="n">
        <f aca="false">I207*R207</f>
        <v>26200</v>
      </c>
      <c r="T207" s="19" t="n">
        <f aca="false">IF(F207&gt;72,1,0)</f>
        <v>0</v>
      </c>
      <c r="U207" s="19" t="n">
        <f aca="false">IF(J207&gt;1.25,1,0)</f>
        <v>0</v>
      </c>
    </row>
    <row r="208" customFormat="false" ht="15" hidden="false" customHeight="false" outlineLevel="0" collapsed="false">
      <c r="B208" s="13" t="s">
        <v>428</v>
      </c>
      <c r="C208" s="13" t="s">
        <v>217</v>
      </c>
      <c r="D208" s="19" t="n">
        <v>612</v>
      </c>
      <c r="E208" s="23" t="n">
        <v>0.2115</v>
      </c>
      <c r="F208" s="19" t="n">
        <v>60</v>
      </c>
      <c r="G208" s="19" t="n">
        <v>0</v>
      </c>
      <c r="H208" s="14" t="n">
        <v>24940</v>
      </c>
      <c r="I208" s="14" t="n">
        <v>24940</v>
      </c>
      <c r="J208" s="24" t="n">
        <v>0.948</v>
      </c>
      <c r="K208" s="19" t="n">
        <v>0</v>
      </c>
      <c r="L208" s="13" t="str">
        <f aca="false">IF(D208&gt;=Inputs!$C$14,"Near-prime","Non-prime")</f>
        <v>Non-prime</v>
      </c>
      <c r="M208" s="19" t="n">
        <f aca="false">IF(K208&lt;=Inputs!$C$19,1,0)</f>
        <v>1</v>
      </c>
      <c r="N208" s="19" t="n">
        <f aca="false">IF(F208&lt;=Inputs!$C$20,1,0)</f>
        <v>1</v>
      </c>
      <c r="O208" s="19" t="n">
        <f aca="false">IF(J208&lt;=Inputs!$C$21,1,0)</f>
        <v>1</v>
      </c>
      <c r="P208" s="19" t="n">
        <f aca="false">IF(D208&gt;=Inputs!$C$22,1,0)</f>
        <v>1</v>
      </c>
      <c r="Q208" s="19" t="n">
        <f aca="false">IF(I208&lt;=Inputs!$C$23,1,0)</f>
        <v>1</v>
      </c>
      <c r="R208" s="19" t="n">
        <f aca="false">M208*N208*O208*P208*Q208</f>
        <v>1</v>
      </c>
      <c r="S208" s="14" t="n">
        <f aca="false">I208*R208</f>
        <v>24940</v>
      </c>
      <c r="T208" s="19" t="n">
        <f aca="false">IF(F208&gt;72,1,0)</f>
        <v>0</v>
      </c>
      <c r="U208" s="19" t="n">
        <f aca="false">IF(J208&gt;1.25,1,0)</f>
        <v>0</v>
      </c>
    </row>
    <row r="209" customFormat="false" ht="15" hidden="false" customHeight="false" outlineLevel="0" collapsed="false">
      <c r="B209" s="13" t="s">
        <v>429</v>
      </c>
      <c r="C209" s="13" t="s">
        <v>237</v>
      </c>
      <c r="D209" s="19" t="n">
        <v>612</v>
      </c>
      <c r="E209" s="23" t="n">
        <v>0.2095</v>
      </c>
      <c r="F209" s="19" t="n">
        <v>66</v>
      </c>
      <c r="G209" s="19" t="n">
        <v>6</v>
      </c>
      <c r="H209" s="14" t="n">
        <v>36810</v>
      </c>
      <c r="I209" s="14" t="n">
        <v>34922.41</v>
      </c>
      <c r="J209" s="24" t="n">
        <v>1.08</v>
      </c>
      <c r="K209" s="19" t="n">
        <v>0</v>
      </c>
      <c r="L209" s="13" t="str">
        <f aca="false">IF(D209&gt;=Inputs!$C$14,"Near-prime","Non-prime")</f>
        <v>Non-prime</v>
      </c>
      <c r="M209" s="19" t="n">
        <f aca="false">IF(K209&lt;=Inputs!$C$19,1,0)</f>
        <v>1</v>
      </c>
      <c r="N209" s="19" t="n">
        <f aca="false">IF(F209&lt;=Inputs!$C$20,1,0)</f>
        <v>1</v>
      </c>
      <c r="O209" s="19" t="n">
        <f aca="false">IF(J209&lt;=Inputs!$C$21,1,0)</f>
        <v>1</v>
      </c>
      <c r="P209" s="19" t="n">
        <f aca="false">IF(D209&gt;=Inputs!$C$22,1,0)</f>
        <v>1</v>
      </c>
      <c r="Q209" s="19" t="n">
        <f aca="false">IF(I209&lt;=Inputs!$C$23,1,0)</f>
        <v>1</v>
      </c>
      <c r="R209" s="19" t="n">
        <f aca="false">M209*N209*O209*P209*Q209</f>
        <v>1</v>
      </c>
      <c r="S209" s="14" t="n">
        <f aca="false">I209*R209</f>
        <v>34922.41</v>
      </c>
      <c r="T209" s="19" t="n">
        <f aca="false">IF(F209&gt;72,1,0)</f>
        <v>0</v>
      </c>
      <c r="U209" s="19" t="n">
        <f aca="false">IF(J209&gt;1.25,1,0)</f>
        <v>0</v>
      </c>
    </row>
    <row r="210" customFormat="false" ht="15" hidden="false" customHeight="false" outlineLevel="0" collapsed="false">
      <c r="B210" s="13" t="s">
        <v>430</v>
      </c>
      <c r="C210" s="13" t="s">
        <v>226</v>
      </c>
      <c r="D210" s="19" t="n">
        <v>624</v>
      </c>
      <c r="E210" s="23" t="n">
        <v>0.228</v>
      </c>
      <c r="F210" s="19" t="n">
        <v>60</v>
      </c>
      <c r="G210" s="19" t="n">
        <v>1</v>
      </c>
      <c r="H210" s="14" t="n">
        <v>19020</v>
      </c>
      <c r="I210" s="14" t="n">
        <v>18847.38</v>
      </c>
      <c r="J210" s="24" t="n">
        <v>1.06</v>
      </c>
      <c r="K210" s="19" t="n">
        <v>0</v>
      </c>
      <c r="L210" s="13" t="str">
        <f aca="false">IF(D210&gt;=Inputs!$C$14,"Near-prime","Non-prime")</f>
        <v>Near-prime</v>
      </c>
      <c r="M210" s="19" t="n">
        <f aca="false">IF(K210&lt;=Inputs!$C$19,1,0)</f>
        <v>1</v>
      </c>
      <c r="N210" s="19" t="n">
        <f aca="false">IF(F210&lt;=Inputs!$C$20,1,0)</f>
        <v>1</v>
      </c>
      <c r="O210" s="19" t="n">
        <f aca="false">IF(J210&lt;=Inputs!$C$21,1,0)</f>
        <v>1</v>
      </c>
      <c r="P210" s="19" t="n">
        <f aca="false">IF(D210&gt;=Inputs!$C$22,1,0)</f>
        <v>1</v>
      </c>
      <c r="Q210" s="19" t="n">
        <f aca="false">IF(I210&lt;=Inputs!$C$23,1,0)</f>
        <v>1</v>
      </c>
      <c r="R210" s="19" t="n">
        <f aca="false">M210*N210*O210*P210*Q210</f>
        <v>1</v>
      </c>
      <c r="S210" s="14" t="n">
        <f aca="false">I210*R210</f>
        <v>18847.38</v>
      </c>
      <c r="T210" s="19" t="n">
        <f aca="false">IF(F210&gt;72,1,0)</f>
        <v>0</v>
      </c>
      <c r="U210" s="19" t="n">
        <f aca="false">IF(J210&gt;1.25,1,0)</f>
        <v>0</v>
      </c>
    </row>
    <row r="211" customFormat="false" ht="15" hidden="false" customHeight="false" outlineLevel="0" collapsed="false">
      <c r="B211" s="13" t="s">
        <v>431</v>
      </c>
      <c r="C211" s="13" t="s">
        <v>226</v>
      </c>
      <c r="D211" s="19" t="n">
        <v>625</v>
      </c>
      <c r="E211" s="23" t="n">
        <v>0.2205</v>
      </c>
      <c r="F211" s="19" t="n">
        <v>60</v>
      </c>
      <c r="G211" s="19" t="n">
        <v>10</v>
      </c>
      <c r="H211" s="14" t="n">
        <v>22010</v>
      </c>
      <c r="I211" s="14" t="n">
        <v>19791.86</v>
      </c>
      <c r="J211" s="24" t="n">
        <v>1.103</v>
      </c>
      <c r="K211" s="19" t="n">
        <v>0</v>
      </c>
      <c r="L211" s="13" t="str">
        <f aca="false">IF(D211&gt;=Inputs!$C$14,"Near-prime","Non-prime")</f>
        <v>Near-prime</v>
      </c>
      <c r="M211" s="19" t="n">
        <f aca="false">IF(K211&lt;=Inputs!$C$19,1,0)</f>
        <v>1</v>
      </c>
      <c r="N211" s="19" t="n">
        <f aca="false">IF(F211&lt;=Inputs!$C$20,1,0)</f>
        <v>1</v>
      </c>
      <c r="O211" s="19" t="n">
        <f aca="false">IF(J211&lt;=Inputs!$C$21,1,0)</f>
        <v>1</v>
      </c>
      <c r="P211" s="19" t="n">
        <f aca="false">IF(D211&gt;=Inputs!$C$22,1,0)</f>
        <v>1</v>
      </c>
      <c r="Q211" s="19" t="n">
        <f aca="false">IF(I211&lt;=Inputs!$C$23,1,0)</f>
        <v>1</v>
      </c>
      <c r="R211" s="19" t="n">
        <f aca="false">M211*N211*O211*P211*Q211</f>
        <v>1</v>
      </c>
      <c r="S211" s="14" t="n">
        <f aca="false">I211*R211</f>
        <v>19791.86</v>
      </c>
      <c r="T211" s="19" t="n">
        <f aca="false">IF(F211&gt;72,1,0)</f>
        <v>0</v>
      </c>
      <c r="U211" s="19" t="n">
        <f aca="false">IF(J211&gt;1.25,1,0)</f>
        <v>0</v>
      </c>
    </row>
    <row r="212" customFormat="false" ht="15" hidden="false" customHeight="false" outlineLevel="0" collapsed="false">
      <c r="B212" s="13" t="s">
        <v>432</v>
      </c>
      <c r="C212" s="13" t="s">
        <v>217</v>
      </c>
      <c r="D212" s="19" t="n">
        <v>605</v>
      </c>
      <c r="E212" s="23" t="n">
        <v>0.2285</v>
      </c>
      <c r="F212" s="19" t="n">
        <v>60</v>
      </c>
      <c r="G212" s="19" t="n">
        <v>6</v>
      </c>
      <c r="H212" s="14" t="n">
        <v>19960</v>
      </c>
      <c r="I212" s="14" t="n">
        <v>18821.65</v>
      </c>
      <c r="J212" s="24" t="n">
        <v>1.16</v>
      </c>
      <c r="K212" s="19" t="n">
        <v>0</v>
      </c>
      <c r="L212" s="13" t="str">
        <f aca="false">IF(D212&gt;=Inputs!$C$14,"Near-prime","Non-prime")</f>
        <v>Non-prime</v>
      </c>
      <c r="M212" s="19" t="n">
        <f aca="false">IF(K212&lt;=Inputs!$C$19,1,0)</f>
        <v>1</v>
      </c>
      <c r="N212" s="19" t="n">
        <f aca="false">IF(F212&lt;=Inputs!$C$20,1,0)</f>
        <v>1</v>
      </c>
      <c r="O212" s="19" t="n">
        <f aca="false">IF(J212&lt;=Inputs!$C$21,1,0)</f>
        <v>1</v>
      </c>
      <c r="P212" s="19" t="n">
        <f aca="false">IF(D212&gt;=Inputs!$C$22,1,0)</f>
        <v>1</v>
      </c>
      <c r="Q212" s="19" t="n">
        <f aca="false">IF(I212&lt;=Inputs!$C$23,1,0)</f>
        <v>1</v>
      </c>
      <c r="R212" s="19" t="n">
        <f aca="false">M212*N212*O212*P212*Q212</f>
        <v>1</v>
      </c>
      <c r="S212" s="14" t="n">
        <f aca="false">I212*R212</f>
        <v>18821.65</v>
      </c>
      <c r="T212" s="19" t="n">
        <f aca="false">IF(F212&gt;72,1,0)</f>
        <v>0</v>
      </c>
      <c r="U212" s="19" t="n">
        <f aca="false">IF(J212&gt;1.25,1,0)</f>
        <v>0</v>
      </c>
    </row>
    <row r="213" customFormat="false" ht="15" hidden="false" customHeight="false" outlineLevel="0" collapsed="false">
      <c r="B213" s="13" t="s">
        <v>433</v>
      </c>
      <c r="C213" s="13" t="s">
        <v>217</v>
      </c>
      <c r="D213" s="19" t="n">
        <v>612</v>
      </c>
      <c r="E213" s="23" t="n">
        <v>0.2292</v>
      </c>
      <c r="F213" s="19" t="n">
        <v>72</v>
      </c>
      <c r="G213" s="19" t="n">
        <v>3</v>
      </c>
      <c r="H213" s="14" t="n">
        <v>34510</v>
      </c>
      <c r="I213" s="14" t="n">
        <v>33816.2</v>
      </c>
      <c r="J213" s="24" t="n">
        <v>0.951</v>
      </c>
      <c r="K213" s="19" t="n">
        <v>0</v>
      </c>
      <c r="L213" s="13" t="str">
        <f aca="false">IF(D213&gt;=Inputs!$C$14,"Near-prime","Non-prime")</f>
        <v>Non-prime</v>
      </c>
      <c r="M213" s="19" t="n">
        <f aca="false">IF(K213&lt;=Inputs!$C$19,1,0)</f>
        <v>1</v>
      </c>
      <c r="N213" s="19" t="n">
        <f aca="false">IF(F213&lt;=Inputs!$C$20,1,0)</f>
        <v>1</v>
      </c>
      <c r="O213" s="19" t="n">
        <f aca="false">IF(J213&lt;=Inputs!$C$21,1,0)</f>
        <v>1</v>
      </c>
      <c r="P213" s="19" t="n">
        <f aca="false">IF(D213&gt;=Inputs!$C$22,1,0)</f>
        <v>1</v>
      </c>
      <c r="Q213" s="19" t="n">
        <f aca="false">IF(I213&lt;=Inputs!$C$23,1,0)</f>
        <v>1</v>
      </c>
      <c r="R213" s="19" t="n">
        <f aca="false">M213*N213*O213*P213*Q213</f>
        <v>1</v>
      </c>
      <c r="S213" s="14" t="n">
        <f aca="false">I213*R213</f>
        <v>33816.2</v>
      </c>
      <c r="T213" s="19" t="n">
        <f aca="false">IF(F213&gt;72,1,0)</f>
        <v>0</v>
      </c>
      <c r="U213" s="19" t="n">
        <f aca="false">IF(J213&gt;1.25,1,0)</f>
        <v>0</v>
      </c>
    </row>
    <row r="214" customFormat="false" ht="15" hidden="false" customHeight="false" outlineLevel="0" collapsed="false">
      <c r="B214" s="13" t="s">
        <v>434</v>
      </c>
      <c r="C214" s="13" t="s">
        <v>228</v>
      </c>
      <c r="D214" s="19" t="n">
        <v>545</v>
      </c>
      <c r="E214" s="23" t="n">
        <v>0.2286</v>
      </c>
      <c r="F214" s="19" t="n">
        <v>84</v>
      </c>
      <c r="G214" s="19" t="n">
        <v>5</v>
      </c>
      <c r="H214" s="14" t="n">
        <v>18060</v>
      </c>
      <c r="I214" s="14" t="n">
        <v>17599.43</v>
      </c>
      <c r="J214" s="24" t="n">
        <v>1.177</v>
      </c>
      <c r="K214" s="19" t="n">
        <v>0</v>
      </c>
      <c r="L214" s="13" t="str">
        <f aca="false">IF(D214&gt;=Inputs!$C$14,"Near-prime","Non-prime")</f>
        <v>Non-prime</v>
      </c>
      <c r="M214" s="19" t="n">
        <f aca="false">IF(K214&lt;=Inputs!$C$19,1,0)</f>
        <v>1</v>
      </c>
      <c r="N214" s="19" t="n">
        <f aca="false">IF(F214&lt;=Inputs!$C$20,1,0)</f>
        <v>0</v>
      </c>
      <c r="O214" s="19" t="n">
        <f aca="false">IF(J214&lt;=Inputs!$C$21,1,0)</f>
        <v>1</v>
      </c>
      <c r="P214" s="19" t="n">
        <f aca="false">IF(D214&gt;=Inputs!$C$22,1,0)</f>
        <v>1</v>
      </c>
      <c r="Q214" s="19" t="n">
        <f aca="false">IF(I214&lt;=Inputs!$C$23,1,0)</f>
        <v>1</v>
      </c>
      <c r="R214" s="19" t="n">
        <f aca="false">M214*N214*O214*P214*Q214</f>
        <v>0</v>
      </c>
      <c r="S214" s="14" t="n">
        <f aca="false">I214*R214</f>
        <v>0</v>
      </c>
      <c r="T214" s="19" t="n">
        <f aca="false">IF(F214&gt;72,1,0)</f>
        <v>1</v>
      </c>
      <c r="U214" s="19" t="n">
        <f aca="false">IF(J214&gt;1.25,1,0)</f>
        <v>0</v>
      </c>
    </row>
    <row r="215" customFormat="false" ht="15" hidden="false" customHeight="false" outlineLevel="0" collapsed="false">
      <c r="B215" s="13" t="s">
        <v>435</v>
      </c>
      <c r="C215" s="13" t="s">
        <v>257</v>
      </c>
      <c r="D215" s="19" t="n">
        <v>748</v>
      </c>
      <c r="E215" s="23" t="n">
        <v>0.1971</v>
      </c>
      <c r="F215" s="19" t="n">
        <v>66</v>
      </c>
      <c r="G215" s="19" t="n">
        <v>8</v>
      </c>
      <c r="H215" s="14" t="n">
        <v>31470</v>
      </c>
      <c r="I215" s="14" t="n">
        <v>29200.96</v>
      </c>
      <c r="J215" s="24" t="n">
        <v>0.898</v>
      </c>
      <c r="K215" s="19" t="n">
        <v>15</v>
      </c>
      <c r="L215" s="13" t="str">
        <f aca="false">IF(D215&gt;=Inputs!$C$14,"Near-prime","Non-prime")</f>
        <v>Near-prime</v>
      </c>
      <c r="M215" s="19" t="n">
        <f aca="false">IF(K215&lt;=Inputs!$C$19,1,0)</f>
        <v>1</v>
      </c>
      <c r="N215" s="19" t="n">
        <f aca="false">IF(F215&lt;=Inputs!$C$20,1,0)</f>
        <v>1</v>
      </c>
      <c r="O215" s="19" t="n">
        <f aca="false">IF(J215&lt;=Inputs!$C$21,1,0)</f>
        <v>1</v>
      </c>
      <c r="P215" s="19" t="n">
        <f aca="false">IF(D215&gt;=Inputs!$C$22,1,0)</f>
        <v>1</v>
      </c>
      <c r="Q215" s="19" t="n">
        <f aca="false">IF(I215&lt;=Inputs!$C$23,1,0)</f>
        <v>1</v>
      </c>
      <c r="R215" s="19" t="n">
        <f aca="false">M215*N215*O215*P215*Q215</f>
        <v>1</v>
      </c>
      <c r="S215" s="14" t="n">
        <f aca="false">I215*R215</f>
        <v>29200.96</v>
      </c>
      <c r="T215" s="19" t="n">
        <f aca="false">IF(F215&gt;72,1,0)</f>
        <v>0</v>
      </c>
      <c r="U215" s="19" t="n">
        <f aca="false">IF(J215&gt;1.25,1,0)</f>
        <v>0</v>
      </c>
    </row>
    <row r="216" customFormat="false" ht="15" hidden="false" customHeight="false" outlineLevel="0" collapsed="false">
      <c r="B216" s="13" t="s">
        <v>436</v>
      </c>
      <c r="C216" s="13" t="s">
        <v>217</v>
      </c>
      <c r="D216" s="19" t="n">
        <v>719</v>
      </c>
      <c r="E216" s="23" t="n">
        <v>0.2132</v>
      </c>
      <c r="F216" s="19" t="n">
        <v>66</v>
      </c>
      <c r="G216" s="19" t="n">
        <v>3</v>
      </c>
      <c r="H216" s="14" t="n">
        <v>23520</v>
      </c>
      <c r="I216" s="14" t="n">
        <v>22939.28</v>
      </c>
      <c r="J216" s="24" t="n">
        <v>1.049</v>
      </c>
      <c r="K216" s="19" t="n">
        <v>0</v>
      </c>
      <c r="L216" s="13" t="str">
        <f aca="false">IF(D216&gt;=Inputs!$C$14,"Near-prime","Non-prime")</f>
        <v>Near-prime</v>
      </c>
      <c r="M216" s="19" t="n">
        <f aca="false">IF(K216&lt;=Inputs!$C$19,1,0)</f>
        <v>1</v>
      </c>
      <c r="N216" s="19" t="n">
        <f aca="false">IF(F216&lt;=Inputs!$C$20,1,0)</f>
        <v>1</v>
      </c>
      <c r="O216" s="19" t="n">
        <f aca="false">IF(J216&lt;=Inputs!$C$21,1,0)</f>
        <v>1</v>
      </c>
      <c r="P216" s="19" t="n">
        <f aca="false">IF(D216&gt;=Inputs!$C$22,1,0)</f>
        <v>1</v>
      </c>
      <c r="Q216" s="19" t="n">
        <f aca="false">IF(I216&lt;=Inputs!$C$23,1,0)</f>
        <v>1</v>
      </c>
      <c r="R216" s="19" t="n">
        <f aca="false">M216*N216*O216*P216*Q216</f>
        <v>1</v>
      </c>
      <c r="S216" s="14" t="n">
        <f aca="false">I216*R216</f>
        <v>22939.28</v>
      </c>
      <c r="T216" s="19" t="n">
        <f aca="false">IF(F216&gt;72,1,0)</f>
        <v>0</v>
      </c>
      <c r="U216" s="19" t="n">
        <f aca="false">IF(J216&gt;1.25,1,0)</f>
        <v>0</v>
      </c>
    </row>
    <row r="217" customFormat="false" ht="15" hidden="false" customHeight="false" outlineLevel="0" collapsed="false">
      <c r="B217" s="13" t="s">
        <v>437</v>
      </c>
      <c r="C217" s="13" t="s">
        <v>252</v>
      </c>
      <c r="D217" s="19" t="n">
        <v>692</v>
      </c>
      <c r="E217" s="23" t="n">
        <v>0.193</v>
      </c>
      <c r="F217" s="19" t="n">
        <v>60</v>
      </c>
      <c r="G217" s="19" t="n">
        <v>4</v>
      </c>
      <c r="H217" s="14" t="n">
        <v>29110</v>
      </c>
      <c r="I217" s="14" t="n">
        <v>27914.51</v>
      </c>
      <c r="J217" s="24" t="n">
        <v>0.84</v>
      </c>
      <c r="K217" s="19" t="n">
        <v>0</v>
      </c>
      <c r="L217" s="13" t="str">
        <f aca="false">IF(D217&gt;=Inputs!$C$14,"Near-prime","Non-prime")</f>
        <v>Near-prime</v>
      </c>
      <c r="M217" s="19" t="n">
        <f aca="false">IF(K217&lt;=Inputs!$C$19,1,0)</f>
        <v>1</v>
      </c>
      <c r="N217" s="19" t="n">
        <f aca="false">IF(F217&lt;=Inputs!$C$20,1,0)</f>
        <v>1</v>
      </c>
      <c r="O217" s="19" t="n">
        <f aca="false">IF(J217&lt;=Inputs!$C$21,1,0)</f>
        <v>1</v>
      </c>
      <c r="P217" s="19" t="n">
        <f aca="false">IF(D217&gt;=Inputs!$C$22,1,0)</f>
        <v>1</v>
      </c>
      <c r="Q217" s="19" t="n">
        <f aca="false">IF(I217&lt;=Inputs!$C$23,1,0)</f>
        <v>1</v>
      </c>
      <c r="R217" s="19" t="n">
        <f aca="false">M217*N217*O217*P217*Q217</f>
        <v>1</v>
      </c>
      <c r="S217" s="14" t="n">
        <f aca="false">I217*R217</f>
        <v>27914.51</v>
      </c>
      <c r="T217" s="19" t="n">
        <f aca="false">IF(F217&gt;72,1,0)</f>
        <v>0</v>
      </c>
      <c r="U217" s="19" t="n">
        <f aca="false">IF(J217&gt;1.25,1,0)</f>
        <v>0</v>
      </c>
    </row>
    <row r="218" customFormat="false" ht="15" hidden="false" customHeight="false" outlineLevel="0" collapsed="false">
      <c r="B218" s="13" t="s">
        <v>438</v>
      </c>
      <c r="C218" s="13" t="s">
        <v>223</v>
      </c>
      <c r="D218" s="19" t="n">
        <v>642</v>
      </c>
      <c r="E218" s="23" t="n">
        <v>0.2191</v>
      </c>
      <c r="F218" s="19" t="n">
        <v>66</v>
      </c>
      <c r="G218" s="19" t="n">
        <v>10</v>
      </c>
      <c r="H218" s="14" t="n">
        <v>38490</v>
      </c>
      <c r="I218" s="14" t="n">
        <v>35172.07</v>
      </c>
      <c r="J218" s="24" t="n">
        <v>1.358</v>
      </c>
      <c r="K218" s="19" t="n">
        <v>0</v>
      </c>
      <c r="L218" s="13" t="str">
        <f aca="false">IF(D218&gt;=Inputs!$C$14,"Near-prime","Non-prime")</f>
        <v>Near-prime</v>
      </c>
      <c r="M218" s="19" t="n">
        <f aca="false">IF(K218&lt;=Inputs!$C$19,1,0)</f>
        <v>1</v>
      </c>
      <c r="N218" s="19" t="n">
        <f aca="false">IF(F218&lt;=Inputs!$C$20,1,0)</f>
        <v>1</v>
      </c>
      <c r="O218" s="19" t="n">
        <f aca="false">IF(J218&lt;=Inputs!$C$21,1,0)</f>
        <v>1</v>
      </c>
      <c r="P218" s="19" t="n">
        <f aca="false">IF(D218&gt;=Inputs!$C$22,1,0)</f>
        <v>1</v>
      </c>
      <c r="Q218" s="19" t="n">
        <f aca="false">IF(I218&lt;=Inputs!$C$23,1,0)</f>
        <v>1</v>
      </c>
      <c r="R218" s="19" t="n">
        <f aca="false">M218*N218*O218*P218*Q218</f>
        <v>1</v>
      </c>
      <c r="S218" s="14" t="n">
        <f aca="false">I218*R218</f>
        <v>35172.07</v>
      </c>
      <c r="T218" s="19" t="n">
        <f aca="false">IF(F218&gt;72,1,0)</f>
        <v>0</v>
      </c>
      <c r="U218" s="19" t="n">
        <f aca="false">IF(J218&gt;1.25,1,0)</f>
        <v>1</v>
      </c>
    </row>
    <row r="219" customFormat="false" ht="15" hidden="false" customHeight="false" outlineLevel="0" collapsed="false">
      <c r="B219" s="13" t="s">
        <v>439</v>
      </c>
      <c r="C219" s="13" t="s">
        <v>221</v>
      </c>
      <c r="D219" s="19" t="n">
        <v>599</v>
      </c>
      <c r="E219" s="23" t="n">
        <v>0.2129</v>
      </c>
      <c r="F219" s="19" t="n">
        <v>75</v>
      </c>
      <c r="G219" s="19" t="n">
        <v>3</v>
      </c>
      <c r="H219" s="14" t="n">
        <v>28640</v>
      </c>
      <c r="I219" s="14" t="n">
        <v>28073.64</v>
      </c>
      <c r="J219" s="24" t="n">
        <v>0.639</v>
      </c>
      <c r="K219" s="19" t="n">
        <v>0</v>
      </c>
      <c r="L219" s="13" t="str">
        <f aca="false">IF(D219&gt;=Inputs!$C$14,"Near-prime","Non-prime")</f>
        <v>Non-prime</v>
      </c>
      <c r="M219" s="19" t="n">
        <f aca="false">IF(K219&lt;=Inputs!$C$19,1,0)</f>
        <v>1</v>
      </c>
      <c r="N219" s="19" t="n">
        <f aca="false">IF(F219&lt;=Inputs!$C$20,1,0)</f>
        <v>1</v>
      </c>
      <c r="O219" s="19" t="n">
        <f aca="false">IF(J219&lt;=Inputs!$C$21,1,0)</f>
        <v>1</v>
      </c>
      <c r="P219" s="19" t="n">
        <f aca="false">IF(D219&gt;=Inputs!$C$22,1,0)</f>
        <v>1</v>
      </c>
      <c r="Q219" s="19" t="n">
        <f aca="false">IF(I219&lt;=Inputs!$C$23,1,0)</f>
        <v>1</v>
      </c>
      <c r="R219" s="19" t="n">
        <f aca="false">M219*N219*O219*P219*Q219</f>
        <v>1</v>
      </c>
      <c r="S219" s="14" t="n">
        <f aca="false">I219*R219</f>
        <v>28073.64</v>
      </c>
      <c r="T219" s="19" t="n">
        <f aca="false">IF(F219&gt;72,1,0)</f>
        <v>1</v>
      </c>
      <c r="U219" s="19" t="n">
        <f aca="false">IF(J219&gt;1.25,1,0)</f>
        <v>0</v>
      </c>
    </row>
    <row r="220" customFormat="false" ht="15" hidden="false" customHeight="false" outlineLevel="0" collapsed="false">
      <c r="B220" s="13" t="s">
        <v>440</v>
      </c>
      <c r="C220" s="13" t="s">
        <v>217</v>
      </c>
      <c r="D220" s="19" t="n">
        <v>773</v>
      </c>
      <c r="E220" s="23" t="n">
        <v>0.197</v>
      </c>
      <c r="F220" s="19" t="n">
        <v>60</v>
      </c>
      <c r="G220" s="19" t="n">
        <v>6</v>
      </c>
      <c r="H220" s="14" t="n">
        <v>47060</v>
      </c>
      <c r="I220" s="14" t="n">
        <v>44144.26</v>
      </c>
      <c r="J220" s="24" t="n">
        <v>0.986</v>
      </c>
      <c r="K220" s="19" t="n">
        <v>0</v>
      </c>
      <c r="L220" s="13" t="str">
        <f aca="false">IF(D220&gt;=Inputs!$C$14,"Near-prime","Non-prime")</f>
        <v>Near-prime</v>
      </c>
      <c r="M220" s="19" t="n">
        <f aca="false">IF(K220&lt;=Inputs!$C$19,1,0)</f>
        <v>1</v>
      </c>
      <c r="N220" s="19" t="n">
        <f aca="false">IF(F220&lt;=Inputs!$C$20,1,0)</f>
        <v>1</v>
      </c>
      <c r="O220" s="19" t="n">
        <f aca="false">IF(J220&lt;=Inputs!$C$21,1,0)</f>
        <v>1</v>
      </c>
      <c r="P220" s="19" t="n">
        <f aca="false">IF(D220&gt;=Inputs!$C$22,1,0)</f>
        <v>1</v>
      </c>
      <c r="Q220" s="19" t="n">
        <f aca="false">IF(I220&lt;=Inputs!$C$23,1,0)</f>
        <v>1</v>
      </c>
      <c r="R220" s="19" t="n">
        <f aca="false">M220*N220*O220*P220*Q220</f>
        <v>1</v>
      </c>
      <c r="S220" s="14" t="n">
        <f aca="false">I220*R220</f>
        <v>44144.26</v>
      </c>
      <c r="T220" s="19" t="n">
        <f aca="false">IF(F220&gt;72,1,0)</f>
        <v>0</v>
      </c>
      <c r="U220" s="19" t="n">
        <f aca="false">IF(J220&gt;1.25,1,0)</f>
        <v>0</v>
      </c>
    </row>
    <row r="221" customFormat="false" ht="15" hidden="false" customHeight="false" outlineLevel="0" collapsed="false">
      <c r="B221" s="13" t="s">
        <v>441</v>
      </c>
      <c r="C221" s="13" t="s">
        <v>223</v>
      </c>
      <c r="D221" s="19" t="n">
        <v>598</v>
      </c>
      <c r="E221" s="23" t="n">
        <v>0.2249</v>
      </c>
      <c r="F221" s="19" t="n">
        <v>66</v>
      </c>
      <c r="G221" s="19" t="n">
        <v>4</v>
      </c>
      <c r="H221" s="14" t="n">
        <v>27070</v>
      </c>
      <c r="I221" s="14" t="n">
        <v>26202.49</v>
      </c>
      <c r="J221" s="24" t="n">
        <v>0.829</v>
      </c>
      <c r="K221" s="19" t="n">
        <v>45</v>
      </c>
      <c r="L221" s="13" t="str">
        <f aca="false">IF(D221&gt;=Inputs!$C$14,"Near-prime","Non-prime")</f>
        <v>Non-prime</v>
      </c>
      <c r="M221" s="19" t="n">
        <f aca="false">IF(K221&lt;=Inputs!$C$19,1,0)</f>
        <v>1</v>
      </c>
      <c r="N221" s="19" t="n">
        <f aca="false">IF(F221&lt;=Inputs!$C$20,1,0)</f>
        <v>1</v>
      </c>
      <c r="O221" s="19" t="n">
        <f aca="false">IF(J221&lt;=Inputs!$C$21,1,0)</f>
        <v>1</v>
      </c>
      <c r="P221" s="19" t="n">
        <f aca="false">IF(D221&gt;=Inputs!$C$22,1,0)</f>
        <v>1</v>
      </c>
      <c r="Q221" s="19" t="n">
        <f aca="false">IF(I221&lt;=Inputs!$C$23,1,0)</f>
        <v>1</v>
      </c>
      <c r="R221" s="19" t="n">
        <f aca="false">M221*N221*O221*P221*Q221</f>
        <v>1</v>
      </c>
      <c r="S221" s="14" t="n">
        <f aca="false">I221*R221</f>
        <v>26202.49</v>
      </c>
      <c r="T221" s="19" t="n">
        <f aca="false">IF(F221&gt;72,1,0)</f>
        <v>0</v>
      </c>
      <c r="U221" s="19" t="n">
        <f aca="false">IF(J221&gt;1.25,1,0)</f>
        <v>0</v>
      </c>
    </row>
    <row r="222" customFormat="false" ht="15" hidden="false" customHeight="false" outlineLevel="0" collapsed="false">
      <c r="B222" s="13" t="s">
        <v>442</v>
      </c>
      <c r="C222" s="13" t="s">
        <v>223</v>
      </c>
      <c r="D222" s="19" t="n">
        <v>721</v>
      </c>
      <c r="E222" s="23" t="n">
        <v>0.1756</v>
      </c>
      <c r="F222" s="19" t="n">
        <v>75</v>
      </c>
      <c r="G222" s="19" t="n">
        <v>1</v>
      </c>
      <c r="H222" s="14" t="n">
        <v>12620</v>
      </c>
      <c r="I222" s="14" t="n">
        <v>12526.4</v>
      </c>
      <c r="J222" s="24" t="n">
        <v>1.173</v>
      </c>
      <c r="K222" s="19" t="n">
        <v>0</v>
      </c>
      <c r="L222" s="13" t="str">
        <f aca="false">IF(D222&gt;=Inputs!$C$14,"Near-prime","Non-prime")</f>
        <v>Near-prime</v>
      </c>
      <c r="M222" s="19" t="n">
        <f aca="false">IF(K222&lt;=Inputs!$C$19,1,0)</f>
        <v>1</v>
      </c>
      <c r="N222" s="19" t="n">
        <f aca="false">IF(F222&lt;=Inputs!$C$20,1,0)</f>
        <v>1</v>
      </c>
      <c r="O222" s="19" t="n">
        <f aca="false">IF(J222&lt;=Inputs!$C$21,1,0)</f>
        <v>1</v>
      </c>
      <c r="P222" s="19" t="n">
        <f aca="false">IF(D222&gt;=Inputs!$C$22,1,0)</f>
        <v>1</v>
      </c>
      <c r="Q222" s="19" t="n">
        <f aca="false">IF(I222&lt;=Inputs!$C$23,1,0)</f>
        <v>1</v>
      </c>
      <c r="R222" s="19" t="n">
        <f aca="false">M222*N222*O222*P222*Q222</f>
        <v>1</v>
      </c>
      <c r="S222" s="14" t="n">
        <f aca="false">I222*R222</f>
        <v>12526.4</v>
      </c>
      <c r="T222" s="19" t="n">
        <f aca="false">IF(F222&gt;72,1,0)</f>
        <v>1</v>
      </c>
      <c r="U222" s="19" t="n">
        <f aca="false">IF(J222&gt;1.25,1,0)</f>
        <v>0</v>
      </c>
    </row>
    <row r="223" customFormat="false" ht="15" hidden="false" customHeight="false" outlineLevel="0" collapsed="false">
      <c r="B223" s="13" t="s">
        <v>443</v>
      </c>
      <c r="C223" s="13" t="s">
        <v>228</v>
      </c>
      <c r="D223" s="19" t="n">
        <v>663</v>
      </c>
      <c r="E223" s="23" t="n">
        <v>0.2061</v>
      </c>
      <c r="F223" s="19" t="n">
        <v>72</v>
      </c>
      <c r="G223" s="19" t="n">
        <v>9</v>
      </c>
      <c r="H223" s="14" t="n">
        <v>27270</v>
      </c>
      <c r="I223" s="14" t="n">
        <v>25394.2</v>
      </c>
      <c r="J223" s="24" t="n">
        <v>1.191</v>
      </c>
      <c r="K223" s="19" t="n">
        <v>0</v>
      </c>
      <c r="L223" s="13" t="str">
        <f aca="false">IF(D223&gt;=Inputs!$C$14,"Near-prime","Non-prime")</f>
        <v>Near-prime</v>
      </c>
      <c r="M223" s="19" t="n">
        <f aca="false">IF(K223&lt;=Inputs!$C$19,1,0)</f>
        <v>1</v>
      </c>
      <c r="N223" s="19" t="n">
        <f aca="false">IF(F223&lt;=Inputs!$C$20,1,0)</f>
        <v>1</v>
      </c>
      <c r="O223" s="19" t="n">
        <f aca="false">IF(J223&lt;=Inputs!$C$21,1,0)</f>
        <v>1</v>
      </c>
      <c r="P223" s="19" t="n">
        <f aca="false">IF(D223&gt;=Inputs!$C$22,1,0)</f>
        <v>1</v>
      </c>
      <c r="Q223" s="19" t="n">
        <f aca="false">IF(I223&lt;=Inputs!$C$23,1,0)</f>
        <v>1</v>
      </c>
      <c r="R223" s="19" t="n">
        <f aca="false">M223*N223*O223*P223*Q223</f>
        <v>1</v>
      </c>
      <c r="S223" s="14" t="n">
        <f aca="false">I223*R223</f>
        <v>25394.2</v>
      </c>
      <c r="T223" s="19" t="n">
        <f aca="false">IF(F223&gt;72,1,0)</f>
        <v>0</v>
      </c>
      <c r="U223" s="19" t="n">
        <f aca="false">IF(J223&gt;1.25,1,0)</f>
        <v>0</v>
      </c>
    </row>
    <row r="224" customFormat="false" ht="15" hidden="false" customHeight="false" outlineLevel="0" collapsed="false">
      <c r="B224" s="13" t="s">
        <v>444</v>
      </c>
      <c r="C224" s="13" t="s">
        <v>252</v>
      </c>
      <c r="D224" s="19" t="n">
        <v>599</v>
      </c>
      <c r="E224" s="23" t="n">
        <v>0.2116</v>
      </c>
      <c r="F224" s="19" t="n">
        <v>72</v>
      </c>
      <c r="G224" s="19" t="n">
        <v>3</v>
      </c>
      <c r="H224" s="14" t="n">
        <v>22210</v>
      </c>
      <c r="I224" s="14" t="n">
        <v>21735.55</v>
      </c>
      <c r="J224" s="24" t="n">
        <v>1.045</v>
      </c>
      <c r="K224" s="19" t="n">
        <v>0</v>
      </c>
      <c r="L224" s="13" t="str">
        <f aca="false">IF(D224&gt;=Inputs!$C$14,"Near-prime","Non-prime")</f>
        <v>Non-prime</v>
      </c>
      <c r="M224" s="19" t="n">
        <f aca="false">IF(K224&lt;=Inputs!$C$19,1,0)</f>
        <v>1</v>
      </c>
      <c r="N224" s="19" t="n">
        <f aca="false">IF(F224&lt;=Inputs!$C$20,1,0)</f>
        <v>1</v>
      </c>
      <c r="O224" s="19" t="n">
        <f aca="false">IF(J224&lt;=Inputs!$C$21,1,0)</f>
        <v>1</v>
      </c>
      <c r="P224" s="19" t="n">
        <f aca="false">IF(D224&gt;=Inputs!$C$22,1,0)</f>
        <v>1</v>
      </c>
      <c r="Q224" s="19" t="n">
        <f aca="false">IF(I224&lt;=Inputs!$C$23,1,0)</f>
        <v>1</v>
      </c>
      <c r="R224" s="19" t="n">
        <f aca="false">M224*N224*O224*P224*Q224</f>
        <v>1</v>
      </c>
      <c r="S224" s="14" t="n">
        <f aca="false">I224*R224</f>
        <v>21735.55</v>
      </c>
      <c r="T224" s="19" t="n">
        <f aca="false">IF(F224&gt;72,1,0)</f>
        <v>0</v>
      </c>
      <c r="U224" s="19" t="n">
        <f aca="false">IF(J224&gt;1.25,1,0)</f>
        <v>0</v>
      </c>
    </row>
    <row r="225" customFormat="false" ht="15" hidden="false" customHeight="false" outlineLevel="0" collapsed="false">
      <c r="B225" s="13" t="s">
        <v>445</v>
      </c>
      <c r="C225" s="13" t="s">
        <v>217</v>
      </c>
      <c r="D225" s="19" t="n">
        <v>604</v>
      </c>
      <c r="E225" s="23" t="n">
        <v>0.2268</v>
      </c>
      <c r="F225" s="19" t="n">
        <v>66</v>
      </c>
      <c r="G225" s="19" t="n">
        <v>6</v>
      </c>
      <c r="H225" s="14" t="n">
        <v>17630</v>
      </c>
      <c r="I225" s="14" t="n">
        <v>16771.28</v>
      </c>
      <c r="J225" s="24" t="n">
        <v>0.897</v>
      </c>
      <c r="K225" s="19" t="n">
        <v>0</v>
      </c>
      <c r="L225" s="13" t="str">
        <f aca="false">IF(D225&gt;=Inputs!$C$14,"Near-prime","Non-prime")</f>
        <v>Non-prime</v>
      </c>
      <c r="M225" s="19" t="n">
        <f aca="false">IF(K225&lt;=Inputs!$C$19,1,0)</f>
        <v>1</v>
      </c>
      <c r="N225" s="19" t="n">
        <f aca="false">IF(F225&lt;=Inputs!$C$20,1,0)</f>
        <v>1</v>
      </c>
      <c r="O225" s="19" t="n">
        <f aca="false">IF(J225&lt;=Inputs!$C$21,1,0)</f>
        <v>1</v>
      </c>
      <c r="P225" s="19" t="n">
        <f aca="false">IF(D225&gt;=Inputs!$C$22,1,0)</f>
        <v>1</v>
      </c>
      <c r="Q225" s="19" t="n">
        <f aca="false">IF(I225&lt;=Inputs!$C$23,1,0)</f>
        <v>1</v>
      </c>
      <c r="R225" s="19" t="n">
        <f aca="false">M225*N225*O225*P225*Q225</f>
        <v>1</v>
      </c>
      <c r="S225" s="14" t="n">
        <f aca="false">I225*R225</f>
        <v>16771.28</v>
      </c>
      <c r="T225" s="19" t="n">
        <f aca="false">IF(F225&gt;72,1,0)</f>
        <v>0</v>
      </c>
      <c r="U225" s="19" t="n">
        <f aca="false">IF(J225&gt;1.25,1,0)</f>
        <v>0</v>
      </c>
    </row>
    <row r="226" customFormat="false" ht="15" hidden="false" customHeight="false" outlineLevel="0" collapsed="false">
      <c r="B226" s="13" t="s">
        <v>446</v>
      </c>
      <c r="C226" s="13" t="s">
        <v>221</v>
      </c>
      <c r="D226" s="19" t="n">
        <v>625</v>
      </c>
      <c r="E226" s="23" t="n">
        <v>0.2102</v>
      </c>
      <c r="F226" s="19" t="n">
        <v>48</v>
      </c>
      <c r="G226" s="19" t="n">
        <v>1</v>
      </c>
      <c r="H226" s="14" t="n">
        <v>22250</v>
      </c>
      <c r="I226" s="14" t="n">
        <v>21950.52</v>
      </c>
      <c r="J226" s="24" t="n">
        <v>0.832</v>
      </c>
      <c r="K226" s="19" t="n">
        <v>0</v>
      </c>
      <c r="L226" s="13" t="str">
        <f aca="false">IF(D226&gt;=Inputs!$C$14,"Near-prime","Non-prime")</f>
        <v>Near-prime</v>
      </c>
      <c r="M226" s="19" t="n">
        <f aca="false">IF(K226&lt;=Inputs!$C$19,1,0)</f>
        <v>1</v>
      </c>
      <c r="N226" s="19" t="n">
        <f aca="false">IF(F226&lt;=Inputs!$C$20,1,0)</f>
        <v>1</v>
      </c>
      <c r="O226" s="19" t="n">
        <f aca="false">IF(J226&lt;=Inputs!$C$21,1,0)</f>
        <v>1</v>
      </c>
      <c r="P226" s="19" t="n">
        <f aca="false">IF(D226&gt;=Inputs!$C$22,1,0)</f>
        <v>1</v>
      </c>
      <c r="Q226" s="19" t="n">
        <f aca="false">IF(I226&lt;=Inputs!$C$23,1,0)</f>
        <v>1</v>
      </c>
      <c r="R226" s="19" t="n">
        <f aca="false">M226*N226*O226*P226*Q226</f>
        <v>1</v>
      </c>
      <c r="S226" s="14" t="n">
        <f aca="false">I226*R226</f>
        <v>21950.52</v>
      </c>
      <c r="T226" s="19" t="n">
        <f aca="false">IF(F226&gt;72,1,0)</f>
        <v>0</v>
      </c>
      <c r="U226" s="19" t="n">
        <f aca="false">IF(J226&gt;1.25,1,0)</f>
        <v>0</v>
      </c>
    </row>
    <row r="227" customFormat="false" ht="15" hidden="false" customHeight="false" outlineLevel="0" collapsed="false">
      <c r="B227" s="13" t="s">
        <v>447</v>
      </c>
      <c r="C227" s="13" t="s">
        <v>221</v>
      </c>
      <c r="D227" s="19" t="n">
        <v>614</v>
      </c>
      <c r="E227" s="23" t="n">
        <v>0.2132</v>
      </c>
      <c r="F227" s="19" t="n">
        <v>72</v>
      </c>
      <c r="G227" s="19" t="n">
        <v>8</v>
      </c>
      <c r="H227" s="14" t="n">
        <v>17520</v>
      </c>
      <c r="I227" s="14" t="n">
        <v>16482.01</v>
      </c>
      <c r="J227" s="24" t="n">
        <v>0.945</v>
      </c>
      <c r="K227" s="19" t="n">
        <v>0</v>
      </c>
      <c r="L227" s="13" t="str">
        <f aca="false">IF(D227&gt;=Inputs!$C$14,"Near-prime","Non-prime")</f>
        <v>Non-prime</v>
      </c>
      <c r="M227" s="19" t="n">
        <f aca="false">IF(K227&lt;=Inputs!$C$19,1,0)</f>
        <v>1</v>
      </c>
      <c r="N227" s="19" t="n">
        <f aca="false">IF(F227&lt;=Inputs!$C$20,1,0)</f>
        <v>1</v>
      </c>
      <c r="O227" s="19" t="n">
        <f aca="false">IF(J227&lt;=Inputs!$C$21,1,0)</f>
        <v>1</v>
      </c>
      <c r="P227" s="19" t="n">
        <f aca="false">IF(D227&gt;=Inputs!$C$22,1,0)</f>
        <v>1</v>
      </c>
      <c r="Q227" s="19" t="n">
        <f aca="false">IF(I227&lt;=Inputs!$C$23,1,0)</f>
        <v>1</v>
      </c>
      <c r="R227" s="19" t="n">
        <f aca="false">M227*N227*O227*P227*Q227</f>
        <v>1</v>
      </c>
      <c r="S227" s="14" t="n">
        <f aca="false">I227*R227</f>
        <v>16482.01</v>
      </c>
      <c r="T227" s="19" t="n">
        <f aca="false">IF(F227&gt;72,1,0)</f>
        <v>0</v>
      </c>
      <c r="U227" s="19" t="n">
        <f aca="false">IF(J227&gt;1.25,1,0)</f>
        <v>0</v>
      </c>
    </row>
    <row r="228" customFormat="false" ht="15" hidden="false" customHeight="false" outlineLevel="0" collapsed="false">
      <c r="B228" s="13" t="s">
        <v>448</v>
      </c>
      <c r="C228" s="13" t="s">
        <v>219</v>
      </c>
      <c r="D228" s="19" t="n">
        <v>573</v>
      </c>
      <c r="E228" s="23" t="n">
        <v>0.2314</v>
      </c>
      <c r="F228" s="19" t="n">
        <v>60</v>
      </c>
      <c r="G228" s="19" t="n">
        <v>9</v>
      </c>
      <c r="H228" s="14" t="n">
        <v>27710</v>
      </c>
      <c r="I228" s="14" t="n">
        <v>25287.68</v>
      </c>
      <c r="J228" s="24" t="n">
        <v>1.086</v>
      </c>
      <c r="K228" s="19" t="n">
        <v>75</v>
      </c>
      <c r="L228" s="13" t="str">
        <f aca="false">IF(D228&gt;=Inputs!$C$14,"Near-prime","Non-prime")</f>
        <v>Non-prime</v>
      </c>
      <c r="M228" s="19" t="n">
        <f aca="false">IF(K228&lt;=Inputs!$C$19,1,0)</f>
        <v>0</v>
      </c>
      <c r="N228" s="19" t="n">
        <f aca="false">IF(F228&lt;=Inputs!$C$20,1,0)</f>
        <v>1</v>
      </c>
      <c r="O228" s="19" t="n">
        <f aca="false">IF(J228&lt;=Inputs!$C$21,1,0)</f>
        <v>1</v>
      </c>
      <c r="P228" s="19" t="n">
        <f aca="false">IF(D228&gt;=Inputs!$C$22,1,0)</f>
        <v>1</v>
      </c>
      <c r="Q228" s="19" t="n">
        <f aca="false">IF(I228&lt;=Inputs!$C$23,1,0)</f>
        <v>1</v>
      </c>
      <c r="R228" s="19" t="n">
        <f aca="false">M228*N228*O228*P228*Q228</f>
        <v>0</v>
      </c>
      <c r="S228" s="14" t="n">
        <f aca="false">I228*R228</f>
        <v>0</v>
      </c>
      <c r="T228" s="19" t="n">
        <f aca="false">IF(F228&gt;72,1,0)</f>
        <v>0</v>
      </c>
      <c r="U228" s="19" t="n">
        <f aca="false">IF(J228&gt;1.25,1,0)</f>
        <v>0</v>
      </c>
    </row>
    <row r="229" customFormat="false" ht="15" hidden="false" customHeight="false" outlineLevel="0" collapsed="false">
      <c r="B229" s="13" t="s">
        <v>449</v>
      </c>
      <c r="C229" s="13" t="s">
        <v>252</v>
      </c>
      <c r="D229" s="19" t="n">
        <v>669</v>
      </c>
      <c r="E229" s="23" t="n">
        <v>0.197</v>
      </c>
      <c r="F229" s="19" t="n">
        <v>60</v>
      </c>
      <c r="G229" s="19" t="n">
        <v>3</v>
      </c>
      <c r="H229" s="14" t="n">
        <v>26320</v>
      </c>
      <c r="I229" s="14" t="n">
        <v>25524.54</v>
      </c>
      <c r="J229" s="24" t="n">
        <v>1.288</v>
      </c>
      <c r="K229" s="19" t="n">
        <v>0</v>
      </c>
      <c r="L229" s="13" t="str">
        <f aca="false">IF(D229&gt;=Inputs!$C$14,"Near-prime","Non-prime")</f>
        <v>Near-prime</v>
      </c>
      <c r="M229" s="19" t="n">
        <f aca="false">IF(K229&lt;=Inputs!$C$19,1,0)</f>
        <v>1</v>
      </c>
      <c r="N229" s="19" t="n">
        <f aca="false">IF(F229&lt;=Inputs!$C$20,1,0)</f>
        <v>1</v>
      </c>
      <c r="O229" s="19" t="n">
        <f aca="false">IF(J229&lt;=Inputs!$C$21,1,0)</f>
        <v>1</v>
      </c>
      <c r="P229" s="19" t="n">
        <f aca="false">IF(D229&gt;=Inputs!$C$22,1,0)</f>
        <v>1</v>
      </c>
      <c r="Q229" s="19" t="n">
        <f aca="false">IF(I229&lt;=Inputs!$C$23,1,0)</f>
        <v>1</v>
      </c>
      <c r="R229" s="19" t="n">
        <f aca="false">M229*N229*O229*P229*Q229</f>
        <v>1</v>
      </c>
      <c r="S229" s="14" t="n">
        <f aca="false">I229*R229</f>
        <v>25524.54</v>
      </c>
      <c r="T229" s="19" t="n">
        <f aca="false">IF(F229&gt;72,1,0)</f>
        <v>0</v>
      </c>
      <c r="U229" s="19" t="n">
        <f aca="false">IF(J229&gt;1.25,1,0)</f>
        <v>1</v>
      </c>
    </row>
    <row r="230" customFormat="false" ht="15" hidden="false" customHeight="false" outlineLevel="0" collapsed="false">
      <c r="B230" s="13" t="s">
        <v>450</v>
      </c>
      <c r="C230" s="13" t="s">
        <v>221</v>
      </c>
      <c r="D230" s="19" t="n">
        <v>599</v>
      </c>
      <c r="E230" s="23" t="n">
        <v>0.1853</v>
      </c>
      <c r="F230" s="19" t="n">
        <v>66</v>
      </c>
      <c r="G230" s="19" t="n">
        <v>0</v>
      </c>
      <c r="H230" s="14" t="n">
        <v>32580</v>
      </c>
      <c r="I230" s="14" t="n">
        <v>32580</v>
      </c>
      <c r="J230" s="24" t="n">
        <v>1.16</v>
      </c>
      <c r="K230" s="19" t="n">
        <v>0</v>
      </c>
      <c r="L230" s="13" t="str">
        <f aca="false">IF(D230&gt;=Inputs!$C$14,"Near-prime","Non-prime")</f>
        <v>Non-prime</v>
      </c>
      <c r="M230" s="19" t="n">
        <f aca="false">IF(K230&lt;=Inputs!$C$19,1,0)</f>
        <v>1</v>
      </c>
      <c r="N230" s="19" t="n">
        <f aca="false">IF(F230&lt;=Inputs!$C$20,1,0)</f>
        <v>1</v>
      </c>
      <c r="O230" s="19" t="n">
        <f aca="false">IF(J230&lt;=Inputs!$C$21,1,0)</f>
        <v>1</v>
      </c>
      <c r="P230" s="19" t="n">
        <f aca="false">IF(D230&gt;=Inputs!$C$22,1,0)</f>
        <v>1</v>
      </c>
      <c r="Q230" s="19" t="n">
        <f aca="false">IF(I230&lt;=Inputs!$C$23,1,0)</f>
        <v>1</v>
      </c>
      <c r="R230" s="19" t="n">
        <f aca="false">M230*N230*O230*P230*Q230</f>
        <v>1</v>
      </c>
      <c r="S230" s="14" t="n">
        <f aca="false">I230*R230</f>
        <v>32580</v>
      </c>
      <c r="T230" s="19" t="n">
        <f aca="false">IF(F230&gt;72,1,0)</f>
        <v>0</v>
      </c>
      <c r="U230" s="19" t="n">
        <f aca="false">IF(J230&gt;1.25,1,0)</f>
        <v>0</v>
      </c>
    </row>
    <row r="231" customFormat="false" ht="15" hidden="false" customHeight="false" outlineLevel="0" collapsed="false">
      <c r="B231" s="13" t="s">
        <v>451</v>
      </c>
      <c r="C231" s="13" t="s">
        <v>223</v>
      </c>
      <c r="D231" s="19" t="n">
        <v>686</v>
      </c>
      <c r="E231" s="23" t="n">
        <v>0.1923</v>
      </c>
      <c r="F231" s="19" t="n">
        <v>66</v>
      </c>
      <c r="G231" s="19" t="n">
        <v>3</v>
      </c>
      <c r="H231" s="14" t="n">
        <v>29700</v>
      </c>
      <c r="I231" s="14" t="n">
        <v>28918.11</v>
      </c>
      <c r="J231" s="24" t="n">
        <v>1.27</v>
      </c>
      <c r="K231" s="19" t="n">
        <v>0</v>
      </c>
      <c r="L231" s="13" t="str">
        <f aca="false">IF(D231&gt;=Inputs!$C$14,"Near-prime","Non-prime")</f>
        <v>Near-prime</v>
      </c>
      <c r="M231" s="19" t="n">
        <f aca="false">IF(K231&lt;=Inputs!$C$19,1,0)</f>
        <v>1</v>
      </c>
      <c r="N231" s="19" t="n">
        <f aca="false">IF(F231&lt;=Inputs!$C$20,1,0)</f>
        <v>1</v>
      </c>
      <c r="O231" s="19" t="n">
        <f aca="false">IF(J231&lt;=Inputs!$C$21,1,0)</f>
        <v>1</v>
      </c>
      <c r="P231" s="19" t="n">
        <f aca="false">IF(D231&gt;=Inputs!$C$22,1,0)</f>
        <v>1</v>
      </c>
      <c r="Q231" s="19" t="n">
        <f aca="false">IF(I231&lt;=Inputs!$C$23,1,0)</f>
        <v>1</v>
      </c>
      <c r="R231" s="19" t="n">
        <f aca="false">M231*N231*O231*P231*Q231</f>
        <v>1</v>
      </c>
      <c r="S231" s="14" t="n">
        <f aca="false">I231*R231</f>
        <v>28918.11</v>
      </c>
      <c r="T231" s="19" t="n">
        <f aca="false">IF(F231&gt;72,1,0)</f>
        <v>0</v>
      </c>
      <c r="U231" s="19" t="n">
        <f aca="false">IF(J231&gt;1.25,1,0)</f>
        <v>1</v>
      </c>
    </row>
    <row r="232" customFormat="false" ht="15" hidden="false" customHeight="false" outlineLevel="0" collapsed="false">
      <c r="B232" s="13" t="s">
        <v>452</v>
      </c>
      <c r="C232" s="13" t="s">
        <v>252</v>
      </c>
      <c r="D232" s="19" t="n">
        <v>637</v>
      </c>
      <c r="E232" s="23" t="n">
        <v>0.2024</v>
      </c>
      <c r="F232" s="19" t="n">
        <v>72</v>
      </c>
      <c r="G232" s="19" t="n">
        <v>9</v>
      </c>
      <c r="H232" s="14" t="n">
        <v>29870</v>
      </c>
      <c r="I232" s="14" t="n">
        <v>27791.24</v>
      </c>
      <c r="J232" s="24" t="n">
        <v>1.073</v>
      </c>
      <c r="K232" s="19" t="n">
        <v>15</v>
      </c>
      <c r="L232" s="13" t="str">
        <f aca="false">IF(D232&gt;=Inputs!$C$14,"Near-prime","Non-prime")</f>
        <v>Near-prime</v>
      </c>
      <c r="M232" s="19" t="n">
        <f aca="false">IF(K232&lt;=Inputs!$C$19,1,0)</f>
        <v>1</v>
      </c>
      <c r="N232" s="19" t="n">
        <f aca="false">IF(F232&lt;=Inputs!$C$20,1,0)</f>
        <v>1</v>
      </c>
      <c r="O232" s="19" t="n">
        <f aca="false">IF(J232&lt;=Inputs!$C$21,1,0)</f>
        <v>1</v>
      </c>
      <c r="P232" s="19" t="n">
        <f aca="false">IF(D232&gt;=Inputs!$C$22,1,0)</f>
        <v>1</v>
      </c>
      <c r="Q232" s="19" t="n">
        <f aca="false">IF(I232&lt;=Inputs!$C$23,1,0)</f>
        <v>1</v>
      </c>
      <c r="R232" s="19" t="n">
        <f aca="false">M232*N232*O232*P232*Q232</f>
        <v>1</v>
      </c>
      <c r="S232" s="14" t="n">
        <f aca="false">I232*R232</f>
        <v>27791.24</v>
      </c>
      <c r="T232" s="19" t="n">
        <f aca="false">IF(F232&gt;72,1,0)</f>
        <v>0</v>
      </c>
      <c r="U232" s="19" t="n">
        <f aca="false">IF(J232&gt;1.25,1,0)</f>
        <v>0</v>
      </c>
    </row>
    <row r="233" customFormat="false" ht="15" hidden="false" customHeight="false" outlineLevel="0" collapsed="false">
      <c r="B233" s="13" t="s">
        <v>453</v>
      </c>
      <c r="C233" s="13" t="s">
        <v>233</v>
      </c>
      <c r="D233" s="19" t="n">
        <v>654</v>
      </c>
      <c r="E233" s="23" t="n">
        <v>0.2238</v>
      </c>
      <c r="F233" s="19" t="n">
        <v>72</v>
      </c>
      <c r="G233" s="19" t="n">
        <v>2</v>
      </c>
      <c r="H233" s="14" t="n">
        <v>14670</v>
      </c>
      <c r="I233" s="14" t="n">
        <v>14471.52</v>
      </c>
      <c r="J233" s="24" t="n">
        <v>1.062</v>
      </c>
      <c r="K233" s="19" t="n">
        <v>0</v>
      </c>
      <c r="L233" s="13" t="str">
        <f aca="false">IF(D233&gt;=Inputs!$C$14,"Near-prime","Non-prime")</f>
        <v>Near-prime</v>
      </c>
      <c r="M233" s="19" t="n">
        <f aca="false">IF(K233&lt;=Inputs!$C$19,1,0)</f>
        <v>1</v>
      </c>
      <c r="N233" s="19" t="n">
        <f aca="false">IF(F233&lt;=Inputs!$C$20,1,0)</f>
        <v>1</v>
      </c>
      <c r="O233" s="19" t="n">
        <f aca="false">IF(J233&lt;=Inputs!$C$21,1,0)</f>
        <v>1</v>
      </c>
      <c r="P233" s="19" t="n">
        <f aca="false">IF(D233&gt;=Inputs!$C$22,1,0)</f>
        <v>1</v>
      </c>
      <c r="Q233" s="19" t="n">
        <f aca="false">IF(I233&lt;=Inputs!$C$23,1,0)</f>
        <v>1</v>
      </c>
      <c r="R233" s="19" t="n">
        <f aca="false">M233*N233*O233*P233*Q233</f>
        <v>1</v>
      </c>
      <c r="S233" s="14" t="n">
        <f aca="false">I233*R233</f>
        <v>14471.52</v>
      </c>
      <c r="T233" s="19" t="n">
        <f aca="false">IF(F233&gt;72,1,0)</f>
        <v>0</v>
      </c>
      <c r="U233" s="19" t="n">
        <f aca="false">IF(J233&gt;1.25,1,0)</f>
        <v>0</v>
      </c>
    </row>
    <row r="234" customFormat="false" ht="15" hidden="false" customHeight="false" outlineLevel="0" collapsed="false">
      <c r="B234" s="13" t="s">
        <v>454</v>
      </c>
      <c r="C234" s="13" t="s">
        <v>252</v>
      </c>
      <c r="D234" s="19" t="n">
        <v>653</v>
      </c>
      <c r="E234" s="23" t="n">
        <v>0.1864</v>
      </c>
      <c r="F234" s="19" t="n">
        <v>60</v>
      </c>
      <c r="G234" s="19" t="n">
        <v>2</v>
      </c>
      <c r="H234" s="14" t="n">
        <v>21580</v>
      </c>
      <c r="I234" s="14" t="n">
        <v>21135.93</v>
      </c>
      <c r="J234" s="24" t="n">
        <v>1.147</v>
      </c>
      <c r="K234" s="19" t="n">
        <v>15</v>
      </c>
      <c r="L234" s="13" t="str">
        <f aca="false">IF(D234&gt;=Inputs!$C$14,"Near-prime","Non-prime")</f>
        <v>Near-prime</v>
      </c>
      <c r="M234" s="19" t="n">
        <f aca="false">IF(K234&lt;=Inputs!$C$19,1,0)</f>
        <v>1</v>
      </c>
      <c r="N234" s="19" t="n">
        <f aca="false">IF(F234&lt;=Inputs!$C$20,1,0)</f>
        <v>1</v>
      </c>
      <c r="O234" s="19" t="n">
        <f aca="false">IF(J234&lt;=Inputs!$C$21,1,0)</f>
        <v>1</v>
      </c>
      <c r="P234" s="19" t="n">
        <f aca="false">IF(D234&gt;=Inputs!$C$22,1,0)</f>
        <v>1</v>
      </c>
      <c r="Q234" s="19" t="n">
        <f aca="false">IF(I234&lt;=Inputs!$C$23,1,0)</f>
        <v>1</v>
      </c>
      <c r="R234" s="19" t="n">
        <f aca="false">M234*N234*O234*P234*Q234</f>
        <v>1</v>
      </c>
      <c r="S234" s="14" t="n">
        <f aca="false">I234*R234</f>
        <v>21135.93</v>
      </c>
      <c r="T234" s="19" t="n">
        <f aca="false">IF(F234&gt;72,1,0)</f>
        <v>0</v>
      </c>
      <c r="U234" s="19" t="n">
        <f aca="false">IF(J234&gt;1.25,1,0)</f>
        <v>0</v>
      </c>
    </row>
    <row r="235" customFormat="false" ht="15" hidden="false" customHeight="false" outlineLevel="0" collapsed="false">
      <c r="B235" s="13" t="s">
        <v>455</v>
      </c>
      <c r="C235" s="13" t="s">
        <v>257</v>
      </c>
      <c r="D235" s="19" t="n">
        <v>626</v>
      </c>
      <c r="E235" s="23" t="n">
        <v>0.233</v>
      </c>
      <c r="F235" s="19" t="n">
        <v>72</v>
      </c>
      <c r="G235" s="19" t="n">
        <v>10</v>
      </c>
      <c r="H235" s="14" t="n">
        <v>12010</v>
      </c>
      <c r="I235" s="14" t="n">
        <v>11159.21</v>
      </c>
      <c r="J235" s="24" t="n">
        <v>1.131</v>
      </c>
      <c r="K235" s="19" t="n">
        <v>0</v>
      </c>
      <c r="L235" s="13" t="str">
        <f aca="false">IF(D235&gt;=Inputs!$C$14,"Near-prime","Non-prime")</f>
        <v>Near-prime</v>
      </c>
      <c r="M235" s="19" t="n">
        <f aca="false">IF(K235&lt;=Inputs!$C$19,1,0)</f>
        <v>1</v>
      </c>
      <c r="N235" s="19" t="n">
        <f aca="false">IF(F235&lt;=Inputs!$C$20,1,0)</f>
        <v>1</v>
      </c>
      <c r="O235" s="19" t="n">
        <f aca="false">IF(J235&lt;=Inputs!$C$21,1,0)</f>
        <v>1</v>
      </c>
      <c r="P235" s="19" t="n">
        <f aca="false">IF(D235&gt;=Inputs!$C$22,1,0)</f>
        <v>1</v>
      </c>
      <c r="Q235" s="19" t="n">
        <f aca="false">IF(I235&lt;=Inputs!$C$23,1,0)</f>
        <v>1</v>
      </c>
      <c r="R235" s="19" t="n">
        <f aca="false">M235*N235*O235*P235*Q235</f>
        <v>1</v>
      </c>
      <c r="S235" s="14" t="n">
        <f aca="false">I235*R235</f>
        <v>11159.21</v>
      </c>
      <c r="T235" s="19" t="n">
        <f aca="false">IF(F235&gt;72,1,0)</f>
        <v>0</v>
      </c>
      <c r="U235" s="19" t="n">
        <f aca="false">IF(J235&gt;1.25,1,0)</f>
        <v>0</v>
      </c>
    </row>
    <row r="236" customFormat="false" ht="15" hidden="false" customHeight="false" outlineLevel="0" collapsed="false">
      <c r="B236" s="13" t="s">
        <v>456</v>
      </c>
      <c r="C236" s="13" t="s">
        <v>217</v>
      </c>
      <c r="D236" s="19" t="n">
        <v>641</v>
      </c>
      <c r="E236" s="23" t="n">
        <v>0.2103</v>
      </c>
      <c r="F236" s="19" t="n">
        <v>66</v>
      </c>
      <c r="G236" s="19" t="n">
        <v>2</v>
      </c>
      <c r="H236" s="14" t="n">
        <v>29330</v>
      </c>
      <c r="I236" s="14" t="n">
        <v>28847.12</v>
      </c>
      <c r="J236" s="24" t="n">
        <v>0.97</v>
      </c>
      <c r="K236" s="19" t="n">
        <v>0</v>
      </c>
      <c r="L236" s="13" t="str">
        <f aca="false">IF(D236&gt;=Inputs!$C$14,"Near-prime","Non-prime")</f>
        <v>Near-prime</v>
      </c>
      <c r="M236" s="19" t="n">
        <f aca="false">IF(K236&lt;=Inputs!$C$19,1,0)</f>
        <v>1</v>
      </c>
      <c r="N236" s="19" t="n">
        <f aca="false">IF(F236&lt;=Inputs!$C$20,1,0)</f>
        <v>1</v>
      </c>
      <c r="O236" s="19" t="n">
        <f aca="false">IF(J236&lt;=Inputs!$C$21,1,0)</f>
        <v>1</v>
      </c>
      <c r="P236" s="19" t="n">
        <f aca="false">IF(D236&gt;=Inputs!$C$22,1,0)</f>
        <v>1</v>
      </c>
      <c r="Q236" s="19" t="n">
        <f aca="false">IF(I236&lt;=Inputs!$C$23,1,0)</f>
        <v>1</v>
      </c>
      <c r="R236" s="19" t="n">
        <f aca="false">M236*N236*O236*P236*Q236</f>
        <v>1</v>
      </c>
      <c r="S236" s="14" t="n">
        <f aca="false">I236*R236</f>
        <v>28847.12</v>
      </c>
      <c r="T236" s="19" t="n">
        <f aca="false">IF(F236&gt;72,1,0)</f>
        <v>0</v>
      </c>
      <c r="U236" s="19" t="n">
        <f aca="false">IF(J236&gt;1.25,1,0)</f>
        <v>0</v>
      </c>
    </row>
    <row r="237" customFormat="false" ht="15" hidden="false" customHeight="false" outlineLevel="0" collapsed="false">
      <c r="B237" s="13" t="s">
        <v>457</v>
      </c>
      <c r="C237" s="13" t="s">
        <v>217</v>
      </c>
      <c r="D237" s="19" t="n">
        <v>655</v>
      </c>
      <c r="E237" s="23" t="n">
        <v>0.2104</v>
      </c>
      <c r="F237" s="19" t="n">
        <v>66</v>
      </c>
      <c r="G237" s="19" t="n">
        <v>4</v>
      </c>
      <c r="H237" s="14" t="n">
        <v>23740</v>
      </c>
      <c r="I237" s="14" t="n">
        <v>22944.72</v>
      </c>
      <c r="J237" s="24" t="n">
        <v>1.197</v>
      </c>
      <c r="K237" s="19" t="n">
        <v>0</v>
      </c>
      <c r="L237" s="13" t="str">
        <f aca="false">IF(D237&gt;=Inputs!$C$14,"Near-prime","Non-prime")</f>
        <v>Near-prime</v>
      </c>
      <c r="M237" s="19" t="n">
        <f aca="false">IF(K237&lt;=Inputs!$C$19,1,0)</f>
        <v>1</v>
      </c>
      <c r="N237" s="19" t="n">
        <f aca="false">IF(F237&lt;=Inputs!$C$20,1,0)</f>
        <v>1</v>
      </c>
      <c r="O237" s="19" t="n">
        <f aca="false">IF(J237&lt;=Inputs!$C$21,1,0)</f>
        <v>1</v>
      </c>
      <c r="P237" s="19" t="n">
        <f aca="false">IF(D237&gt;=Inputs!$C$22,1,0)</f>
        <v>1</v>
      </c>
      <c r="Q237" s="19" t="n">
        <f aca="false">IF(I237&lt;=Inputs!$C$23,1,0)</f>
        <v>1</v>
      </c>
      <c r="R237" s="19" t="n">
        <f aca="false">M237*N237*O237*P237*Q237</f>
        <v>1</v>
      </c>
      <c r="S237" s="14" t="n">
        <f aca="false">I237*R237</f>
        <v>22944.72</v>
      </c>
      <c r="T237" s="19" t="n">
        <f aca="false">IF(F237&gt;72,1,0)</f>
        <v>0</v>
      </c>
      <c r="U237" s="19" t="n">
        <f aca="false">IF(J237&gt;1.25,1,0)</f>
        <v>0</v>
      </c>
    </row>
    <row r="238" customFormat="false" ht="15" hidden="false" customHeight="false" outlineLevel="0" collapsed="false">
      <c r="B238" s="13" t="s">
        <v>458</v>
      </c>
      <c r="C238" s="13" t="s">
        <v>257</v>
      </c>
      <c r="D238" s="19" t="n">
        <v>767</v>
      </c>
      <c r="E238" s="23" t="n">
        <v>0.1788</v>
      </c>
      <c r="F238" s="19" t="n">
        <v>72</v>
      </c>
      <c r="G238" s="19" t="n">
        <v>3</v>
      </c>
      <c r="H238" s="14" t="n">
        <v>26140</v>
      </c>
      <c r="I238" s="14" t="n">
        <v>25515.98</v>
      </c>
      <c r="J238" s="24" t="n">
        <v>1.14</v>
      </c>
      <c r="K238" s="19" t="n">
        <v>0</v>
      </c>
      <c r="L238" s="13" t="str">
        <f aca="false">IF(D238&gt;=Inputs!$C$14,"Near-prime","Non-prime")</f>
        <v>Near-prime</v>
      </c>
      <c r="M238" s="19" t="n">
        <f aca="false">IF(K238&lt;=Inputs!$C$19,1,0)</f>
        <v>1</v>
      </c>
      <c r="N238" s="19" t="n">
        <f aca="false">IF(F238&lt;=Inputs!$C$20,1,0)</f>
        <v>1</v>
      </c>
      <c r="O238" s="19" t="n">
        <f aca="false">IF(J238&lt;=Inputs!$C$21,1,0)</f>
        <v>1</v>
      </c>
      <c r="P238" s="19" t="n">
        <f aca="false">IF(D238&gt;=Inputs!$C$22,1,0)</f>
        <v>1</v>
      </c>
      <c r="Q238" s="19" t="n">
        <f aca="false">IF(I238&lt;=Inputs!$C$23,1,0)</f>
        <v>1</v>
      </c>
      <c r="R238" s="19" t="n">
        <f aca="false">M238*N238*O238*P238*Q238</f>
        <v>1</v>
      </c>
      <c r="S238" s="14" t="n">
        <f aca="false">I238*R238</f>
        <v>25515.98</v>
      </c>
      <c r="T238" s="19" t="n">
        <f aca="false">IF(F238&gt;72,1,0)</f>
        <v>0</v>
      </c>
      <c r="U238" s="19" t="n">
        <f aca="false">IF(J238&gt;1.25,1,0)</f>
        <v>0</v>
      </c>
    </row>
    <row r="239" customFormat="false" ht="15" hidden="false" customHeight="false" outlineLevel="0" collapsed="false">
      <c r="B239" s="13" t="s">
        <v>459</v>
      </c>
      <c r="C239" s="13" t="s">
        <v>252</v>
      </c>
      <c r="D239" s="19" t="n">
        <v>580</v>
      </c>
      <c r="E239" s="23" t="n">
        <v>0.2198</v>
      </c>
      <c r="F239" s="19" t="n">
        <v>66</v>
      </c>
      <c r="G239" s="19" t="n">
        <v>8</v>
      </c>
      <c r="H239" s="14" t="n">
        <v>22940</v>
      </c>
      <c r="I239" s="14" t="n">
        <v>21390.28</v>
      </c>
      <c r="J239" s="24" t="n">
        <v>0.985</v>
      </c>
      <c r="K239" s="19" t="n">
        <v>0</v>
      </c>
      <c r="L239" s="13" t="str">
        <f aca="false">IF(D239&gt;=Inputs!$C$14,"Near-prime","Non-prime")</f>
        <v>Non-prime</v>
      </c>
      <c r="M239" s="19" t="n">
        <f aca="false">IF(K239&lt;=Inputs!$C$19,1,0)</f>
        <v>1</v>
      </c>
      <c r="N239" s="19" t="n">
        <f aca="false">IF(F239&lt;=Inputs!$C$20,1,0)</f>
        <v>1</v>
      </c>
      <c r="O239" s="19" t="n">
        <f aca="false">IF(J239&lt;=Inputs!$C$21,1,0)</f>
        <v>1</v>
      </c>
      <c r="P239" s="19" t="n">
        <f aca="false">IF(D239&gt;=Inputs!$C$22,1,0)</f>
        <v>1</v>
      </c>
      <c r="Q239" s="19" t="n">
        <f aca="false">IF(I239&lt;=Inputs!$C$23,1,0)</f>
        <v>1</v>
      </c>
      <c r="R239" s="19" t="n">
        <f aca="false">M239*N239*O239*P239*Q239</f>
        <v>1</v>
      </c>
      <c r="S239" s="14" t="n">
        <f aca="false">I239*R239</f>
        <v>21390.28</v>
      </c>
      <c r="T239" s="19" t="n">
        <f aca="false">IF(F239&gt;72,1,0)</f>
        <v>0</v>
      </c>
      <c r="U239" s="19" t="n">
        <f aca="false">IF(J239&gt;1.25,1,0)</f>
        <v>0</v>
      </c>
    </row>
    <row r="240" customFormat="false" ht="15" hidden="false" customHeight="false" outlineLevel="0" collapsed="false">
      <c r="B240" s="13" t="s">
        <v>460</v>
      </c>
      <c r="C240" s="13" t="s">
        <v>221</v>
      </c>
      <c r="D240" s="19" t="n">
        <v>610</v>
      </c>
      <c r="E240" s="23" t="n">
        <v>0.2085</v>
      </c>
      <c r="F240" s="19" t="n">
        <v>72</v>
      </c>
      <c r="G240" s="19" t="n">
        <v>6</v>
      </c>
      <c r="H240" s="14" t="n">
        <v>26390</v>
      </c>
      <c r="I240" s="14" t="n">
        <v>25220.26</v>
      </c>
      <c r="J240" s="24" t="n">
        <v>1.179</v>
      </c>
      <c r="K240" s="19" t="n">
        <v>0</v>
      </c>
      <c r="L240" s="13" t="str">
        <f aca="false">IF(D240&gt;=Inputs!$C$14,"Near-prime","Non-prime")</f>
        <v>Non-prime</v>
      </c>
      <c r="M240" s="19" t="n">
        <f aca="false">IF(K240&lt;=Inputs!$C$19,1,0)</f>
        <v>1</v>
      </c>
      <c r="N240" s="19" t="n">
        <f aca="false">IF(F240&lt;=Inputs!$C$20,1,0)</f>
        <v>1</v>
      </c>
      <c r="O240" s="19" t="n">
        <f aca="false">IF(J240&lt;=Inputs!$C$21,1,0)</f>
        <v>1</v>
      </c>
      <c r="P240" s="19" t="n">
        <f aca="false">IF(D240&gt;=Inputs!$C$22,1,0)</f>
        <v>1</v>
      </c>
      <c r="Q240" s="19" t="n">
        <f aca="false">IF(I240&lt;=Inputs!$C$23,1,0)</f>
        <v>1</v>
      </c>
      <c r="R240" s="19" t="n">
        <f aca="false">M240*N240*O240*P240*Q240</f>
        <v>1</v>
      </c>
      <c r="S240" s="14" t="n">
        <f aca="false">I240*R240</f>
        <v>25220.26</v>
      </c>
      <c r="T240" s="19" t="n">
        <f aca="false">IF(F240&gt;72,1,0)</f>
        <v>0</v>
      </c>
      <c r="U240" s="19" t="n">
        <f aca="false">IF(J240&gt;1.25,1,0)</f>
        <v>0</v>
      </c>
    </row>
    <row r="241" customFormat="false" ht="15" hidden="false" customHeight="false" outlineLevel="0" collapsed="false">
      <c r="B241" s="13" t="s">
        <v>461</v>
      </c>
      <c r="C241" s="13" t="s">
        <v>223</v>
      </c>
      <c r="D241" s="19" t="n">
        <v>626</v>
      </c>
      <c r="E241" s="23" t="n">
        <v>0.2359</v>
      </c>
      <c r="F241" s="19" t="n">
        <v>75</v>
      </c>
      <c r="G241" s="19" t="n">
        <v>4</v>
      </c>
      <c r="H241" s="14" t="n">
        <v>11600</v>
      </c>
      <c r="I241" s="14" t="n">
        <v>11315.87</v>
      </c>
      <c r="J241" s="24" t="n">
        <v>0.997</v>
      </c>
      <c r="K241" s="19" t="n">
        <v>0</v>
      </c>
      <c r="L241" s="13" t="str">
        <f aca="false">IF(D241&gt;=Inputs!$C$14,"Near-prime","Non-prime")</f>
        <v>Near-prime</v>
      </c>
      <c r="M241" s="19" t="n">
        <f aca="false">IF(K241&lt;=Inputs!$C$19,1,0)</f>
        <v>1</v>
      </c>
      <c r="N241" s="19" t="n">
        <f aca="false">IF(F241&lt;=Inputs!$C$20,1,0)</f>
        <v>1</v>
      </c>
      <c r="O241" s="19" t="n">
        <f aca="false">IF(J241&lt;=Inputs!$C$21,1,0)</f>
        <v>1</v>
      </c>
      <c r="P241" s="19" t="n">
        <f aca="false">IF(D241&gt;=Inputs!$C$22,1,0)</f>
        <v>1</v>
      </c>
      <c r="Q241" s="19" t="n">
        <f aca="false">IF(I241&lt;=Inputs!$C$23,1,0)</f>
        <v>1</v>
      </c>
      <c r="R241" s="19" t="n">
        <f aca="false">M241*N241*O241*P241*Q241</f>
        <v>1</v>
      </c>
      <c r="S241" s="14" t="n">
        <f aca="false">I241*R241</f>
        <v>11315.87</v>
      </c>
      <c r="T241" s="19" t="n">
        <f aca="false">IF(F241&gt;72,1,0)</f>
        <v>1</v>
      </c>
      <c r="U241" s="19" t="n">
        <f aca="false">IF(J241&gt;1.25,1,0)</f>
        <v>0</v>
      </c>
    </row>
    <row r="242" customFormat="false" ht="15" hidden="false" customHeight="false" outlineLevel="0" collapsed="false">
      <c r="B242" s="13" t="s">
        <v>462</v>
      </c>
      <c r="C242" s="13" t="s">
        <v>223</v>
      </c>
      <c r="D242" s="19" t="n">
        <v>581</v>
      </c>
      <c r="E242" s="23" t="n">
        <v>0.2133</v>
      </c>
      <c r="F242" s="19" t="n">
        <v>72</v>
      </c>
      <c r="G242" s="19" t="n">
        <v>9</v>
      </c>
      <c r="H242" s="14" t="n">
        <v>26570</v>
      </c>
      <c r="I242" s="14" t="n">
        <v>24783.57</v>
      </c>
      <c r="J242" s="24" t="n">
        <v>1.053</v>
      </c>
      <c r="K242" s="19" t="n">
        <v>0</v>
      </c>
      <c r="L242" s="13" t="str">
        <f aca="false">IF(D242&gt;=Inputs!$C$14,"Near-prime","Non-prime")</f>
        <v>Non-prime</v>
      </c>
      <c r="M242" s="19" t="n">
        <f aca="false">IF(K242&lt;=Inputs!$C$19,1,0)</f>
        <v>1</v>
      </c>
      <c r="N242" s="19" t="n">
        <f aca="false">IF(F242&lt;=Inputs!$C$20,1,0)</f>
        <v>1</v>
      </c>
      <c r="O242" s="19" t="n">
        <f aca="false">IF(J242&lt;=Inputs!$C$21,1,0)</f>
        <v>1</v>
      </c>
      <c r="P242" s="19" t="n">
        <f aca="false">IF(D242&gt;=Inputs!$C$22,1,0)</f>
        <v>1</v>
      </c>
      <c r="Q242" s="19" t="n">
        <f aca="false">IF(I242&lt;=Inputs!$C$23,1,0)</f>
        <v>1</v>
      </c>
      <c r="R242" s="19" t="n">
        <f aca="false">M242*N242*O242*P242*Q242</f>
        <v>1</v>
      </c>
      <c r="S242" s="14" t="n">
        <f aca="false">I242*R242</f>
        <v>24783.57</v>
      </c>
      <c r="T242" s="19" t="n">
        <f aca="false">IF(F242&gt;72,1,0)</f>
        <v>0</v>
      </c>
      <c r="U242" s="19" t="n">
        <f aca="false">IF(J242&gt;1.25,1,0)</f>
        <v>0</v>
      </c>
    </row>
    <row r="243" customFormat="false" ht="15" hidden="false" customHeight="false" outlineLevel="0" collapsed="false">
      <c r="B243" s="13" t="s">
        <v>463</v>
      </c>
      <c r="C243" s="13" t="s">
        <v>219</v>
      </c>
      <c r="D243" s="19" t="n">
        <v>577</v>
      </c>
      <c r="E243" s="23" t="n">
        <v>0.2281</v>
      </c>
      <c r="F243" s="19" t="n">
        <v>72</v>
      </c>
      <c r="G243" s="19" t="n">
        <v>6</v>
      </c>
      <c r="H243" s="14" t="n">
        <v>43780</v>
      </c>
      <c r="I243" s="14" t="n">
        <v>41961.58</v>
      </c>
      <c r="J243" s="24" t="n">
        <v>1.01</v>
      </c>
      <c r="K243" s="19" t="n">
        <v>0</v>
      </c>
      <c r="L243" s="13" t="str">
        <f aca="false">IF(D243&gt;=Inputs!$C$14,"Near-prime","Non-prime")</f>
        <v>Non-prime</v>
      </c>
      <c r="M243" s="19" t="n">
        <f aca="false">IF(K243&lt;=Inputs!$C$19,1,0)</f>
        <v>1</v>
      </c>
      <c r="N243" s="19" t="n">
        <f aca="false">IF(F243&lt;=Inputs!$C$20,1,0)</f>
        <v>1</v>
      </c>
      <c r="O243" s="19" t="n">
        <f aca="false">IF(J243&lt;=Inputs!$C$21,1,0)</f>
        <v>1</v>
      </c>
      <c r="P243" s="19" t="n">
        <f aca="false">IF(D243&gt;=Inputs!$C$22,1,0)</f>
        <v>1</v>
      </c>
      <c r="Q243" s="19" t="n">
        <f aca="false">IF(I243&lt;=Inputs!$C$23,1,0)</f>
        <v>1</v>
      </c>
      <c r="R243" s="19" t="n">
        <f aca="false">M243*N243*O243*P243*Q243</f>
        <v>1</v>
      </c>
      <c r="S243" s="14" t="n">
        <f aca="false">I243*R243</f>
        <v>41961.58</v>
      </c>
      <c r="T243" s="19" t="n">
        <f aca="false">IF(F243&gt;72,1,0)</f>
        <v>0</v>
      </c>
      <c r="U243" s="19" t="n">
        <f aca="false">IF(J243&gt;1.25,1,0)</f>
        <v>0</v>
      </c>
    </row>
    <row r="244" customFormat="false" ht="15" hidden="false" customHeight="false" outlineLevel="0" collapsed="false">
      <c r="B244" s="13" t="s">
        <v>464</v>
      </c>
      <c r="C244" s="13" t="s">
        <v>223</v>
      </c>
      <c r="D244" s="19" t="n">
        <v>565</v>
      </c>
      <c r="E244" s="23" t="n">
        <v>0.2276</v>
      </c>
      <c r="F244" s="19" t="n">
        <v>60</v>
      </c>
      <c r="G244" s="19" t="n">
        <v>8</v>
      </c>
      <c r="H244" s="14" t="n">
        <v>27030</v>
      </c>
      <c r="I244" s="14" t="n">
        <v>24929.73</v>
      </c>
      <c r="J244" s="24" t="n">
        <v>1.091</v>
      </c>
      <c r="K244" s="19" t="n">
        <v>0</v>
      </c>
      <c r="L244" s="13" t="str">
        <f aca="false">IF(D244&gt;=Inputs!$C$14,"Near-prime","Non-prime")</f>
        <v>Non-prime</v>
      </c>
      <c r="M244" s="19" t="n">
        <f aca="false">IF(K244&lt;=Inputs!$C$19,1,0)</f>
        <v>1</v>
      </c>
      <c r="N244" s="19" t="n">
        <f aca="false">IF(F244&lt;=Inputs!$C$20,1,0)</f>
        <v>1</v>
      </c>
      <c r="O244" s="19" t="n">
        <f aca="false">IF(J244&lt;=Inputs!$C$21,1,0)</f>
        <v>1</v>
      </c>
      <c r="P244" s="19" t="n">
        <f aca="false">IF(D244&gt;=Inputs!$C$22,1,0)</f>
        <v>1</v>
      </c>
      <c r="Q244" s="19" t="n">
        <f aca="false">IF(I244&lt;=Inputs!$C$23,1,0)</f>
        <v>1</v>
      </c>
      <c r="R244" s="19" t="n">
        <f aca="false">M244*N244*O244*P244*Q244</f>
        <v>1</v>
      </c>
      <c r="S244" s="14" t="n">
        <f aca="false">I244*R244</f>
        <v>24929.73</v>
      </c>
      <c r="T244" s="19" t="n">
        <f aca="false">IF(F244&gt;72,1,0)</f>
        <v>0</v>
      </c>
      <c r="U244" s="19" t="n">
        <f aca="false">IF(J244&gt;1.25,1,0)</f>
        <v>0</v>
      </c>
    </row>
    <row r="245" customFormat="false" ht="15" hidden="false" customHeight="false" outlineLevel="0" collapsed="false">
      <c r="B245" s="13" t="s">
        <v>465</v>
      </c>
      <c r="C245" s="13" t="s">
        <v>221</v>
      </c>
      <c r="D245" s="19" t="n">
        <v>643</v>
      </c>
      <c r="E245" s="23" t="n">
        <v>0.2085</v>
      </c>
      <c r="F245" s="19" t="n">
        <v>60</v>
      </c>
      <c r="G245" s="19" t="n">
        <v>9</v>
      </c>
      <c r="H245" s="14" t="n">
        <v>20220</v>
      </c>
      <c r="I245" s="14" t="n">
        <v>18347.68</v>
      </c>
      <c r="J245" s="24" t="n">
        <v>1.222</v>
      </c>
      <c r="K245" s="19" t="n">
        <v>0</v>
      </c>
      <c r="L245" s="13" t="str">
        <f aca="false">IF(D245&gt;=Inputs!$C$14,"Near-prime","Non-prime")</f>
        <v>Near-prime</v>
      </c>
      <c r="M245" s="19" t="n">
        <f aca="false">IF(K245&lt;=Inputs!$C$19,1,0)</f>
        <v>1</v>
      </c>
      <c r="N245" s="19" t="n">
        <f aca="false">IF(F245&lt;=Inputs!$C$20,1,0)</f>
        <v>1</v>
      </c>
      <c r="O245" s="19" t="n">
        <f aca="false">IF(J245&lt;=Inputs!$C$21,1,0)</f>
        <v>1</v>
      </c>
      <c r="P245" s="19" t="n">
        <f aca="false">IF(D245&gt;=Inputs!$C$22,1,0)</f>
        <v>1</v>
      </c>
      <c r="Q245" s="19" t="n">
        <f aca="false">IF(I245&lt;=Inputs!$C$23,1,0)</f>
        <v>1</v>
      </c>
      <c r="R245" s="19" t="n">
        <f aca="false">M245*N245*O245*P245*Q245</f>
        <v>1</v>
      </c>
      <c r="S245" s="14" t="n">
        <f aca="false">I245*R245</f>
        <v>18347.68</v>
      </c>
      <c r="T245" s="19" t="n">
        <f aca="false">IF(F245&gt;72,1,0)</f>
        <v>0</v>
      </c>
      <c r="U245" s="19" t="n">
        <f aca="false">IF(J245&gt;1.25,1,0)</f>
        <v>0</v>
      </c>
    </row>
    <row r="246" customFormat="false" ht="15" hidden="false" customHeight="false" outlineLevel="0" collapsed="false">
      <c r="B246" s="13" t="s">
        <v>466</v>
      </c>
      <c r="C246" s="13" t="s">
        <v>226</v>
      </c>
      <c r="D246" s="19" t="n">
        <v>618</v>
      </c>
      <c r="E246" s="23" t="n">
        <v>0.2254</v>
      </c>
      <c r="F246" s="19" t="n">
        <v>60</v>
      </c>
      <c r="G246" s="19" t="n">
        <v>6</v>
      </c>
      <c r="H246" s="14" t="n">
        <v>37690</v>
      </c>
      <c r="I246" s="14" t="n">
        <v>35522.73</v>
      </c>
      <c r="J246" s="24" t="n">
        <v>0.874</v>
      </c>
      <c r="K246" s="19" t="n">
        <v>0</v>
      </c>
      <c r="L246" s="13" t="str">
        <f aca="false">IF(D246&gt;=Inputs!$C$14,"Near-prime","Non-prime")</f>
        <v>Non-prime</v>
      </c>
      <c r="M246" s="19" t="n">
        <f aca="false">IF(K246&lt;=Inputs!$C$19,1,0)</f>
        <v>1</v>
      </c>
      <c r="N246" s="19" t="n">
        <f aca="false">IF(F246&lt;=Inputs!$C$20,1,0)</f>
        <v>1</v>
      </c>
      <c r="O246" s="19" t="n">
        <f aca="false">IF(J246&lt;=Inputs!$C$21,1,0)</f>
        <v>1</v>
      </c>
      <c r="P246" s="19" t="n">
        <f aca="false">IF(D246&gt;=Inputs!$C$22,1,0)</f>
        <v>1</v>
      </c>
      <c r="Q246" s="19" t="n">
        <f aca="false">IF(I246&lt;=Inputs!$C$23,1,0)</f>
        <v>1</v>
      </c>
      <c r="R246" s="19" t="n">
        <f aca="false">M246*N246*O246*P246*Q246</f>
        <v>1</v>
      </c>
      <c r="S246" s="14" t="n">
        <f aca="false">I246*R246</f>
        <v>35522.73</v>
      </c>
      <c r="T246" s="19" t="n">
        <f aca="false">IF(F246&gt;72,1,0)</f>
        <v>0</v>
      </c>
      <c r="U246" s="19" t="n">
        <f aca="false">IF(J246&gt;1.25,1,0)</f>
        <v>0</v>
      </c>
    </row>
    <row r="247" customFormat="false" ht="15" hidden="false" customHeight="false" outlineLevel="0" collapsed="false">
      <c r="B247" s="13" t="s">
        <v>467</v>
      </c>
      <c r="C247" s="13" t="s">
        <v>228</v>
      </c>
      <c r="D247" s="19" t="n">
        <v>654</v>
      </c>
      <c r="E247" s="23" t="n">
        <v>0.2121</v>
      </c>
      <c r="F247" s="19" t="n">
        <v>72</v>
      </c>
      <c r="G247" s="19" t="n">
        <v>2</v>
      </c>
      <c r="H247" s="14" t="n">
        <v>26560</v>
      </c>
      <c r="I247" s="14" t="n">
        <v>26185.71</v>
      </c>
      <c r="J247" s="24" t="n">
        <v>1.154</v>
      </c>
      <c r="K247" s="19" t="n">
        <v>0</v>
      </c>
      <c r="L247" s="13" t="str">
        <f aca="false">IF(D247&gt;=Inputs!$C$14,"Near-prime","Non-prime")</f>
        <v>Near-prime</v>
      </c>
      <c r="M247" s="19" t="n">
        <f aca="false">IF(K247&lt;=Inputs!$C$19,1,0)</f>
        <v>1</v>
      </c>
      <c r="N247" s="19" t="n">
        <f aca="false">IF(F247&lt;=Inputs!$C$20,1,0)</f>
        <v>1</v>
      </c>
      <c r="O247" s="19" t="n">
        <f aca="false">IF(J247&lt;=Inputs!$C$21,1,0)</f>
        <v>1</v>
      </c>
      <c r="P247" s="19" t="n">
        <f aca="false">IF(D247&gt;=Inputs!$C$22,1,0)</f>
        <v>1</v>
      </c>
      <c r="Q247" s="19" t="n">
        <f aca="false">IF(I247&lt;=Inputs!$C$23,1,0)</f>
        <v>1</v>
      </c>
      <c r="R247" s="19" t="n">
        <f aca="false">M247*N247*O247*P247*Q247</f>
        <v>1</v>
      </c>
      <c r="S247" s="14" t="n">
        <f aca="false">I247*R247</f>
        <v>26185.71</v>
      </c>
      <c r="T247" s="19" t="n">
        <f aca="false">IF(F247&gt;72,1,0)</f>
        <v>0</v>
      </c>
      <c r="U247" s="19" t="n">
        <f aca="false">IF(J247&gt;1.25,1,0)</f>
        <v>0</v>
      </c>
    </row>
    <row r="248" customFormat="false" ht="15" hidden="false" customHeight="false" outlineLevel="0" collapsed="false">
      <c r="B248" s="13" t="s">
        <v>468</v>
      </c>
      <c r="C248" s="13" t="s">
        <v>233</v>
      </c>
      <c r="D248" s="19" t="n">
        <v>571</v>
      </c>
      <c r="E248" s="23" t="n">
        <v>0.2029</v>
      </c>
      <c r="F248" s="19" t="n">
        <v>60</v>
      </c>
      <c r="G248" s="19" t="n">
        <v>7</v>
      </c>
      <c r="H248" s="14" t="n">
        <v>26990</v>
      </c>
      <c r="I248" s="14" t="n">
        <v>25052.38</v>
      </c>
      <c r="J248" s="24" t="n">
        <v>1.045</v>
      </c>
      <c r="K248" s="19" t="n">
        <v>15</v>
      </c>
      <c r="L248" s="13" t="str">
        <f aca="false">IF(D248&gt;=Inputs!$C$14,"Near-prime","Non-prime")</f>
        <v>Non-prime</v>
      </c>
      <c r="M248" s="19" t="n">
        <f aca="false">IF(K248&lt;=Inputs!$C$19,1,0)</f>
        <v>1</v>
      </c>
      <c r="N248" s="19" t="n">
        <f aca="false">IF(F248&lt;=Inputs!$C$20,1,0)</f>
        <v>1</v>
      </c>
      <c r="O248" s="19" t="n">
        <f aca="false">IF(J248&lt;=Inputs!$C$21,1,0)</f>
        <v>1</v>
      </c>
      <c r="P248" s="19" t="n">
        <f aca="false">IF(D248&gt;=Inputs!$C$22,1,0)</f>
        <v>1</v>
      </c>
      <c r="Q248" s="19" t="n">
        <f aca="false">IF(I248&lt;=Inputs!$C$23,1,0)</f>
        <v>1</v>
      </c>
      <c r="R248" s="19" t="n">
        <f aca="false">M248*N248*O248*P248*Q248</f>
        <v>1</v>
      </c>
      <c r="S248" s="14" t="n">
        <f aca="false">I248*R248</f>
        <v>25052.38</v>
      </c>
      <c r="T248" s="19" t="n">
        <f aca="false">IF(F248&gt;72,1,0)</f>
        <v>0</v>
      </c>
      <c r="U248" s="19" t="n">
        <f aca="false">IF(J248&gt;1.25,1,0)</f>
        <v>0</v>
      </c>
    </row>
    <row r="249" customFormat="false" ht="15" hidden="false" customHeight="false" outlineLevel="0" collapsed="false">
      <c r="B249" s="13" t="s">
        <v>469</v>
      </c>
      <c r="C249" s="13" t="s">
        <v>221</v>
      </c>
      <c r="D249" s="19" t="n">
        <v>599</v>
      </c>
      <c r="E249" s="23" t="n">
        <v>0.1978</v>
      </c>
      <c r="F249" s="19" t="n">
        <v>60</v>
      </c>
      <c r="G249" s="19" t="n">
        <v>5</v>
      </c>
      <c r="H249" s="14" t="n">
        <v>47420</v>
      </c>
      <c r="I249" s="14" t="n">
        <v>44996.91</v>
      </c>
      <c r="J249" s="24" t="n">
        <v>0.967</v>
      </c>
      <c r="K249" s="19" t="n">
        <v>0</v>
      </c>
      <c r="L249" s="13" t="str">
        <f aca="false">IF(D249&gt;=Inputs!$C$14,"Near-prime","Non-prime")</f>
        <v>Non-prime</v>
      </c>
      <c r="M249" s="19" t="n">
        <f aca="false">IF(K249&lt;=Inputs!$C$19,1,0)</f>
        <v>1</v>
      </c>
      <c r="N249" s="19" t="n">
        <f aca="false">IF(F249&lt;=Inputs!$C$20,1,0)</f>
        <v>1</v>
      </c>
      <c r="O249" s="19" t="n">
        <f aca="false">IF(J249&lt;=Inputs!$C$21,1,0)</f>
        <v>1</v>
      </c>
      <c r="P249" s="19" t="n">
        <f aca="false">IF(D249&gt;=Inputs!$C$22,1,0)</f>
        <v>1</v>
      </c>
      <c r="Q249" s="19" t="n">
        <f aca="false">IF(I249&lt;=Inputs!$C$23,1,0)</f>
        <v>1</v>
      </c>
      <c r="R249" s="19" t="n">
        <f aca="false">M249*N249*O249*P249*Q249</f>
        <v>1</v>
      </c>
      <c r="S249" s="14" t="n">
        <f aca="false">I249*R249</f>
        <v>44996.91</v>
      </c>
      <c r="T249" s="19" t="n">
        <f aca="false">IF(F249&gt;72,1,0)</f>
        <v>0</v>
      </c>
      <c r="U249" s="19" t="n">
        <f aca="false">IF(J249&gt;1.25,1,0)</f>
        <v>0</v>
      </c>
    </row>
    <row r="250" customFormat="false" ht="15" hidden="false" customHeight="false" outlineLevel="0" collapsed="false">
      <c r="B250" s="13" t="s">
        <v>470</v>
      </c>
      <c r="C250" s="13" t="s">
        <v>217</v>
      </c>
      <c r="D250" s="19" t="n">
        <v>693</v>
      </c>
      <c r="E250" s="23" t="n">
        <v>0.1909</v>
      </c>
      <c r="F250" s="19" t="n">
        <v>75</v>
      </c>
      <c r="G250" s="19" t="n">
        <v>0</v>
      </c>
      <c r="H250" s="14" t="n">
        <v>27860</v>
      </c>
      <c r="I250" s="14" t="n">
        <v>27860</v>
      </c>
      <c r="J250" s="24" t="n">
        <v>0.885</v>
      </c>
      <c r="K250" s="19" t="n">
        <v>0</v>
      </c>
      <c r="L250" s="13" t="str">
        <f aca="false">IF(D250&gt;=Inputs!$C$14,"Near-prime","Non-prime")</f>
        <v>Near-prime</v>
      </c>
      <c r="M250" s="19" t="n">
        <f aca="false">IF(K250&lt;=Inputs!$C$19,1,0)</f>
        <v>1</v>
      </c>
      <c r="N250" s="19" t="n">
        <f aca="false">IF(F250&lt;=Inputs!$C$20,1,0)</f>
        <v>1</v>
      </c>
      <c r="O250" s="19" t="n">
        <f aca="false">IF(J250&lt;=Inputs!$C$21,1,0)</f>
        <v>1</v>
      </c>
      <c r="P250" s="19" t="n">
        <f aca="false">IF(D250&gt;=Inputs!$C$22,1,0)</f>
        <v>1</v>
      </c>
      <c r="Q250" s="19" t="n">
        <f aca="false">IF(I250&lt;=Inputs!$C$23,1,0)</f>
        <v>1</v>
      </c>
      <c r="R250" s="19" t="n">
        <f aca="false">M250*N250*O250*P250*Q250</f>
        <v>1</v>
      </c>
      <c r="S250" s="14" t="n">
        <f aca="false">I250*R250</f>
        <v>27860</v>
      </c>
      <c r="T250" s="19" t="n">
        <f aca="false">IF(F250&gt;72,1,0)</f>
        <v>1</v>
      </c>
      <c r="U250" s="19" t="n">
        <f aca="false">IF(J250&gt;1.25,1,0)</f>
        <v>0</v>
      </c>
    </row>
    <row r="251" customFormat="false" ht="15" hidden="false" customHeight="false" outlineLevel="0" collapsed="false">
      <c r="B251" s="13" t="s">
        <v>471</v>
      </c>
      <c r="C251" s="13" t="s">
        <v>217</v>
      </c>
      <c r="D251" s="19" t="n">
        <v>684</v>
      </c>
      <c r="E251" s="23" t="n">
        <v>0.2158</v>
      </c>
      <c r="F251" s="19" t="n">
        <v>60</v>
      </c>
      <c r="G251" s="19" t="n">
        <v>2</v>
      </c>
      <c r="H251" s="14" t="n">
        <v>18860</v>
      </c>
      <c r="I251" s="14" t="n">
        <v>18502.35</v>
      </c>
      <c r="J251" s="24" t="n">
        <v>1.191</v>
      </c>
      <c r="K251" s="19" t="n">
        <v>0</v>
      </c>
      <c r="L251" s="13" t="str">
        <f aca="false">IF(D251&gt;=Inputs!$C$14,"Near-prime","Non-prime")</f>
        <v>Near-prime</v>
      </c>
      <c r="M251" s="19" t="n">
        <f aca="false">IF(K251&lt;=Inputs!$C$19,1,0)</f>
        <v>1</v>
      </c>
      <c r="N251" s="19" t="n">
        <f aca="false">IF(F251&lt;=Inputs!$C$20,1,0)</f>
        <v>1</v>
      </c>
      <c r="O251" s="19" t="n">
        <f aca="false">IF(J251&lt;=Inputs!$C$21,1,0)</f>
        <v>1</v>
      </c>
      <c r="P251" s="19" t="n">
        <f aca="false">IF(D251&gt;=Inputs!$C$22,1,0)</f>
        <v>1</v>
      </c>
      <c r="Q251" s="19" t="n">
        <f aca="false">IF(I251&lt;=Inputs!$C$23,1,0)</f>
        <v>1</v>
      </c>
      <c r="R251" s="19" t="n">
        <f aca="false">M251*N251*O251*P251*Q251</f>
        <v>1</v>
      </c>
      <c r="S251" s="14" t="n">
        <f aca="false">I251*R251</f>
        <v>18502.35</v>
      </c>
      <c r="T251" s="19" t="n">
        <f aca="false">IF(F251&gt;72,1,0)</f>
        <v>0</v>
      </c>
      <c r="U251" s="19" t="n">
        <f aca="false">IF(J251&gt;1.25,1,0)</f>
        <v>0</v>
      </c>
    </row>
    <row r="252" customFormat="false" ht="15" hidden="false" customHeight="false" outlineLevel="0" collapsed="false">
      <c r="B252" s="13" t="s">
        <v>472</v>
      </c>
      <c r="C252" s="13" t="s">
        <v>221</v>
      </c>
      <c r="D252" s="19" t="n">
        <v>564</v>
      </c>
      <c r="E252" s="23" t="n">
        <v>0.2482</v>
      </c>
      <c r="F252" s="19" t="n">
        <v>60</v>
      </c>
      <c r="G252" s="19" t="n">
        <v>9</v>
      </c>
      <c r="H252" s="14" t="n">
        <v>17590</v>
      </c>
      <c r="I252" s="14" t="n">
        <v>16116.73</v>
      </c>
      <c r="J252" s="24" t="n">
        <v>1.027</v>
      </c>
      <c r="K252" s="19" t="n">
        <v>30</v>
      </c>
      <c r="L252" s="13" t="str">
        <f aca="false">IF(D252&gt;=Inputs!$C$14,"Near-prime","Non-prime")</f>
        <v>Non-prime</v>
      </c>
      <c r="M252" s="19" t="n">
        <f aca="false">IF(K252&lt;=Inputs!$C$19,1,0)</f>
        <v>1</v>
      </c>
      <c r="N252" s="19" t="n">
        <f aca="false">IF(F252&lt;=Inputs!$C$20,1,0)</f>
        <v>1</v>
      </c>
      <c r="O252" s="19" t="n">
        <f aca="false">IF(J252&lt;=Inputs!$C$21,1,0)</f>
        <v>1</v>
      </c>
      <c r="P252" s="19" t="n">
        <f aca="false">IF(D252&gt;=Inputs!$C$22,1,0)</f>
        <v>1</v>
      </c>
      <c r="Q252" s="19" t="n">
        <f aca="false">IF(I252&lt;=Inputs!$C$23,1,0)</f>
        <v>1</v>
      </c>
      <c r="R252" s="19" t="n">
        <f aca="false">M252*N252*O252*P252*Q252</f>
        <v>1</v>
      </c>
      <c r="S252" s="14" t="n">
        <f aca="false">I252*R252</f>
        <v>16116.73</v>
      </c>
      <c r="T252" s="19" t="n">
        <f aca="false">IF(F252&gt;72,1,0)</f>
        <v>0</v>
      </c>
      <c r="U252" s="19" t="n">
        <f aca="false">IF(J252&gt;1.25,1,0)</f>
        <v>0</v>
      </c>
    </row>
    <row r="253" customFormat="false" ht="15" hidden="false" customHeight="false" outlineLevel="0" collapsed="false">
      <c r="B253" s="13" t="s">
        <v>473</v>
      </c>
      <c r="C253" s="13" t="s">
        <v>217</v>
      </c>
      <c r="D253" s="19" t="n">
        <v>688</v>
      </c>
      <c r="E253" s="23" t="n">
        <v>0.1938</v>
      </c>
      <c r="F253" s="19" t="n">
        <v>60</v>
      </c>
      <c r="G253" s="19" t="n">
        <v>10</v>
      </c>
      <c r="H253" s="14" t="n">
        <v>34950</v>
      </c>
      <c r="I253" s="14" t="n">
        <v>31189.71</v>
      </c>
      <c r="J253" s="24" t="n">
        <v>1.126</v>
      </c>
      <c r="K253" s="19" t="n">
        <v>0</v>
      </c>
      <c r="L253" s="13" t="str">
        <f aca="false">IF(D253&gt;=Inputs!$C$14,"Near-prime","Non-prime")</f>
        <v>Near-prime</v>
      </c>
      <c r="M253" s="19" t="n">
        <f aca="false">IF(K253&lt;=Inputs!$C$19,1,0)</f>
        <v>1</v>
      </c>
      <c r="N253" s="19" t="n">
        <f aca="false">IF(F253&lt;=Inputs!$C$20,1,0)</f>
        <v>1</v>
      </c>
      <c r="O253" s="19" t="n">
        <f aca="false">IF(J253&lt;=Inputs!$C$21,1,0)</f>
        <v>1</v>
      </c>
      <c r="P253" s="19" t="n">
        <f aca="false">IF(D253&gt;=Inputs!$C$22,1,0)</f>
        <v>1</v>
      </c>
      <c r="Q253" s="19" t="n">
        <f aca="false">IF(I253&lt;=Inputs!$C$23,1,0)</f>
        <v>1</v>
      </c>
      <c r="R253" s="19" t="n">
        <f aca="false">M253*N253*O253*P253*Q253</f>
        <v>1</v>
      </c>
      <c r="S253" s="14" t="n">
        <f aca="false">I253*R253</f>
        <v>31189.71</v>
      </c>
      <c r="T253" s="19" t="n">
        <f aca="false">IF(F253&gt;72,1,0)</f>
        <v>0</v>
      </c>
      <c r="U253" s="19" t="n">
        <f aca="false">IF(J253&gt;1.25,1,0)</f>
        <v>0</v>
      </c>
    </row>
    <row r="254" customFormat="false" ht="15" hidden="false" customHeight="false" outlineLevel="0" collapsed="false">
      <c r="B254" s="13" t="s">
        <v>474</v>
      </c>
      <c r="C254" s="13" t="s">
        <v>217</v>
      </c>
      <c r="D254" s="19" t="n">
        <v>616</v>
      </c>
      <c r="E254" s="23" t="n">
        <v>0.2147</v>
      </c>
      <c r="F254" s="19" t="n">
        <v>72</v>
      </c>
      <c r="G254" s="19" t="n">
        <v>8</v>
      </c>
      <c r="H254" s="14" t="n">
        <v>13360</v>
      </c>
      <c r="I254" s="14" t="n">
        <v>12572.29</v>
      </c>
      <c r="J254" s="24" t="n">
        <v>1.137</v>
      </c>
      <c r="K254" s="19" t="n">
        <v>0</v>
      </c>
      <c r="L254" s="13" t="str">
        <f aca="false">IF(D254&gt;=Inputs!$C$14,"Near-prime","Non-prime")</f>
        <v>Non-prime</v>
      </c>
      <c r="M254" s="19" t="n">
        <f aca="false">IF(K254&lt;=Inputs!$C$19,1,0)</f>
        <v>1</v>
      </c>
      <c r="N254" s="19" t="n">
        <f aca="false">IF(F254&lt;=Inputs!$C$20,1,0)</f>
        <v>1</v>
      </c>
      <c r="O254" s="19" t="n">
        <f aca="false">IF(J254&lt;=Inputs!$C$21,1,0)</f>
        <v>1</v>
      </c>
      <c r="P254" s="19" t="n">
        <f aca="false">IF(D254&gt;=Inputs!$C$22,1,0)</f>
        <v>1</v>
      </c>
      <c r="Q254" s="19" t="n">
        <f aca="false">IF(I254&lt;=Inputs!$C$23,1,0)</f>
        <v>1</v>
      </c>
      <c r="R254" s="19" t="n">
        <f aca="false">M254*N254*O254*P254*Q254</f>
        <v>1</v>
      </c>
      <c r="S254" s="14" t="n">
        <f aca="false">I254*R254</f>
        <v>12572.29</v>
      </c>
      <c r="T254" s="19" t="n">
        <f aca="false">IF(F254&gt;72,1,0)</f>
        <v>0</v>
      </c>
      <c r="U254" s="19" t="n">
        <f aca="false">IF(J254&gt;1.25,1,0)</f>
        <v>0</v>
      </c>
    </row>
    <row r="255" customFormat="false" ht="15" hidden="false" customHeight="false" outlineLevel="0" collapsed="false">
      <c r="B255" s="13" t="s">
        <v>475</v>
      </c>
      <c r="C255" s="13" t="s">
        <v>217</v>
      </c>
      <c r="D255" s="19" t="n">
        <v>587</v>
      </c>
      <c r="E255" s="23" t="n">
        <v>0.2069</v>
      </c>
      <c r="F255" s="19" t="n">
        <v>66</v>
      </c>
      <c r="G255" s="19" t="n">
        <v>10</v>
      </c>
      <c r="H255" s="14" t="n">
        <v>19780</v>
      </c>
      <c r="I255" s="14" t="n">
        <v>18015.83</v>
      </c>
      <c r="J255" s="24" t="n">
        <v>1.333</v>
      </c>
      <c r="K255" s="19" t="n">
        <v>0</v>
      </c>
      <c r="L255" s="13" t="str">
        <f aca="false">IF(D255&gt;=Inputs!$C$14,"Near-prime","Non-prime")</f>
        <v>Non-prime</v>
      </c>
      <c r="M255" s="19" t="n">
        <f aca="false">IF(K255&lt;=Inputs!$C$19,1,0)</f>
        <v>1</v>
      </c>
      <c r="N255" s="19" t="n">
        <f aca="false">IF(F255&lt;=Inputs!$C$20,1,0)</f>
        <v>1</v>
      </c>
      <c r="O255" s="19" t="n">
        <f aca="false">IF(J255&lt;=Inputs!$C$21,1,0)</f>
        <v>1</v>
      </c>
      <c r="P255" s="19" t="n">
        <f aca="false">IF(D255&gt;=Inputs!$C$22,1,0)</f>
        <v>1</v>
      </c>
      <c r="Q255" s="19" t="n">
        <f aca="false">IF(I255&lt;=Inputs!$C$23,1,0)</f>
        <v>1</v>
      </c>
      <c r="R255" s="19" t="n">
        <f aca="false">M255*N255*O255*P255*Q255</f>
        <v>1</v>
      </c>
      <c r="S255" s="14" t="n">
        <f aca="false">I255*R255</f>
        <v>18015.83</v>
      </c>
      <c r="T255" s="19" t="n">
        <f aca="false">IF(F255&gt;72,1,0)</f>
        <v>0</v>
      </c>
      <c r="U255" s="19" t="n">
        <f aca="false">IF(J255&gt;1.25,1,0)</f>
        <v>1</v>
      </c>
    </row>
    <row r="256" customFormat="false" ht="15" hidden="false" customHeight="false" outlineLevel="0" collapsed="false">
      <c r="B256" s="13" t="s">
        <v>476</v>
      </c>
      <c r="C256" s="13" t="s">
        <v>233</v>
      </c>
      <c r="D256" s="19" t="n">
        <v>683</v>
      </c>
      <c r="E256" s="23" t="n">
        <v>0.2032</v>
      </c>
      <c r="F256" s="19" t="n">
        <v>72</v>
      </c>
      <c r="G256" s="19" t="n">
        <v>3</v>
      </c>
      <c r="H256" s="14" t="n">
        <v>18620</v>
      </c>
      <c r="I256" s="14" t="n">
        <v>18210.66</v>
      </c>
      <c r="J256" s="24" t="n">
        <v>1.326</v>
      </c>
      <c r="K256" s="19" t="n">
        <v>75</v>
      </c>
      <c r="L256" s="13" t="str">
        <f aca="false">IF(D256&gt;=Inputs!$C$14,"Near-prime","Non-prime")</f>
        <v>Near-prime</v>
      </c>
      <c r="M256" s="19" t="n">
        <f aca="false">IF(K256&lt;=Inputs!$C$19,1,0)</f>
        <v>0</v>
      </c>
      <c r="N256" s="19" t="n">
        <f aca="false">IF(F256&lt;=Inputs!$C$20,1,0)</f>
        <v>1</v>
      </c>
      <c r="O256" s="19" t="n">
        <f aca="false">IF(J256&lt;=Inputs!$C$21,1,0)</f>
        <v>1</v>
      </c>
      <c r="P256" s="19" t="n">
        <f aca="false">IF(D256&gt;=Inputs!$C$22,1,0)</f>
        <v>1</v>
      </c>
      <c r="Q256" s="19" t="n">
        <f aca="false">IF(I256&lt;=Inputs!$C$23,1,0)</f>
        <v>1</v>
      </c>
      <c r="R256" s="19" t="n">
        <f aca="false">M256*N256*O256*P256*Q256</f>
        <v>0</v>
      </c>
      <c r="S256" s="14" t="n">
        <f aca="false">I256*R256</f>
        <v>0</v>
      </c>
      <c r="T256" s="19" t="n">
        <f aca="false">IF(F256&gt;72,1,0)</f>
        <v>0</v>
      </c>
      <c r="U256" s="19" t="n">
        <f aca="false">IF(J256&gt;1.25,1,0)</f>
        <v>1</v>
      </c>
    </row>
    <row r="257" customFormat="false" ht="15" hidden="false" customHeight="false" outlineLevel="0" collapsed="false">
      <c r="B257" s="13" t="s">
        <v>477</v>
      </c>
      <c r="C257" s="13" t="s">
        <v>217</v>
      </c>
      <c r="D257" s="19" t="n">
        <v>691</v>
      </c>
      <c r="E257" s="23" t="n">
        <v>0.2012</v>
      </c>
      <c r="F257" s="19" t="n">
        <v>60</v>
      </c>
      <c r="G257" s="19" t="n">
        <v>5</v>
      </c>
      <c r="H257" s="14" t="n">
        <v>33420</v>
      </c>
      <c r="I257" s="14" t="n">
        <v>31727.61</v>
      </c>
      <c r="J257" s="24" t="n">
        <v>1.235</v>
      </c>
      <c r="K257" s="19" t="n">
        <v>0</v>
      </c>
      <c r="L257" s="13" t="str">
        <f aca="false">IF(D257&gt;=Inputs!$C$14,"Near-prime","Non-prime")</f>
        <v>Near-prime</v>
      </c>
      <c r="M257" s="19" t="n">
        <f aca="false">IF(K257&lt;=Inputs!$C$19,1,0)</f>
        <v>1</v>
      </c>
      <c r="N257" s="19" t="n">
        <f aca="false">IF(F257&lt;=Inputs!$C$20,1,0)</f>
        <v>1</v>
      </c>
      <c r="O257" s="19" t="n">
        <f aca="false">IF(J257&lt;=Inputs!$C$21,1,0)</f>
        <v>1</v>
      </c>
      <c r="P257" s="19" t="n">
        <f aca="false">IF(D257&gt;=Inputs!$C$22,1,0)</f>
        <v>1</v>
      </c>
      <c r="Q257" s="19" t="n">
        <f aca="false">IF(I257&lt;=Inputs!$C$23,1,0)</f>
        <v>1</v>
      </c>
      <c r="R257" s="19" t="n">
        <f aca="false">M257*N257*O257*P257*Q257</f>
        <v>1</v>
      </c>
      <c r="S257" s="14" t="n">
        <f aca="false">I257*R257</f>
        <v>31727.61</v>
      </c>
      <c r="T257" s="19" t="n">
        <f aca="false">IF(F257&gt;72,1,0)</f>
        <v>0</v>
      </c>
      <c r="U257" s="19" t="n">
        <f aca="false">IF(J257&gt;1.25,1,0)</f>
        <v>0</v>
      </c>
    </row>
    <row r="258" customFormat="false" ht="15" hidden="false" customHeight="false" outlineLevel="0" collapsed="false">
      <c r="B258" s="13" t="s">
        <v>478</v>
      </c>
      <c r="C258" s="13" t="s">
        <v>217</v>
      </c>
      <c r="D258" s="19" t="n">
        <v>520</v>
      </c>
      <c r="E258" s="23" t="n">
        <v>0.2276</v>
      </c>
      <c r="F258" s="19" t="n">
        <v>84</v>
      </c>
      <c r="G258" s="19" t="n">
        <v>3</v>
      </c>
      <c r="H258" s="14" t="n">
        <v>21920</v>
      </c>
      <c r="I258" s="14" t="n">
        <v>21589.57</v>
      </c>
      <c r="J258" s="24" t="n">
        <v>1.244</v>
      </c>
      <c r="K258" s="19" t="n">
        <v>0</v>
      </c>
      <c r="L258" s="13" t="str">
        <f aca="false">IF(D258&gt;=Inputs!$C$14,"Near-prime","Non-prime")</f>
        <v>Non-prime</v>
      </c>
      <c r="M258" s="19" t="n">
        <f aca="false">IF(K258&lt;=Inputs!$C$19,1,0)</f>
        <v>1</v>
      </c>
      <c r="N258" s="19" t="n">
        <f aca="false">IF(F258&lt;=Inputs!$C$20,1,0)</f>
        <v>0</v>
      </c>
      <c r="O258" s="19" t="n">
        <f aca="false">IF(J258&lt;=Inputs!$C$21,1,0)</f>
        <v>1</v>
      </c>
      <c r="P258" s="19" t="n">
        <f aca="false">IF(D258&gt;=Inputs!$C$22,1,0)</f>
        <v>0</v>
      </c>
      <c r="Q258" s="19" t="n">
        <f aca="false">IF(I258&lt;=Inputs!$C$23,1,0)</f>
        <v>1</v>
      </c>
      <c r="R258" s="19" t="n">
        <f aca="false">M258*N258*O258*P258*Q258</f>
        <v>0</v>
      </c>
      <c r="S258" s="14" t="n">
        <f aca="false">I258*R258</f>
        <v>0</v>
      </c>
      <c r="T258" s="19" t="n">
        <f aca="false">IF(F258&gt;72,1,0)</f>
        <v>1</v>
      </c>
      <c r="U258" s="19" t="n">
        <f aca="false">IF(J258&gt;1.25,1,0)</f>
        <v>0</v>
      </c>
    </row>
    <row r="259" customFormat="false" ht="15" hidden="false" customHeight="false" outlineLevel="0" collapsed="false">
      <c r="B259" s="13" t="s">
        <v>479</v>
      </c>
      <c r="C259" s="13" t="s">
        <v>228</v>
      </c>
      <c r="D259" s="19" t="n">
        <v>689</v>
      </c>
      <c r="E259" s="23" t="n">
        <v>0.1966</v>
      </c>
      <c r="F259" s="19" t="n">
        <v>60</v>
      </c>
      <c r="G259" s="19" t="n">
        <v>3</v>
      </c>
      <c r="H259" s="14" t="n">
        <v>25120</v>
      </c>
      <c r="I259" s="14" t="n">
        <v>24359.98</v>
      </c>
      <c r="J259" s="24" t="n">
        <v>1.445</v>
      </c>
      <c r="K259" s="19" t="n">
        <v>0</v>
      </c>
      <c r="L259" s="13" t="str">
        <f aca="false">IF(D259&gt;=Inputs!$C$14,"Near-prime","Non-prime")</f>
        <v>Near-prime</v>
      </c>
      <c r="M259" s="19" t="n">
        <f aca="false">IF(K259&lt;=Inputs!$C$19,1,0)</f>
        <v>1</v>
      </c>
      <c r="N259" s="19" t="n">
        <f aca="false">IF(F259&lt;=Inputs!$C$20,1,0)</f>
        <v>1</v>
      </c>
      <c r="O259" s="19" t="n">
        <f aca="false">IF(J259&lt;=Inputs!$C$21,1,0)</f>
        <v>1</v>
      </c>
      <c r="P259" s="19" t="n">
        <f aca="false">IF(D259&gt;=Inputs!$C$22,1,0)</f>
        <v>1</v>
      </c>
      <c r="Q259" s="19" t="n">
        <f aca="false">IF(I259&lt;=Inputs!$C$23,1,0)</f>
        <v>1</v>
      </c>
      <c r="R259" s="19" t="n">
        <f aca="false">M259*N259*O259*P259*Q259</f>
        <v>1</v>
      </c>
      <c r="S259" s="14" t="n">
        <f aca="false">I259*R259</f>
        <v>24359.98</v>
      </c>
      <c r="T259" s="19" t="n">
        <f aca="false">IF(F259&gt;72,1,0)</f>
        <v>0</v>
      </c>
      <c r="U259" s="19" t="n">
        <f aca="false">IF(J259&gt;1.25,1,0)</f>
        <v>1</v>
      </c>
    </row>
    <row r="260" customFormat="false" ht="15" hidden="false" customHeight="false" outlineLevel="0" collapsed="false">
      <c r="B260" s="13" t="s">
        <v>480</v>
      </c>
      <c r="C260" s="13" t="s">
        <v>219</v>
      </c>
      <c r="D260" s="19" t="n">
        <v>618</v>
      </c>
      <c r="E260" s="23" t="n">
        <v>0.2194</v>
      </c>
      <c r="F260" s="19" t="n">
        <v>48</v>
      </c>
      <c r="G260" s="19" t="n">
        <v>0</v>
      </c>
      <c r="H260" s="14" t="n">
        <v>12230</v>
      </c>
      <c r="I260" s="14" t="n">
        <v>12230</v>
      </c>
      <c r="J260" s="24" t="n">
        <v>1.157</v>
      </c>
      <c r="K260" s="19" t="n">
        <v>15</v>
      </c>
      <c r="L260" s="13" t="str">
        <f aca="false">IF(D260&gt;=Inputs!$C$14,"Near-prime","Non-prime")</f>
        <v>Non-prime</v>
      </c>
      <c r="M260" s="19" t="n">
        <f aca="false">IF(K260&lt;=Inputs!$C$19,1,0)</f>
        <v>1</v>
      </c>
      <c r="N260" s="19" t="n">
        <f aca="false">IF(F260&lt;=Inputs!$C$20,1,0)</f>
        <v>1</v>
      </c>
      <c r="O260" s="19" t="n">
        <f aca="false">IF(J260&lt;=Inputs!$C$21,1,0)</f>
        <v>1</v>
      </c>
      <c r="P260" s="19" t="n">
        <f aca="false">IF(D260&gt;=Inputs!$C$22,1,0)</f>
        <v>1</v>
      </c>
      <c r="Q260" s="19" t="n">
        <f aca="false">IF(I260&lt;=Inputs!$C$23,1,0)</f>
        <v>1</v>
      </c>
      <c r="R260" s="19" t="n">
        <f aca="false">M260*N260*O260*P260*Q260</f>
        <v>1</v>
      </c>
      <c r="S260" s="14" t="n">
        <f aca="false">I260*R260</f>
        <v>12230</v>
      </c>
      <c r="T260" s="19" t="n">
        <f aca="false">IF(F260&gt;72,1,0)</f>
        <v>0</v>
      </c>
      <c r="U260" s="19" t="n">
        <f aca="false">IF(J260&gt;1.25,1,0)</f>
        <v>0</v>
      </c>
    </row>
    <row r="261" customFormat="false" ht="15" hidden="false" customHeight="false" outlineLevel="0" collapsed="false">
      <c r="B261" s="13" t="s">
        <v>481</v>
      </c>
      <c r="C261" s="13" t="s">
        <v>237</v>
      </c>
      <c r="D261" s="19" t="n">
        <v>617</v>
      </c>
      <c r="E261" s="23" t="n">
        <v>0.2343</v>
      </c>
      <c r="F261" s="19" t="n">
        <v>72</v>
      </c>
      <c r="G261" s="19" t="n">
        <v>6</v>
      </c>
      <c r="H261" s="14" t="n">
        <v>19710</v>
      </c>
      <c r="I261" s="14" t="n">
        <v>18908.15</v>
      </c>
      <c r="J261" s="24" t="n">
        <v>1.202</v>
      </c>
      <c r="K261" s="19" t="n">
        <v>100</v>
      </c>
      <c r="L261" s="13" t="str">
        <f aca="false">IF(D261&gt;=Inputs!$C$14,"Near-prime","Non-prime")</f>
        <v>Non-prime</v>
      </c>
      <c r="M261" s="19" t="n">
        <f aca="false">IF(K261&lt;=Inputs!$C$19,1,0)</f>
        <v>0</v>
      </c>
      <c r="N261" s="19" t="n">
        <f aca="false">IF(F261&lt;=Inputs!$C$20,1,0)</f>
        <v>1</v>
      </c>
      <c r="O261" s="19" t="n">
        <f aca="false">IF(J261&lt;=Inputs!$C$21,1,0)</f>
        <v>1</v>
      </c>
      <c r="P261" s="19" t="n">
        <f aca="false">IF(D261&gt;=Inputs!$C$22,1,0)</f>
        <v>1</v>
      </c>
      <c r="Q261" s="19" t="n">
        <f aca="false">IF(I261&lt;=Inputs!$C$23,1,0)</f>
        <v>1</v>
      </c>
      <c r="R261" s="19" t="n">
        <f aca="false">M261*N261*O261*P261*Q261</f>
        <v>0</v>
      </c>
      <c r="S261" s="14" t="n">
        <f aca="false">I261*R261</f>
        <v>0</v>
      </c>
      <c r="T261" s="19" t="n">
        <f aca="false">IF(F261&gt;72,1,0)</f>
        <v>0</v>
      </c>
      <c r="U261" s="19" t="n">
        <f aca="false">IF(J261&gt;1.25,1,0)</f>
        <v>0</v>
      </c>
    </row>
    <row r="262" customFormat="false" ht="15" hidden="false" customHeight="false" outlineLevel="0" collapsed="false">
      <c r="B262" s="13" t="s">
        <v>482</v>
      </c>
      <c r="C262" s="13" t="s">
        <v>223</v>
      </c>
      <c r="D262" s="19" t="n">
        <v>624</v>
      </c>
      <c r="E262" s="23" t="n">
        <v>0.2353</v>
      </c>
      <c r="F262" s="19" t="n">
        <v>75</v>
      </c>
      <c r="G262" s="19" t="n">
        <v>6</v>
      </c>
      <c r="H262" s="14" t="n">
        <v>23290</v>
      </c>
      <c r="I262" s="14" t="n">
        <v>22415.36</v>
      </c>
      <c r="J262" s="24" t="n">
        <v>1.187</v>
      </c>
      <c r="K262" s="19" t="n">
        <v>0</v>
      </c>
      <c r="L262" s="13" t="str">
        <f aca="false">IF(D262&gt;=Inputs!$C$14,"Near-prime","Non-prime")</f>
        <v>Near-prime</v>
      </c>
      <c r="M262" s="19" t="n">
        <f aca="false">IF(K262&lt;=Inputs!$C$19,1,0)</f>
        <v>1</v>
      </c>
      <c r="N262" s="19" t="n">
        <f aca="false">IF(F262&lt;=Inputs!$C$20,1,0)</f>
        <v>1</v>
      </c>
      <c r="O262" s="19" t="n">
        <f aca="false">IF(J262&lt;=Inputs!$C$21,1,0)</f>
        <v>1</v>
      </c>
      <c r="P262" s="19" t="n">
        <f aca="false">IF(D262&gt;=Inputs!$C$22,1,0)</f>
        <v>1</v>
      </c>
      <c r="Q262" s="19" t="n">
        <f aca="false">IF(I262&lt;=Inputs!$C$23,1,0)</f>
        <v>1</v>
      </c>
      <c r="R262" s="19" t="n">
        <f aca="false">M262*N262*O262*P262*Q262</f>
        <v>1</v>
      </c>
      <c r="S262" s="14" t="n">
        <f aca="false">I262*R262</f>
        <v>22415.36</v>
      </c>
      <c r="T262" s="19" t="n">
        <f aca="false">IF(F262&gt;72,1,0)</f>
        <v>1</v>
      </c>
      <c r="U262" s="19" t="n">
        <f aca="false">IF(J262&gt;1.25,1,0)</f>
        <v>0</v>
      </c>
    </row>
    <row r="263" customFormat="false" ht="15" hidden="false" customHeight="false" outlineLevel="0" collapsed="false">
      <c r="B263" s="13" t="s">
        <v>483</v>
      </c>
      <c r="C263" s="13" t="s">
        <v>228</v>
      </c>
      <c r="D263" s="19" t="n">
        <v>699</v>
      </c>
      <c r="E263" s="23" t="n">
        <v>0.2269</v>
      </c>
      <c r="F263" s="19" t="n">
        <v>60</v>
      </c>
      <c r="G263" s="19" t="n">
        <v>9</v>
      </c>
      <c r="H263" s="14" t="n">
        <v>23160</v>
      </c>
      <c r="I263" s="14" t="n">
        <v>21112.25</v>
      </c>
      <c r="J263" s="24" t="n">
        <v>0.989</v>
      </c>
      <c r="K263" s="19" t="n">
        <v>0</v>
      </c>
      <c r="L263" s="13" t="str">
        <f aca="false">IF(D263&gt;=Inputs!$C$14,"Near-prime","Non-prime")</f>
        <v>Near-prime</v>
      </c>
      <c r="M263" s="19" t="n">
        <f aca="false">IF(K263&lt;=Inputs!$C$19,1,0)</f>
        <v>1</v>
      </c>
      <c r="N263" s="19" t="n">
        <f aca="false">IF(F263&lt;=Inputs!$C$20,1,0)</f>
        <v>1</v>
      </c>
      <c r="O263" s="19" t="n">
        <f aca="false">IF(J263&lt;=Inputs!$C$21,1,0)</f>
        <v>1</v>
      </c>
      <c r="P263" s="19" t="n">
        <f aca="false">IF(D263&gt;=Inputs!$C$22,1,0)</f>
        <v>1</v>
      </c>
      <c r="Q263" s="19" t="n">
        <f aca="false">IF(I263&lt;=Inputs!$C$23,1,0)</f>
        <v>1</v>
      </c>
      <c r="R263" s="19" t="n">
        <f aca="false">M263*N263*O263*P263*Q263</f>
        <v>1</v>
      </c>
      <c r="S263" s="14" t="n">
        <f aca="false">I263*R263</f>
        <v>21112.25</v>
      </c>
      <c r="T263" s="19" t="n">
        <f aca="false">IF(F263&gt;72,1,0)</f>
        <v>0</v>
      </c>
      <c r="U263" s="19" t="n">
        <f aca="false">IF(J263&gt;1.25,1,0)</f>
        <v>0</v>
      </c>
    </row>
    <row r="264" customFormat="false" ht="15" hidden="false" customHeight="false" outlineLevel="0" collapsed="false">
      <c r="B264" s="13" t="s">
        <v>484</v>
      </c>
      <c r="C264" s="13" t="s">
        <v>233</v>
      </c>
      <c r="D264" s="19" t="n">
        <v>709</v>
      </c>
      <c r="E264" s="23" t="n">
        <v>0.1861</v>
      </c>
      <c r="F264" s="19" t="n">
        <v>60</v>
      </c>
      <c r="G264" s="19" t="n">
        <v>7</v>
      </c>
      <c r="H264" s="14" t="n">
        <v>23510</v>
      </c>
      <c r="I264" s="14" t="n">
        <v>21748.12</v>
      </c>
      <c r="J264" s="24" t="n">
        <v>1.104</v>
      </c>
      <c r="K264" s="19" t="n">
        <v>30</v>
      </c>
      <c r="L264" s="13" t="str">
        <f aca="false">IF(D264&gt;=Inputs!$C$14,"Near-prime","Non-prime")</f>
        <v>Near-prime</v>
      </c>
      <c r="M264" s="19" t="n">
        <f aca="false">IF(K264&lt;=Inputs!$C$19,1,0)</f>
        <v>1</v>
      </c>
      <c r="N264" s="19" t="n">
        <f aca="false">IF(F264&lt;=Inputs!$C$20,1,0)</f>
        <v>1</v>
      </c>
      <c r="O264" s="19" t="n">
        <f aca="false">IF(J264&lt;=Inputs!$C$21,1,0)</f>
        <v>1</v>
      </c>
      <c r="P264" s="19" t="n">
        <f aca="false">IF(D264&gt;=Inputs!$C$22,1,0)</f>
        <v>1</v>
      </c>
      <c r="Q264" s="19" t="n">
        <f aca="false">IF(I264&lt;=Inputs!$C$23,1,0)</f>
        <v>1</v>
      </c>
      <c r="R264" s="19" t="n">
        <f aca="false">M264*N264*O264*P264*Q264</f>
        <v>1</v>
      </c>
      <c r="S264" s="14" t="n">
        <f aca="false">I264*R264</f>
        <v>21748.12</v>
      </c>
      <c r="T264" s="19" t="n">
        <f aca="false">IF(F264&gt;72,1,0)</f>
        <v>0</v>
      </c>
      <c r="U264" s="19" t="n">
        <f aca="false">IF(J264&gt;1.25,1,0)</f>
        <v>0</v>
      </c>
    </row>
    <row r="265" customFormat="false" ht="15" hidden="false" customHeight="false" outlineLevel="0" collapsed="false">
      <c r="B265" s="13" t="s">
        <v>485</v>
      </c>
      <c r="C265" s="13" t="s">
        <v>252</v>
      </c>
      <c r="D265" s="19" t="n">
        <v>661</v>
      </c>
      <c r="E265" s="23" t="n">
        <v>0.1775</v>
      </c>
      <c r="F265" s="19" t="n">
        <v>48</v>
      </c>
      <c r="G265" s="19" t="n">
        <v>7</v>
      </c>
      <c r="H265" s="14" t="n">
        <v>28930</v>
      </c>
      <c r="I265" s="14" t="n">
        <v>25870.02</v>
      </c>
      <c r="J265" s="24" t="n">
        <v>1.117</v>
      </c>
      <c r="K265" s="19" t="n">
        <v>75</v>
      </c>
      <c r="L265" s="13" t="str">
        <f aca="false">IF(D265&gt;=Inputs!$C$14,"Near-prime","Non-prime")</f>
        <v>Near-prime</v>
      </c>
      <c r="M265" s="19" t="n">
        <f aca="false">IF(K265&lt;=Inputs!$C$19,1,0)</f>
        <v>0</v>
      </c>
      <c r="N265" s="19" t="n">
        <f aca="false">IF(F265&lt;=Inputs!$C$20,1,0)</f>
        <v>1</v>
      </c>
      <c r="O265" s="19" t="n">
        <f aca="false">IF(J265&lt;=Inputs!$C$21,1,0)</f>
        <v>1</v>
      </c>
      <c r="P265" s="19" t="n">
        <f aca="false">IF(D265&gt;=Inputs!$C$22,1,0)</f>
        <v>1</v>
      </c>
      <c r="Q265" s="19" t="n">
        <f aca="false">IF(I265&lt;=Inputs!$C$23,1,0)</f>
        <v>1</v>
      </c>
      <c r="R265" s="19" t="n">
        <f aca="false">M265*N265*O265*P265*Q265</f>
        <v>0</v>
      </c>
      <c r="S265" s="14" t="n">
        <f aca="false">I265*R265</f>
        <v>0</v>
      </c>
      <c r="T265" s="19" t="n">
        <f aca="false">IF(F265&gt;72,1,0)</f>
        <v>0</v>
      </c>
      <c r="U265" s="19" t="n">
        <f aca="false">IF(J265&gt;1.25,1,0)</f>
        <v>0</v>
      </c>
    </row>
    <row r="266" customFormat="false" ht="15" hidden="false" customHeight="false" outlineLevel="0" collapsed="false">
      <c r="B266" s="13" t="s">
        <v>486</v>
      </c>
      <c r="C266" s="13" t="s">
        <v>233</v>
      </c>
      <c r="D266" s="19" t="n">
        <v>683</v>
      </c>
      <c r="E266" s="23" t="n">
        <v>0.2004</v>
      </c>
      <c r="F266" s="19" t="n">
        <v>75</v>
      </c>
      <c r="G266" s="19" t="n">
        <v>5</v>
      </c>
      <c r="H266" s="14" t="n">
        <v>25660</v>
      </c>
      <c r="I266" s="14" t="n">
        <v>24760.56</v>
      </c>
      <c r="J266" s="24" t="n">
        <v>1.126</v>
      </c>
      <c r="K266" s="19" t="n">
        <v>0</v>
      </c>
      <c r="L266" s="13" t="str">
        <f aca="false">IF(D266&gt;=Inputs!$C$14,"Near-prime","Non-prime")</f>
        <v>Near-prime</v>
      </c>
      <c r="M266" s="19" t="n">
        <f aca="false">IF(K266&lt;=Inputs!$C$19,1,0)</f>
        <v>1</v>
      </c>
      <c r="N266" s="19" t="n">
        <f aca="false">IF(F266&lt;=Inputs!$C$20,1,0)</f>
        <v>1</v>
      </c>
      <c r="O266" s="19" t="n">
        <f aca="false">IF(J266&lt;=Inputs!$C$21,1,0)</f>
        <v>1</v>
      </c>
      <c r="P266" s="19" t="n">
        <f aca="false">IF(D266&gt;=Inputs!$C$22,1,0)</f>
        <v>1</v>
      </c>
      <c r="Q266" s="19" t="n">
        <f aca="false">IF(I266&lt;=Inputs!$C$23,1,0)</f>
        <v>1</v>
      </c>
      <c r="R266" s="19" t="n">
        <f aca="false">M266*N266*O266*P266*Q266</f>
        <v>1</v>
      </c>
      <c r="S266" s="14" t="n">
        <f aca="false">I266*R266</f>
        <v>24760.56</v>
      </c>
      <c r="T266" s="19" t="n">
        <f aca="false">IF(F266&gt;72,1,0)</f>
        <v>1</v>
      </c>
      <c r="U266" s="19" t="n">
        <f aca="false">IF(J266&gt;1.25,1,0)</f>
        <v>0</v>
      </c>
    </row>
    <row r="267" customFormat="false" ht="15" hidden="false" customHeight="false" outlineLevel="0" collapsed="false">
      <c r="B267" s="13" t="s">
        <v>487</v>
      </c>
      <c r="C267" s="13" t="s">
        <v>221</v>
      </c>
      <c r="D267" s="19" t="n">
        <v>753</v>
      </c>
      <c r="E267" s="23" t="n">
        <v>0.1702</v>
      </c>
      <c r="F267" s="19" t="n">
        <v>66</v>
      </c>
      <c r="G267" s="19" t="n">
        <v>9</v>
      </c>
      <c r="H267" s="14" t="n">
        <v>37530</v>
      </c>
      <c r="I267" s="14" t="n">
        <v>34222.31</v>
      </c>
      <c r="J267" s="24" t="n">
        <v>1.126</v>
      </c>
      <c r="K267" s="19" t="n">
        <v>15</v>
      </c>
      <c r="L267" s="13" t="str">
        <f aca="false">IF(D267&gt;=Inputs!$C$14,"Near-prime","Non-prime")</f>
        <v>Near-prime</v>
      </c>
      <c r="M267" s="19" t="n">
        <f aca="false">IF(K267&lt;=Inputs!$C$19,1,0)</f>
        <v>1</v>
      </c>
      <c r="N267" s="19" t="n">
        <f aca="false">IF(F267&lt;=Inputs!$C$20,1,0)</f>
        <v>1</v>
      </c>
      <c r="O267" s="19" t="n">
        <f aca="false">IF(J267&lt;=Inputs!$C$21,1,0)</f>
        <v>1</v>
      </c>
      <c r="P267" s="19" t="n">
        <f aca="false">IF(D267&gt;=Inputs!$C$22,1,0)</f>
        <v>1</v>
      </c>
      <c r="Q267" s="19" t="n">
        <f aca="false">IF(I267&lt;=Inputs!$C$23,1,0)</f>
        <v>1</v>
      </c>
      <c r="R267" s="19" t="n">
        <f aca="false">M267*N267*O267*P267*Q267</f>
        <v>1</v>
      </c>
      <c r="S267" s="14" t="n">
        <f aca="false">I267*R267</f>
        <v>34222.31</v>
      </c>
      <c r="T267" s="19" t="n">
        <f aca="false">IF(F267&gt;72,1,0)</f>
        <v>0</v>
      </c>
      <c r="U267" s="19" t="n">
        <f aca="false">IF(J267&gt;1.25,1,0)</f>
        <v>0</v>
      </c>
    </row>
    <row r="268" customFormat="false" ht="15" hidden="false" customHeight="false" outlineLevel="0" collapsed="false">
      <c r="B268" s="13" t="s">
        <v>488</v>
      </c>
      <c r="C268" s="13" t="s">
        <v>221</v>
      </c>
      <c r="D268" s="19" t="n">
        <v>641</v>
      </c>
      <c r="E268" s="23" t="n">
        <v>0.2146</v>
      </c>
      <c r="F268" s="19" t="n">
        <v>72</v>
      </c>
      <c r="G268" s="19" t="n">
        <v>3</v>
      </c>
      <c r="H268" s="14" t="n">
        <v>19560</v>
      </c>
      <c r="I268" s="14" t="n">
        <v>19146.43</v>
      </c>
      <c r="J268" s="24" t="n">
        <v>1.083</v>
      </c>
      <c r="K268" s="19" t="n">
        <v>0</v>
      </c>
      <c r="L268" s="13" t="str">
        <f aca="false">IF(D268&gt;=Inputs!$C$14,"Near-prime","Non-prime")</f>
        <v>Near-prime</v>
      </c>
      <c r="M268" s="19" t="n">
        <f aca="false">IF(K268&lt;=Inputs!$C$19,1,0)</f>
        <v>1</v>
      </c>
      <c r="N268" s="19" t="n">
        <f aca="false">IF(F268&lt;=Inputs!$C$20,1,0)</f>
        <v>1</v>
      </c>
      <c r="O268" s="19" t="n">
        <f aca="false">IF(J268&lt;=Inputs!$C$21,1,0)</f>
        <v>1</v>
      </c>
      <c r="P268" s="19" t="n">
        <f aca="false">IF(D268&gt;=Inputs!$C$22,1,0)</f>
        <v>1</v>
      </c>
      <c r="Q268" s="19" t="n">
        <f aca="false">IF(I268&lt;=Inputs!$C$23,1,0)</f>
        <v>1</v>
      </c>
      <c r="R268" s="19" t="n">
        <f aca="false">M268*N268*O268*P268*Q268</f>
        <v>1</v>
      </c>
      <c r="S268" s="14" t="n">
        <f aca="false">I268*R268</f>
        <v>19146.43</v>
      </c>
      <c r="T268" s="19" t="n">
        <f aca="false">IF(F268&gt;72,1,0)</f>
        <v>0</v>
      </c>
      <c r="U268" s="19" t="n">
        <f aca="false">IF(J268&gt;1.25,1,0)</f>
        <v>0</v>
      </c>
    </row>
    <row r="269" customFormat="false" ht="15" hidden="false" customHeight="false" outlineLevel="0" collapsed="false">
      <c r="B269" s="13" t="s">
        <v>489</v>
      </c>
      <c r="C269" s="13" t="s">
        <v>226</v>
      </c>
      <c r="D269" s="19" t="n">
        <v>590</v>
      </c>
      <c r="E269" s="23" t="n">
        <v>0.2156</v>
      </c>
      <c r="F269" s="19" t="n">
        <v>84</v>
      </c>
      <c r="G269" s="19" t="n">
        <v>9</v>
      </c>
      <c r="H269" s="14" t="n">
        <v>22530</v>
      </c>
      <c r="I269" s="14" t="n">
        <v>21399.1</v>
      </c>
      <c r="J269" s="24" t="n">
        <v>1.211</v>
      </c>
      <c r="K269" s="19" t="n">
        <v>0</v>
      </c>
      <c r="L269" s="13" t="str">
        <f aca="false">IF(D269&gt;=Inputs!$C$14,"Near-prime","Non-prime")</f>
        <v>Non-prime</v>
      </c>
      <c r="M269" s="19" t="n">
        <f aca="false">IF(K269&lt;=Inputs!$C$19,1,0)</f>
        <v>1</v>
      </c>
      <c r="N269" s="19" t="n">
        <f aca="false">IF(F269&lt;=Inputs!$C$20,1,0)</f>
        <v>0</v>
      </c>
      <c r="O269" s="19" t="n">
        <f aca="false">IF(J269&lt;=Inputs!$C$21,1,0)</f>
        <v>1</v>
      </c>
      <c r="P269" s="19" t="n">
        <f aca="false">IF(D269&gt;=Inputs!$C$22,1,0)</f>
        <v>1</v>
      </c>
      <c r="Q269" s="19" t="n">
        <f aca="false">IF(I269&lt;=Inputs!$C$23,1,0)</f>
        <v>1</v>
      </c>
      <c r="R269" s="19" t="n">
        <f aca="false">M269*N269*O269*P269*Q269</f>
        <v>0</v>
      </c>
      <c r="S269" s="14" t="n">
        <f aca="false">I269*R269</f>
        <v>0</v>
      </c>
      <c r="T269" s="19" t="n">
        <f aca="false">IF(F269&gt;72,1,0)</f>
        <v>1</v>
      </c>
      <c r="U269" s="19" t="n">
        <f aca="false">IF(J269&gt;1.25,1,0)</f>
        <v>0</v>
      </c>
    </row>
    <row r="270" customFormat="false" ht="15" hidden="false" customHeight="false" outlineLevel="0" collapsed="false">
      <c r="B270" s="13" t="s">
        <v>490</v>
      </c>
      <c r="C270" s="13" t="s">
        <v>219</v>
      </c>
      <c r="D270" s="19" t="n">
        <v>670</v>
      </c>
      <c r="E270" s="23" t="n">
        <v>0.1933</v>
      </c>
      <c r="F270" s="19" t="n">
        <v>72</v>
      </c>
      <c r="G270" s="19" t="n">
        <v>6</v>
      </c>
      <c r="H270" s="14" t="n">
        <v>20120</v>
      </c>
      <c r="I270" s="14" t="n">
        <v>19182.66</v>
      </c>
      <c r="J270" s="24" t="n">
        <v>0.909</v>
      </c>
      <c r="K270" s="19" t="n">
        <v>0</v>
      </c>
      <c r="L270" s="13" t="str">
        <f aca="false">IF(D270&gt;=Inputs!$C$14,"Near-prime","Non-prime")</f>
        <v>Near-prime</v>
      </c>
      <c r="M270" s="19" t="n">
        <f aca="false">IF(K270&lt;=Inputs!$C$19,1,0)</f>
        <v>1</v>
      </c>
      <c r="N270" s="19" t="n">
        <f aca="false">IF(F270&lt;=Inputs!$C$20,1,0)</f>
        <v>1</v>
      </c>
      <c r="O270" s="19" t="n">
        <f aca="false">IF(J270&lt;=Inputs!$C$21,1,0)</f>
        <v>1</v>
      </c>
      <c r="P270" s="19" t="n">
        <f aca="false">IF(D270&gt;=Inputs!$C$22,1,0)</f>
        <v>1</v>
      </c>
      <c r="Q270" s="19" t="n">
        <f aca="false">IF(I270&lt;=Inputs!$C$23,1,0)</f>
        <v>1</v>
      </c>
      <c r="R270" s="19" t="n">
        <f aca="false">M270*N270*O270*P270*Q270</f>
        <v>1</v>
      </c>
      <c r="S270" s="14" t="n">
        <f aca="false">I270*R270</f>
        <v>19182.66</v>
      </c>
      <c r="T270" s="19" t="n">
        <f aca="false">IF(F270&gt;72,1,0)</f>
        <v>0</v>
      </c>
      <c r="U270" s="19" t="n">
        <f aca="false">IF(J270&gt;1.25,1,0)</f>
        <v>0</v>
      </c>
    </row>
    <row r="271" customFormat="false" ht="15" hidden="false" customHeight="false" outlineLevel="0" collapsed="false">
      <c r="B271" s="13" t="s">
        <v>491</v>
      </c>
      <c r="C271" s="13" t="s">
        <v>217</v>
      </c>
      <c r="D271" s="19" t="n">
        <v>679</v>
      </c>
      <c r="E271" s="23" t="n">
        <v>0.1995</v>
      </c>
      <c r="F271" s="19" t="n">
        <v>72</v>
      </c>
      <c r="G271" s="19" t="n">
        <v>1</v>
      </c>
      <c r="H271" s="14" t="n">
        <v>40630</v>
      </c>
      <c r="I271" s="14" t="n">
        <v>40333.45</v>
      </c>
      <c r="J271" s="24" t="n">
        <v>1.167</v>
      </c>
      <c r="K271" s="19" t="n">
        <v>45</v>
      </c>
      <c r="L271" s="13" t="str">
        <f aca="false">IF(D271&gt;=Inputs!$C$14,"Near-prime","Non-prime")</f>
        <v>Near-prime</v>
      </c>
      <c r="M271" s="19" t="n">
        <f aca="false">IF(K271&lt;=Inputs!$C$19,1,0)</f>
        <v>1</v>
      </c>
      <c r="N271" s="19" t="n">
        <f aca="false">IF(F271&lt;=Inputs!$C$20,1,0)</f>
        <v>1</v>
      </c>
      <c r="O271" s="19" t="n">
        <f aca="false">IF(J271&lt;=Inputs!$C$21,1,0)</f>
        <v>1</v>
      </c>
      <c r="P271" s="19" t="n">
        <f aca="false">IF(D271&gt;=Inputs!$C$22,1,0)</f>
        <v>1</v>
      </c>
      <c r="Q271" s="19" t="n">
        <f aca="false">IF(I271&lt;=Inputs!$C$23,1,0)</f>
        <v>1</v>
      </c>
      <c r="R271" s="19" t="n">
        <f aca="false">M271*N271*O271*P271*Q271</f>
        <v>1</v>
      </c>
      <c r="S271" s="14" t="n">
        <f aca="false">I271*R271</f>
        <v>40333.45</v>
      </c>
      <c r="T271" s="19" t="n">
        <f aca="false">IF(F271&gt;72,1,0)</f>
        <v>0</v>
      </c>
      <c r="U271" s="19" t="n">
        <f aca="false">IF(J271&gt;1.25,1,0)</f>
        <v>0</v>
      </c>
    </row>
    <row r="272" customFormat="false" ht="15" hidden="false" customHeight="false" outlineLevel="0" collapsed="false">
      <c r="B272" s="13" t="s">
        <v>492</v>
      </c>
      <c r="C272" s="13" t="s">
        <v>221</v>
      </c>
      <c r="D272" s="19" t="n">
        <v>634</v>
      </c>
      <c r="E272" s="23" t="n">
        <v>0.2224</v>
      </c>
      <c r="F272" s="19" t="n">
        <v>60</v>
      </c>
      <c r="G272" s="19" t="n">
        <v>8</v>
      </c>
      <c r="H272" s="14" t="n">
        <v>36680</v>
      </c>
      <c r="I272" s="14" t="n">
        <v>33791.64</v>
      </c>
      <c r="J272" s="24" t="n">
        <v>0.975</v>
      </c>
      <c r="K272" s="19" t="n">
        <v>0</v>
      </c>
      <c r="L272" s="13" t="str">
        <f aca="false">IF(D272&gt;=Inputs!$C$14,"Near-prime","Non-prime")</f>
        <v>Near-prime</v>
      </c>
      <c r="M272" s="19" t="n">
        <f aca="false">IF(K272&lt;=Inputs!$C$19,1,0)</f>
        <v>1</v>
      </c>
      <c r="N272" s="19" t="n">
        <f aca="false">IF(F272&lt;=Inputs!$C$20,1,0)</f>
        <v>1</v>
      </c>
      <c r="O272" s="19" t="n">
        <f aca="false">IF(J272&lt;=Inputs!$C$21,1,0)</f>
        <v>1</v>
      </c>
      <c r="P272" s="19" t="n">
        <f aca="false">IF(D272&gt;=Inputs!$C$22,1,0)</f>
        <v>1</v>
      </c>
      <c r="Q272" s="19" t="n">
        <f aca="false">IF(I272&lt;=Inputs!$C$23,1,0)</f>
        <v>1</v>
      </c>
      <c r="R272" s="19" t="n">
        <f aca="false">M272*N272*O272*P272*Q272</f>
        <v>1</v>
      </c>
      <c r="S272" s="14" t="n">
        <f aca="false">I272*R272</f>
        <v>33791.64</v>
      </c>
      <c r="T272" s="19" t="n">
        <f aca="false">IF(F272&gt;72,1,0)</f>
        <v>0</v>
      </c>
      <c r="U272" s="19" t="n">
        <f aca="false">IF(J272&gt;1.25,1,0)</f>
        <v>0</v>
      </c>
    </row>
    <row r="273" customFormat="false" ht="15" hidden="false" customHeight="false" outlineLevel="0" collapsed="false">
      <c r="B273" s="13" t="s">
        <v>493</v>
      </c>
      <c r="C273" s="13" t="s">
        <v>217</v>
      </c>
      <c r="D273" s="19" t="n">
        <v>632</v>
      </c>
      <c r="E273" s="23" t="n">
        <v>0.2151</v>
      </c>
      <c r="F273" s="19" t="n">
        <v>60</v>
      </c>
      <c r="G273" s="19" t="n">
        <v>5</v>
      </c>
      <c r="H273" s="14" t="n">
        <v>14730</v>
      </c>
      <c r="I273" s="14" t="n">
        <v>14011.2</v>
      </c>
      <c r="J273" s="24" t="n">
        <v>0.759</v>
      </c>
      <c r="K273" s="19" t="n">
        <v>0</v>
      </c>
      <c r="L273" s="13" t="str">
        <f aca="false">IF(D273&gt;=Inputs!$C$14,"Near-prime","Non-prime")</f>
        <v>Near-prime</v>
      </c>
      <c r="M273" s="19" t="n">
        <f aca="false">IF(K273&lt;=Inputs!$C$19,1,0)</f>
        <v>1</v>
      </c>
      <c r="N273" s="19" t="n">
        <f aca="false">IF(F273&lt;=Inputs!$C$20,1,0)</f>
        <v>1</v>
      </c>
      <c r="O273" s="19" t="n">
        <f aca="false">IF(J273&lt;=Inputs!$C$21,1,0)</f>
        <v>1</v>
      </c>
      <c r="P273" s="19" t="n">
        <f aca="false">IF(D273&gt;=Inputs!$C$22,1,0)</f>
        <v>1</v>
      </c>
      <c r="Q273" s="19" t="n">
        <f aca="false">IF(I273&lt;=Inputs!$C$23,1,0)</f>
        <v>1</v>
      </c>
      <c r="R273" s="19" t="n">
        <f aca="false">M273*N273*O273*P273*Q273</f>
        <v>1</v>
      </c>
      <c r="S273" s="14" t="n">
        <f aca="false">I273*R273</f>
        <v>14011.2</v>
      </c>
      <c r="T273" s="19" t="n">
        <f aca="false">IF(F273&gt;72,1,0)</f>
        <v>0</v>
      </c>
      <c r="U273" s="19" t="n">
        <f aca="false">IF(J273&gt;1.25,1,0)</f>
        <v>0</v>
      </c>
    </row>
    <row r="274" customFormat="false" ht="15" hidden="false" customHeight="false" outlineLevel="0" collapsed="false">
      <c r="B274" s="13" t="s">
        <v>494</v>
      </c>
      <c r="C274" s="13" t="s">
        <v>257</v>
      </c>
      <c r="D274" s="19" t="n">
        <v>754</v>
      </c>
      <c r="E274" s="23" t="n">
        <v>0.1835</v>
      </c>
      <c r="F274" s="19" t="n">
        <v>60</v>
      </c>
      <c r="G274" s="19" t="n">
        <v>2</v>
      </c>
      <c r="H274" s="14" t="n">
        <v>15020</v>
      </c>
      <c r="I274" s="14" t="n">
        <v>14708.45</v>
      </c>
      <c r="J274" s="24" t="n">
        <v>0.854</v>
      </c>
      <c r="K274" s="19" t="n">
        <v>0</v>
      </c>
      <c r="L274" s="13" t="str">
        <f aca="false">IF(D274&gt;=Inputs!$C$14,"Near-prime","Non-prime")</f>
        <v>Near-prime</v>
      </c>
      <c r="M274" s="19" t="n">
        <f aca="false">IF(K274&lt;=Inputs!$C$19,1,0)</f>
        <v>1</v>
      </c>
      <c r="N274" s="19" t="n">
        <f aca="false">IF(F274&lt;=Inputs!$C$20,1,0)</f>
        <v>1</v>
      </c>
      <c r="O274" s="19" t="n">
        <f aca="false">IF(J274&lt;=Inputs!$C$21,1,0)</f>
        <v>1</v>
      </c>
      <c r="P274" s="19" t="n">
        <f aca="false">IF(D274&gt;=Inputs!$C$22,1,0)</f>
        <v>1</v>
      </c>
      <c r="Q274" s="19" t="n">
        <f aca="false">IF(I274&lt;=Inputs!$C$23,1,0)</f>
        <v>1</v>
      </c>
      <c r="R274" s="19" t="n">
        <f aca="false">M274*N274*O274*P274*Q274</f>
        <v>1</v>
      </c>
      <c r="S274" s="14" t="n">
        <f aca="false">I274*R274</f>
        <v>14708.45</v>
      </c>
      <c r="T274" s="19" t="n">
        <f aca="false">IF(F274&gt;72,1,0)</f>
        <v>0</v>
      </c>
      <c r="U274" s="19" t="n">
        <f aca="false">IF(J274&gt;1.25,1,0)</f>
        <v>0</v>
      </c>
    </row>
    <row r="275" customFormat="false" ht="15" hidden="false" customHeight="false" outlineLevel="0" collapsed="false">
      <c r="B275" s="13" t="s">
        <v>495</v>
      </c>
      <c r="C275" s="13" t="s">
        <v>252</v>
      </c>
      <c r="D275" s="19" t="n">
        <v>629</v>
      </c>
      <c r="E275" s="23" t="n">
        <v>0.2012</v>
      </c>
      <c r="F275" s="19" t="n">
        <v>48</v>
      </c>
      <c r="G275" s="19" t="n">
        <v>2</v>
      </c>
      <c r="H275" s="14" t="n">
        <v>32310</v>
      </c>
      <c r="I275" s="14" t="n">
        <v>31415.48</v>
      </c>
      <c r="J275" s="24" t="n">
        <v>1.082</v>
      </c>
      <c r="K275" s="19" t="n">
        <v>0</v>
      </c>
      <c r="L275" s="13" t="str">
        <f aca="false">IF(D275&gt;=Inputs!$C$14,"Near-prime","Non-prime")</f>
        <v>Near-prime</v>
      </c>
      <c r="M275" s="19" t="n">
        <f aca="false">IF(K275&lt;=Inputs!$C$19,1,0)</f>
        <v>1</v>
      </c>
      <c r="N275" s="19" t="n">
        <f aca="false">IF(F275&lt;=Inputs!$C$20,1,0)</f>
        <v>1</v>
      </c>
      <c r="O275" s="19" t="n">
        <f aca="false">IF(J275&lt;=Inputs!$C$21,1,0)</f>
        <v>1</v>
      </c>
      <c r="P275" s="19" t="n">
        <f aca="false">IF(D275&gt;=Inputs!$C$22,1,0)</f>
        <v>1</v>
      </c>
      <c r="Q275" s="19" t="n">
        <f aca="false">IF(I275&lt;=Inputs!$C$23,1,0)</f>
        <v>1</v>
      </c>
      <c r="R275" s="19" t="n">
        <f aca="false">M275*N275*O275*P275*Q275</f>
        <v>1</v>
      </c>
      <c r="S275" s="14" t="n">
        <f aca="false">I275*R275</f>
        <v>31415.48</v>
      </c>
      <c r="T275" s="19" t="n">
        <f aca="false">IF(F275&gt;72,1,0)</f>
        <v>0</v>
      </c>
      <c r="U275" s="19" t="n">
        <f aca="false">IF(J275&gt;1.25,1,0)</f>
        <v>0</v>
      </c>
    </row>
    <row r="276" customFormat="false" ht="15" hidden="false" customHeight="false" outlineLevel="0" collapsed="false">
      <c r="B276" s="13" t="s">
        <v>496</v>
      </c>
      <c r="C276" s="13" t="s">
        <v>217</v>
      </c>
      <c r="D276" s="19" t="n">
        <v>596</v>
      </c>
      <c r="E276" s="23" t="n">
        <v>0.2049</v>
      </c>
      <c r="F276" s="19" t="n">
        <v>72</v>
      </c>
      <c r="G276" s="19" t="n">
        <v>5</v>
      </c>
      <c r="H276" s="14" t="n">
        <v>33710</v>
      </c>
      <c r="I276" s="14" t="n">
        <v>32460.79</v>
      </c>
      <c r="J276" s="24" t="n">
        <v>1.202</v>
      </c>
      <c r="K276" s="19" t="n">
        <v>0</v>
      </c>
      <c r="L276" s="13" t="str">
        <f aca="false">IF(D276&gt;=Inputs!$C$14,"Near-prime","Non-prime")</f>
        <v>Non-prime</v>
      </c>
      <c r="M276" s="19" t="n">
        <f aca="false">IF(K276&lt;=Inputs!$C$19,1,0)</f>
        <v>1</v>
      </c>
      <c r="N276" s="19" t="n">
        <f aca="false">IF(F276&lt;=Inputs!$C$20,1,0)</f>
        <v>1</v>
      </c>
      <c r="O276" s="19" t="n">
        <f aca="false">IF(J276&lt;=Inputs!$C$21,1,0)</f>
        <v>1</v>
      </c>
      <c r="P276" s="19" t="n">
        <f aca="false">IF(D276&gt;=Inputs!$C$22,1,0)</f>
        <v>1</v>
      </c>
      <c r="Q276" s="19" t="n">
        <f aca="false">IF(I276&lt;=Inputs!$C$23,1,0)</f>
        <v>1</v>
      </c>
      <c r="R276" s="19" t="n">
        <f aca="false">M276*N276*O276*P276*Q276</f>
        <v>1</v>
      </c>
      <c r="S276" s="14" t="n">
        <f aca="false">I276*R276</f>
        <v>32460.79</v>
      </c>
      <c r="T276" s="19" t="n">
        <f aca="false">IF(F276&gt;72,1,0)</f>
        <v>0</v>
      </c>
      <c r="U276" s="19" t="n">
        <f aca="false">IF(J276&gt;1.25,1,0)</f>
        <v>0</v>
      </c>
    </row>
    <row r="277" customFormat="false" ht="15" hidden="false" customHeight="false" outlineLevel="0" collapsed="false">
      <c r="B277" s="13" t="s">
        <v>497</v>
      </c>
      <c r="C277" s="13" t="s">
        <v>228</v>
      </c>
      <c r="D277" s="19" t="n">
        <v>520</v>
      </c>
      <c r="E277" s="23" t="n">
        <v>0.2396</v>
      </c>
      <c r="F277" s="19" t="n">
        <v>72</v>
      </c>
      <c r="G277" s="19" t="n">
        <v>0</v>
      </c>
      <c r="H277" s="14" t="n">
        <v>28370</v>
      </c>
      <c r="I277" s="14" t="n">
        <v>28370</v>
      </c>
      <c r="J277" s="24" t="n">
        <v>1.01</v>
      </c>
      <c r="K277" s="19" t="n">
        <v>0</v>
      </c>
      <c r="L277" s="13" t="str">
        <f aca="false">IF(D277&gt;=Inputs!$C$14,"Near-prime","Non-prime")</f>
        <v>Non-prime</v>
      </c>
      <c r="M277" s="19" t="n">
        <f aca="false">IF(K277&lt;=Inputs!$C$19,1,0)</f>
        <v>1</v>
      </c>
      <c r="N277" s="19" t="n">
        <f aca="false">IF(F277&lt;=Inputs!$C$20,1,0)</f>
        <v>1</v>
      </c>
      <c r="O277" s="19" t="n">
        <f aca="false">IF(J277&lt;=Inputs!$C$21,1,0)</f>
        <v>1</v>
      </c>
      <c r="P277" s="19" t="n">
        <f aca="false">IF(D277&gt;=Inputs!$C$22,1,0)</f>
        <v>0</v>
      </c>
      <c r="Q277" s="19" t="n">
        <f aca="false">IF(I277&lt;=Inputs!$C$23,1,0)</f>
        <v>1</v>
      </c>
      <c r="R277" s="19" t="n">
        <f aca="false">M277*N277*O277*P277*Q277</f>
        <v>0</v>
      </c>
      <c r="S277" s="14" t="n">
        <f aca="false">I277*R277</f>
        <v>0</v>
      </c>
      <c r="T277" s="19" t="n">
        <f aca="false">IF(F277&gt;72,1,0)</f>
        <v>0</v>
      </c>
      <c r="U277" s="19" t="n">
        <f aca="false">IF(J277&gt;1.25,1,0)</f>
        <v>0</v>
      </c>
    </row>
    <row r="278" customFormat="false" ht="15" hidden="false" customHeight="false" outlineLevel="0" collapsed="false">
      <c r="B278" s="13" t="s">
        <v>498</v>
      </c>
      <c r="C278" s="13" t="s">
        <v>233</v>
      </c>
      <c r="D278" s="19" t="n">
        <v>685</v>
      </c>
      <c r="E278" s="23" t="n">
        <v>0.194</v>
      </c>
      <c r="F278" s="19" t="n">
        <v>72</v>
      </c>
      <c r="G278" s="19" t="n">
        <v>6</v>
      </c>
      <c r="H278" s="14" t="n">
        <v>14070</v>
      </c>
      <c r="I278" s="14" t="n">
        <v>13416.01</v>
      </c>
      <c r="J278" s="24" t="n">
        <v>1.073</v>
      </c>
      <c r="K278" s="19" t="n">
        <v>0</v>
      </c>
      <c r="L278" s="13" t="str">
        <f aca="false">IF(D278&gt;=Inputs!$C$14,"Near-prime","Non-prime")</f>
        <v>Near-prime</v>
      </c>
      <c r="M278" s="19" t="n">
        <f aca="false">IF(K278&lt;=Inputs!$C$19,1,0)</f>
        <v>1</v>
      </c>
      <c r="N278" s="19" t="n">
        <f aca="false">IF(F278&lt;=Inputs!$C$20,1,0)</f>
        <v>1</v>
      </c>
      <c r="O278" s="19" t="n">
        <f aca="false">IF(J278&lt;=Inputs!$C$21,1,0)</f>
        <v>1</v>
      </c>
      <c r="P278" s="19" t="n">
        <f aca="false">IF(D278&gt;=Inputs!$C$22,1,0)</f>
        <v>1</v>
      </c>
      <c r="Q278" s="19" t="n">
        <f aca="false">IF(I278&lt;=Inputs!$C$23,1,0)</f>
        <v>1</v>
      </c>
      <c r="R278" s="19" t="n">
        <f aca="false">M278*N278*O278*P278*Q278</f>
        <v>1</v>
      </c>
      <c r="S278" s="14" t="n">
        <f aca="false">I278*R278</f>
        <v>13416.01</v>
      </c>
      <c r="T278" s="19" t="n">
        <f aca="false">IF(F278&gt;72,1,0)</f>
        <v>0</v>
      </c>
      <c r="U278" s="19" t="n">
        <f aca="false">IF(J278&gt;1.25,1,0)</f>
        <v>0</v>
      </c>
    </row>
    <row r="279" customFormat="false" ht="15" hidden="false" customHeight="false" outlineLevel="0" collapsed="false">
      <c r="B279" s="13" t="s">
        <v>499</v>
      </c>
      <c r="C279" s="13" t="s">
        <v>237</v>
      </c>
      <c r="D279" s="19" t="n">
        <v>709</v>
      </c>
      <c r="E279" s="23" t="n">
        <v>0.1818</v>
      </c>
      <c r="F279" s="19" t="n">
        <v>72</v>
      </c>
      <c r="G279" s="19" t="n">
        <v>1</v>
      </c>
      <c r="H279" s="14" t="n">
        <v>19250</v>
      </c>
      <c r="I279" s="14" t="n">
        <v>19100.63</v>
      </c>
      <c r="J279" s="24" t="n">
        <v>1.168</v>
      </c>
      <c r="K279" s="19" t="n">
        <v>0</v>
      </c>
      <c r="L279" s="13" t="str">
        <f aca="false">IF(D279&gt;=Inputs!$C$14,"Near-prime","Non-prime")</f>
        <v>Near-prime</v>
      </c>
      <c r="M279" s="19" t="n">
        <f aca="false">IF(K279&lt;=Inputs!$C$19,1,0)</f>
        <v>1</v>
      </c>
      <c r="N279" s="19" t="n">
        <f aca="false">IF(F279&lt;=Inputs!$C$20,1,0)</f>
        <v>1</v>
      </c>
      <c r="O279" s="19" t="n">
        <f aca="false">IF(J279&lt;=Inputs!$C$21,1,0)</f>
        <v>1</v>
      </c>
      <c r="P279" s="19" t="n">
        <f aca="false">IF(D279&gt;=Inputs!$C$22,1,0)</f>
        <v>1</v>
      </c>
      <c r="Q279" s="19" t="n">
        <f aca="false">IF(I279&lt;=Inputs!$C$23,1,0)</f>
        <v>1</v>
      </c>
      <c r="R279" s="19" t="n">
        <f aca="false">M279*N279*O279*P279*Q279</f>
        <v>1</v>
      </c>
      <c r="S279" s="14" t="n">
        <f aca="false">I279*R279</f>
        <v>19100.63</v>
      </c>
      <c r="T279" s="19" t="n">
        <f aca="false">IF(F279&gt;72,1,0)</f>
        <v>0</v>
      </c>
      <c r="U279" s="19" t="n">
        <f aca="false">IF(J279&gt;1.25,1,0)</f>
        <v>0</v>
      </c>
    </row>
    <row r="280" customFormat="false" ht="15" hidden="false" customHeight="false" outlineLevel="0" collapsed="false">
      <c r="B280" s="13" t="s">
        <v>500</v>
      </c>
      <c r="C280" s="13" t="s">
        <v>221</v>
      </c>
      <c r="D280" s="19" t="n">
        <v>582</v>
      </c>
      <c r="E280" s="23" t="n">
        <v>0.228</v>
      </c>
      <c r="F280" s="19" t="n">
        <v>72</v>
      </c>
      <c r="G280" s="19" t="n">
        <v>7</v>
      </c>
      <c r="H280" s="14" t="n">
        <v>18720</v>
      </c>
      <c r="I280" s="14" t="n">
        <v>17803.81</v>
      </c>
      <c r="J280" s="24" t="n">
        <v>1.034</v>
      </c>
      <c r="K280" s="19" t="n">
        <v>0</v>
      </c>
      <c r="L280" s="13" t="str">
        <f aca="false">IF(D280&gt;=Inputs!$C$14,"Near-prime","Non-prime")</f>
        <v>Non-prime</v>
      </c>
      <c r="M280" s="19" t="n">
        <f aca="false">IF(K280&lt;=Inputs!$C$19,1,0)</f>
        <v>1</v>
      </c>
      <c r="N280" s="19" t="n">
        <f aca="false">IF(F280&lt;=Inputs!$C$20,1,0)</f>
        <v>1</v>
      </c>
      <c r="O280" s="19" t="n">
        <f aca="false">IF(J280&lt;=Inputs!$C$21,1,0)</f>
        <v>1</v>
      </c>
      <c r="P280" s="19" t="n">
        <f aca="false">IF(D280&gt;=Inputs!$C$22,1,0)</f>
        <v>1</v>
      </c>
      <c r="Q280" s="19" t="n">
        <f aca="false">IF(I280&lt;=Inputs!$C$23,1,0)</f>
        <v>1</v>
      </c>
      <c r="R280" s="19" t="n">
        <f aca="false">M280*N280*O280*P280*Q280</f>
        <v>1</v>
      </c>
      <c r="S280" s="14" t="n">
        <f aca="false">I280*R280</f>
        <v>17803.81</v>
      </c>
      <c r="T280" s="19" t="n">
        <f aca="false">IF(F280&gt;72,1,0)</f>
        <v>0</v>
      </c>
      <c r="U280" s="19" t="n">
        <f aca="false">IF(J280&gt;1.25,1,0)</f>
        <v>0</v>
      </c>
    </row>
    <row r="281" customFormat="false" ht="15" hidden="false" customHeight="false" outlineLevel="0" collapsed="false">
      <c r="B281" s="13" t="s">
        <v>501</v>
      </c>
      <c r="C281" s="13" t="s">
        <v>252</v>
      </c>
      <c r="D281" s="19" t="n">
        <v>673</v>
      </c>
      <c r="E281" s="23" t="n">
        <v>0.2014</v>
      </c>
      <c r="F281" s="19" t="n">
        <v>66</v>
      </c>
      <c r="G281" s="19" t="n">
        <v>10</v>
      </c>
      <c r="H281" s="14" t="n">
        <v>21450</v>
      </c>
      <c r="I281" s="14" t="n">
        <v>19507.47</v>
      </c>
      <c r="J281" s="24" t="n">
        <v>1.186</v>
      </c>
      <c r="K281" s="19" t="n">
        <v>0</v>
      </c>
      <c r="L281" s="13" t="str">
        <f aca="false">IF(D281&gt;=Inputs!$C$14,"Near-prime","Non-prime")</f>
        <v>Near-prime</v>
      </c>
      <c r="M281" s="19" t="n">
        <f aca="false">IF(K281&lt;=Inputs!$C$19,1,0)</f>
        <v>1</v>
      </c>
      <c r="N281" s="19" t="n">
        <f aca="false">IF(F281&lt;=Inputs!$C$20,1,0)</f>
        <v>1</v>
      </c>
      <c r="O281" s="19" t="n">
        <f aca="false">IF(J281&lt;=Inputs!$C$21,1,0)</f>
        <v>1</v>
      </c>
      <c r="P281" s="19" t="n">
        <f aca="false">IF(D281&gt;=Inputs!$C$22,1,0)</f>
        <v>1</v>
      </c>
      <c r="Q281" s="19" t="n">
        <f aca="false">IF(I281&lt;=Inputs!$C$23,1,0)</f>
        <v>1</v>
      </c>
      <c r="R281" s="19" t="n">
        <f aca="false">M281*N281*O281*P281*Q281</f>
        <v>1</v>
      </c>
      <c r="S281" s="14" t="n">
        <f aca="false">I281*R281</f>
        <v>19507.47</v>
      </c>
      <c r="T281" s="19" t="n">
        <f aca="false">IF(F281&gt;72,1,0)</f>
        <v>0</v>
      </c>
      <c r="U281" s="19" t="n">
        <f aca="false">IF(J281&gt;1.25,1,0)</f>
        <v>0</v>
      </c>
    </row>
    <row r="282" customFormat="false" ht="15" hidden="false" customHeight="false" outlineLevel="0" collapsed="false">
      <c r="B282" s="13" t="s">
        <v>502</v>
      </c>
      <c r="C282" s="13" t="s">
        <v>217</v>
      </c>
      <c r="D282" s="19" t="n">
        <v>625</v>
      </c>
      <c r="E282" s="23" t="n">
        <v>0.2086</v>
      </c>
      <c r="F282" s="19" t="n">
        <v>48</v>
      </c>
      <c r="G282" s="19" t="n">
        <v>8</v>
      </c>
      <c r="H282" s="14" t="n">
        <v>22040</v>
      </c>
      <c r="I282" s="14" t="n">
        <v>19508.38</v>
      </c>
      <c r="J282" s="24" t="n">
        <v>1.32</v>
      </c>
      <c r="K282" s="19" t="n">
        <v>0</v>
      </c>
      <c r="L282" s="13" t="str">
        <f aca="false">IF(D282&gt;=Inputs!$C$14,"Near-prime","Non-prime")</f>
        <v>Near-prime</v>
      </c>
      <c r="M282" s="19" t="n">
        <f aca="false">IF(K282&lt;=Inputs!$C$19,1,0)</f>
        <v>1</v>
      </c>
      <c r="N282" s="19" t="n">
        <f aca="false">IF(F282&lt;=Inputs!$C$20,1,0)</f>
        <v>1</v>
      </c>
      <c r="O282" s="19" t="n">
        <f aca="false">IF(J282&lt;=Inputs!$C$21,1,0)</f>
        <v>1</v>
      </c>
      <c r="P282" s="19" t="n">
        <f aca="false">IF(D282&gt;=Inputs!$C$22,1,0)</f>
        <v>1</v>
      </c>
      <c r="Q282" s="19" t="n">
        <f aca="false">IF(I282&lt;=Inputs!$C$23,1,0)</f>
        <v>1</v>
      </c>
      <c r="R282" s="19" t="n">
        <f aca="false">M282*N282*O282*P282*Q282</f>
        <v>1</v>
      </c>
      <c r="S282" s="14" t="n">
        <f aca="false">I282*R282</f>
        <v>19508.38</v>
      </c>
      <c r="T282" s="19" t="n">
        <f aca="false">IF(F282&gt;72,1,0)</f>
        <v>0</v>
      </c>
      <c r="U282" s="19" t="n">
        <f aca="false">IF(J282&gt;1.25,1,0)</f>
        <v>1</v>
      </c>
    </row>
    <row r="283" customFormat="false" ht="15" hidden="false" customHeight="false" outlineLevel="0" collapsed="false">
      <c r="B283" s="13" t="s">
        <v>503</v>
      </c>
      <c r="C283" s="13" t="s">
        <v>217</v>
      </c>
      <c r="D283" s="19" t="n">
        <v>646</v>
      </c>
      <c r="E283" s="23" t="n">
        <v>0.2264</v>
      </c>
      <c r="F283" s="19" t="n">
        <v>84</v>
      </c>
      <c r="G283" s="19" t="n">
        <v>9</v>
      </c>
      <c r="H283" s="14" t="n">
        <v>13280</v>
      </c>
      <c r="I283" s="14" t="n">
        <v>12640.93</v>
      </c>
      <c r="J283" s="24" t="n">
        <v>1.276</v>
      </c>
      <c r="K283" s="19" t="n">
        <v>0</v>
      </c>
      <c r="L283" s="13" t="str">
        <f aca="false">IF(D283&gt;=Inputs!$C$14,"Near-prime","Non-prime")</f>
        <v>Near-prime</v>
      </c>
      <c r="M283" s="19" t="n">
        <f aca="false">IF(K283&lt;=Inputs!$C$19,1,0)</f>
        <v>1</v>
      </c>
      <c r="N283" s="19" t="n">
        <f aca="false">IF(F283&lt;=Inputs!$C$20,1,0)</f>
        <v>0</v>
      </c>
      <c r="O283" s="19" t="n">
        <f aca="false">IF(J283&lt;=Inputs!$C$21,1,0)</f>
        <v>1</v>
      </c>
      <c r="P283" s="19" t="n">
        <f aca="false">IF(D283&gt;=Inputs!$C$22,1,0)</f>
        <v>1</v>
      </c>
      <c r="Q283" s="19" t="n">
        <f aca="false">IF(I283&lt;=Inputs!$C$23,1,0)</f>
        <v>1</v>
      </c>
      <c r="R283" s="19" t="n">
        <f aca="false">M283*N283*O283*P283*Q283</f>
        <v>0</v>
      </c>
      <c r="S283" s="14" t="n">
        <f aca="false">I283*R283</f>
        <v>0</v>
      </c>
      <c r="T283" s="19" t="n">
        <f aca="false">IF(F283&gt;72,1,0)</f>
        <v>1</v>
      </c>
      <c r="U283" s="19" t="n">
        <f aca="false">IF(J283&gt;1.25,1,0)</f>
        <v>1</v>
      </c>
    </row>
    <row r="284" customFormat="false" ht="15" hidden="false" customHeight="false" outlineLevel="0" collapsed="false">
      <c r="B284" s="13" t="s">
        <v>504</v>
      </c>
      <c r="C284" s="13" t="s">
        <v>223</v>
      </c>
      <c r="D284" s="19" t="n">
        <v>612</v>
      </c>
      <c r="E284" s="23" t="n">
        <v>0.2071</v>
      </c>
      <c r="F284" s="19" t="n">
        <v>60</v>
      </c>
      <c r="G284" s="19" t="n">
        <v>8</v>
      </c>
      <c r="H284" s="14" t="n">
        <v>18530</v>
      </c>
      <c r="I284" s="14" t="n">
        <v>17012.84</v>
      </c>
      <c r="J284" s="24" t="n">
        <v>0.974</v>
      </c>
      <c r="K284" s="19" t="n">
        <v>75</v>
      </c>
      <c r="L284" s="13" t="str">
        <f aca="false">IF(D284&gt;=Inputs!$C$14,"Near-prime","Non-prime")</f>
        <v>Non-prime</v>
      </c>
      <c r="M284" s="19" t="n">
        <f aca="false">IF(K284&lt;=Inputs!$C$19,1,0)</f>
        <v>0</v>
      </c>
      <c r="N284" s="19" t="n">
        <f aca="false">IF(F284&lt;=Inputs!$C$20,1,0)</f>
        <v>1</v>
      </c>
      <c r="O284" s="19" t="n">
        <f aca="false">IF(J284&lt;=Inputs!$C$21,1,0)</f>
        <v>1</v>
      </c>
      <c r="P284" s="19" t="n">
        <f aca="false">IF(D284&gt;=Inputs!$C$22,1,0)</f>
        <v>1</v>
      </c>
      <c r="Q284" s="19" t="n">
        <f aca="false">IF(I284&lt;=Inputs!$C$23,1,0)</f>
        <v>1</v>
      </c>
      <c r="R284" s="19" t="n">
        <f aca="false">M284*N284*O284*P284*Q284</f>
        <v>0</v>
      </c>
      <c r="S284" s="14" t="n">
        <f aca="false">I284*R284</f>
        <v>0</v>
      </c>
      <c r="T284" s="19" t="n">
        <f aca="false">IF(F284&gt;72,1,0)</f>
        <v>0</v>
      </c>
      <c r="U284" s="19" t="n">
        <f aca="false">IF(J284&gt;1.25,1,0)</f>
        <v>0</v>
      </c>
    </row>
    <row r="285" customFormat="false" ht="15" hidden="false" customHeight="false" outlineLevel="0" collapsed="false">
      <c r="B285" s="13" t="s">
        <v>505</v>
      </c>
      <c r="C285" s="13" t="s">
        <v>221</v>
      </c>
      <c r="D285" s="19" t="n">
        <v>643</v>
      </c>
      <c r="E285" s="23" t="n">
        <v>0.2197</v>
      </c>
      <c r="F285" s="19" t="n">
        <v>48</v>
      </c>
      <c r="G285" s="19" t="n">
        <v>9</v>
      </c>
      <c r="H285" s="14" t="n">
        <v>19430</v>
      </c>
      <c r="I285" s="14" t="n">
        <v>16948.74</v>
      </c>
      <c r="J285" s="24" t="n">
        <v>0.921</v>
      </c>
      <c r="K285" s="19" t="n">
        <v>0</v>
      </c>
      <c r="L285" s="13" t="str">
        <f aca="false">IF(D285&gt;=Inputs!$C$14,"Near-prime","Non-prime")</f>
        <v>Near-prime</v>
      </c>
      <c r="M285" s="19" t="n">
        <f aca="false">IF(K285&lt;=Inputs!$C$19,1,0)</f>
        <v>1</v>
      </c>
      <c r="N285" s="19" t="n">
        <f aca="false">IF(F285&lt;=Inputs!$C$20,1,0)</f>
        <v>1</v>
      </c>
      <c r="O285" s="19" t="n">
        <f aca="false">IF(J285&lt;=Inputs!$C$21,1,0)</f>
        <v>1</v>
      </c>
      <c r="P285" s="19" t="n">
        <f aca="false">IF(D285&gt;=Inputs!$C$22,1,0)</f>
        <v>1</v>
      </c>
      <c r="Q285" s="19" t="n">
        <f aca="false">IF(I285&lt;=Inputs!$C$23,1,0)</f>
        <v>1</v>
      </c>
      <c r="R285" s="19" t="n">
        <f aca="false">M285*N285*O285*P285*Q285</f>
        <v>1</v>
      </c>
      <c r="S285" s="14" t="n">
        <f aca="false">I285*R285</f>
        <v>16948.74</v>
      </c>
      <c r="T285" s="19" t="n">
        <f aca="false">IF(F285&gt;72,1,0)</f>
        <v>0</v>
      </c>
      <c r="U285" s="19" t="n">
        <f aca="false">IF(J285&gt;1.25,1,0)</f>
        <v>0</v>
      </c>
    </row>
    <row r="286" customFormat="false" ht="15" hidden="false" customHeight="false" outlineLevel="0" collapsed="false">
      <c r="B286" s="13" t="s">
        <v>506</v>
      </c>
      <c r="C286" s="13" t="s">
        <v>237</v>
      </c>
      <c r="D286" s="19" t="n">
        <v>688</v>
      </c>
      <c r="E286" s="23" t="n">
        <v>0.1999</v>
      </c>
      <c r="F286" s="19" t="n">
        <v>66</v>
      </c>
      <c r="G286" s="19" t="n">
        <v>1</v>
      </c>
      <c r="H286" s="14" t="n">
        <v>11270</v>
      </c>
      <c r="I286" s="14" t="n">
        <v>11174.96</v>
      </c>
      <c r="J286" s="24" t="n">
        <v>1.401</v>
      </c>
      <c r="K286" s="19" t="n">
        <v>0</v>
      </c>
      <c r="L286" s="13" t="str">
        <f aca="false">IF(D286&gt;=Inputs!$C$14,"Near-prime","Non-prime")</f>
        <v>Near-prime</v>
      </c>
      <c r="M286" s="19" t="n">
        <f aca="false">IF(K286&lt;=Inputs!$C$19,1,0)</f>
        <v>1</v>
      </c>
      <c r="N286" s="19" t="n">
        <f aca="false">IF(F286&lt;=Inputs!$C$20,1,0)</f>
        <v>1</v>
      </c>
      <c r="O286" s="19" t="n">
        <f aca="false">IF(J286&lt;=Inputs!$C$21,1,0)</f>
        <v>1</v>
      </c>
      <c r="P286" s="19" t="n">
        <f aca="false">IF(D286&gt;=Inputs!$C$22,1,0)</f>
        <v>1</v>
      </c>
      <c r="Q286" s="19" t="n">
        <f aca="false">IF(I286&lt;=Inputs!$C$23,1,0)</f>
        <v>1</v>
      </c>
      <c r="R286" s="19" t="n">
        <f aca="false">M286*N286*O286*P286*Q286</f>
        <v>1</v>
      </c>
      <c r="S286" s="14" t="n">
        <f aca="false">I286*R286</f>
        <v>11174.96</v>
      </c>
      <c r="T286" s="19" t="n">
        <f aca="false">IF(F286&gt;72,1,0)</f>
        <v>0</v>
      </c>
      <c r="U286" s="19" t="n">
        <f aca="false">IF(J286&gt;1.25,1,0)</f>
        <v>1</v>
      </c>
    </row>
    <row r="287" customFormat="false" ht="15" hidden="false" customHeight="false" outlineLevel="0" collapsed="false">
      <c r="B287" s="13" t="s">
        <v>507</v>
      </c>
      <c r="C287" s="13" t="s">
        <v>217</v>
      </c>
      <c r="D287" s="19" t="n">
        <v>617</v>
      </c>
      <c r="E287" s="23" t="n">
        <v>0.2192</v>
      </c>
      <c r="F287" s="19" t="n">
        <v>60</v>
      </c>
      <c r="G287" s="19" t="n">
        <v>1</v>
      </c>
      <c r="H287" s="14" t="n">
        <v>42340</v>
      </c>
      <c r="I287" s="14" t="n">
        <v>41945.95</v>
      </c>
      <c r="J287" s="24" t="n">
        <v>1.284</v>
      </c>
      <c r="K287" s="19" t="n">
        <v>0</v>
      </c>
      <c r="L287" s="13" t="str">
        <f aca="false">IF(D287&gt;=Inputs!$C$14,"Near-prime","Non-prime")</f>
        <v>Non-prime</v>
      </c>
      <c r="M287" s="19" t="n">
        <f aca="false">IF(K287&lt;=Inputs!$C$19,1,0)</f>
        <v>1</v>
      </c>
      <c r="N287" s="19" t="n">
        <f aca="false">IF(F287&lt;=Inputs!$C$20,1,0)</f>
        <v>1</v>
      </c>
      <c r="O287" s="19" t="n">
        <f aca="false">IF(J287&lt;=Inputs!$C$21,1,0)</f>
        <v>1</v>
      </c>
      <c r="P287" s="19" t="n">
        <f aca="false">IF(D287&gt;=Inputs!$C$22,1,0)</f>
        <v>1</v>
      </c>
      <c r="Q287" s="19" t="n">
        <f aca="false">IF(I287&lt;=Inputs!$C$23,1,0)</f>
        <v>1</v>
      </c>
      <c r="R287" s="19" t="n">
        <f aca="false">M287*N287*O287*P287*Q287</f>
        <v>1</v>
      </c>
      <c r="S287" s="14" t="n">
        <f aca="false">I287*R287</f>
        <v>41945.95</v>
      </c>
      <c r="T287" s="19" t="n">
        <f aca="false">IF(F287&gt;72,1,0)</f>
        <v>0</v>
      </c>
      <c r="U287" s="19" t="n">
        <f aca="false">IF(J287&gt;1.25,1,0)</f>
        <v>1</v>
      </c>
    </row>
    <row r="288" customFormat="false" ht="15" hidden="false" customHeight="false" outlineLevel="0" collapsed="false">
      <c r="B288" s="13" t="s">
        <v>508</v>
      </c>
      <c r="C288" s="13" t="s">
        <v>217</v>
      </c>
      <c r="D288" s="19" t="n">
        <v>608</v>
      </c>
      <c r="E288" s="23" t="n">
        <v>0.2171</v>
      </c>
      <c r="F288" s="19" t="n">
        <v>60</v>
      </c>
      <c r="G288" s="19" t="n">
        <v>2</v>
      </c>
      <c r="H288" s="14" t="n">
        <v>42280</v>
      </c>
      <c r="I288" s="14" t="n">
        <v>41481.14</v>
      </c>
      <c r="J288" s="24" t="n">
        <v>1.326</v>
      </c>
      <c r="K288" s="19" t="n">
        <v>15</v>
      </c>
      <c r="L288" s="13" t="str">
        <f aca="false">IF(D288&gt;=Inputs!$C$14,"Near-prime","Non-prime")</f>
        <v>Non-prime</v>
      </c>
      <c r="M288" s="19" t="n">
        <f aca="false">IF(K288&lt;=Inputs!$C$19,1,0)</f>
        <v>1</v>
      </c>
      <c r="N288" s="19" t="n">
        <f aca="false">IF(F288&lt;=Inputs!$C$20,1,0)</f>
        <v>1</v>
      </c>
      <c r="O288" s="19" t="n">
        <f aca="false">IF(J288&lt;=Inputs!$C$21,1,0)</f>
        <v>1</v>
      </c>
      <c r="P288" s="19" t="n">
        <f aca="false">IF(D288&gt;=Inputs!$C$22,1,0)</f>
        <v>1</v>
      </c>
      <c r="Q288" s="19" t="n">
        <f aca="false">IF(I288&lt;=Inputs!$C$23,1,0)</f>
        <v>1</v>
      </c>
      <c r="R288" s="19" t="n">
        <f aca="false">M288*N288*O288*P288*Q288</f>
        <v>1</v>
      </c>
      <c r="S288" s="14" t="n">
        <f aca="false">I288*R288</f>
        <v>41481.14</v>
      </c>
      <c r="T288" s="19" t="n">
        <f aca="false">IF(F288&gt;72,1,0)</f>
        <v>0</v>
      </c>
      <c r="U288" s="19" t="n">
        <f aca="false">IF(J288&gt;1.25,1,0)</f>
        <v>1</v>
      </c>
    </row>
    <row r="289" customFormat="false" ht="15" hidden="false" customHeight="false" outlineLevel="0" collapsed="false">
      <c r="B289" s="13" t="s">
        <v>509</v>
      </c>
      <c r="C289" s="13" t="s">
        <v>219</v>
      </c>
      <c r="D289" s="19" t="n">
        <v>591</v>
      </c>
      <c r="E289" s="23" t="n">
        <v>0.2313</v>
      </c>
      <c r="F289" s="19" t="n">
        <v>72</v>
      </c>
      <c r="G289" s="19" t="n">
        <v>2</v>
      </c>
      <c r="H289" s="14" t="n">
        <v>17500</v>
      </c>
      <c r="I289" s="14" t="n">
        <v>17269.38</v>
      </c>
      <c r="J289" s="24" t="n">
        <v>1.145</v>
      </c>
      <c r="K289" s="19" t="n">
        <v>0</v>
      </c>
      <c r="L289" s="13" t="str">
        <f aca="false">IF(D289&gt;=Inputs!$C$14,"Near-prime","Non-prime")</f>
        <v>Non-prime</v>
      </c>
      <c r="M289" s="19" t="n">
        <f aca="false">IF(K289&lt;=Inputs!$C$19,1,0)</f>
        <v>1</v>
      </c>
      <c r="N289" s="19" t="n">
        <f aca="false">IF(F289&lt;=Inputs!$C$20,1,0)</f>
        <v>1</v>
      </c>
      <c r="O289" s="19" t="n">
        <f aca="false">IF(J289&lt;=Inputs!$C$21,1,0)</f>
        <v>1</v>
      </c>
      <c r="P289" s="19" t="n">
        <f aca="false">IF(D289&gt;=Inputs!$C$22,1,0)</f>
        <v>1</v>
      </c>
      <c r="Q289" s="19" t="n">
        <f aca="false">IF(I289&lt;=Inputs!$C$23,1,0)</f>
        <v>1</v>
      </c>
      <c r="R289" s="19" t="n">
        <f aca="false">M289*N289*O289*P289*Q289</f>
        <v>1</v>
      </c>
      <c r="S289" s="14" t="n">
        <f aca="false">I289*R289</f>
        <v>17269.38</v>
      </c>
      <c r="T289" s="19" t="n">
        <f aca="false">IF(F289&gt;72,1,0)</f>
        <v>0</v>
      </c>
      <c r="U289" s="19" t="n">
        <f aca="false">IF(J289&gt;1.25,1,0)</f>
        <v>0</v>
      </c>
    </row>
    <row r="290" customFormat="false" ht="15" hidden="false" customHeight="false" outlineLevel="0" collapsed="false">
      <c r="B290" s="13" t="s">
        <v>510</v>
      </c>
      <c r="C290" s="13" t="s">
        <v>257</v>
      </c>
      <c r="D290" s="19" t="n">
        <v>702</v>
      </c>
      <c r="E290" s="23" t="n">
        <v>0.2136</v>
      </c>
      <c r="F290" s="19" t="n">
        <v>66</v>
      </c>
      <c r="G290" s="19" t="n">
        <v>0</v>
      </c>
      <c r="H290" s="14" t="n">
        <v>19480</v>
      </c>
      <c r="I290" s="14" t="n">
        <v>19480</v>
      </c>
      <c r="J290" s="24" t="n">
        <v>1.002</v>
      </c>
      <c r="K290" s="19" t="n">
        <v>0</v>
      </c>
      <c r="L290" s="13" t="str">
        <f aca="false">IF(D290&gt;=Inputs!$C$14,"Near-prime","Non-prime")</f>
        <v>Near-prime</v>
      </c>
      <c r="M290" s="19" t="n">
        <f aca="false">IF(K290&lt;=Inputs!$C$19,1,0)</f>
        <v>1</v>
      </c>
      <c r="N290" s="19" t="n">
        <f aca="false">IF(F290&lt;=Inputs!$C$20,1,0)</f>
        <v>1</v>
      </c>
      <c r="O290" s="19" t="n">
        <f aca="false">IF(J290&lt;=Inputs!$C$21,1,0)</f>
        <v>1</v>
      </c>
      <c r="P290" s="19" t="n">
        <f aca="false">IF(D290&gt;=Inputs!$C$22,1,0)</f>
        <v>1</v>
      </c>
      <c r="Q290" s="19" t="n">
        <f aca="false">IF(I290&lt;=Inputs!$C$23,1,0)</f>
        <v>1</v>
      </c>
      <c r="R290" s="19" t="n">
        <f aca="false">M290*N290*O290*P290*Q290</f>
        <v>1</v>
      </c>
      <c r="S290" s="14" t="n">
        <f aca="false">I290*R290</f>
        <v>19480</v>
      </c>
      <c r="T290" s="19" t="n">
        <f aca="false">IF(F290&gt;72,1,0)</f>
        <v>0</v>
      </c>
      <c r="U290" s="19" t="n">
        <f aca="false">IF(J290&gt;1.25,1,0)</f>
        <v>0</v>
      </c>
    </row>
    <row r="291" customFormat="false" ht="15" hidden="false" customHeight="false" outlineLevel="0" collapsed="false">
      <c r="B291" s="13" t="s">
        <v>511</v>
      </c>
      <c r="C291" s="13" t="s">
        <v>257</v>
      </c>
      <c r="D291" s="19" t="n">
        <v>600</v>
      </c>
      <c r="E291" s="23" t="n">
        <v>0.2018</v>
      </c>
      <c r="F291" s="19" t="n">
        <v>60</v>
      </c>
      <c r="G291" s="19" t="n">
        <v>2</v>
      </c>
      <c r="H291" s="14" t="n">
        <v>19650</v>
      </c>
      <c r="I291" s="14" t="n">
        <v>19262.51</v>
      </c>
      <c r="J291" s="24" t="n">
        <v>1.21</v>
      </c>
      <c r="K291" s="19" t="n">
        <v>0</v>
      </c>
      <c r="L291" s="13" t="str">
        <f aca="false">IF(D291&gt;=Inputs!$C$14,"Near-prime","Non-prime")</f>
        <v>Non-prime</v>
      </c>
      <c r="M291" s="19" t="n">
        <f aca="false">IF(K291&lt;=Inputs!$C$19,1,0)</f>
        <v>1</v>
      </c>
      <c r="N291" s="19" t="n">
        <f aca="false">IF(F291&lt;=Inputs!$C$20,1,0)</f>
        <v>1</v>
      </c>
      <c r="O291" s="19" t="n">
        <f aca="false">IF(J291&lt;=Inputs!$C$21,1,0)</f>
        <v>1</v>
      </c>
      <c r="P291" s="19" t="n">
        <f aca="false">IF(D291&gt;=Inputs!$C$22,1,0)</f>
        <v>1</v>
      </c>
      <c r="Q291" s="19" t="n">
        <f aca="false">IF(I291&lt;=Inputs!$C$23,1,0)</f>
        <v>1</v>
      </c>
      <c r="R291" s="19" t="n">
        <f aca="false">M291*N291*O291*P291*Q291</f>
        <v>1</v>
      </c>
      <c r="S291" s="14" t="n">
        <f aca="false">I291*R291</f>
        <v>19262.51</v>
      </c>
      <c r="T291" s="19" t="n">
        <f aca="false">IF(F291&gt;72,1,0)</f>
        <v>0</v>
      </c>
      <c r="U291" s="19" t="n">
        <f aca="false">IF(J291&gt;1.25,1,0)</f>
        <v>0</v>
      </c>
    </row>
    <row r="292" customFormat="false" ht="15" hidden="false" customHeight="false" outlineLevel="0" collapsed="false">
      <c r="B292" s="13" t="s">
        <v>512</v>
      </c>
      <c r="C292" s="13" t="s">
        <v>237</v>
      </c>
      <c r="D292" s="19" t="n">
        <v>676</v>
      </c>
      <c r="E292" s="23" t="n">
        <v>0.2154</v>
      </c>
      <c r="F292" s="19" t="n">
        <v>66</v>
      </c>
      <c r="G292" s="19" t="n">
        <v>7</v>
      </c>
      <c r="H292" s="14" t="n">
        <v>17970</v>
      </c>
      <c r="I292" s="14" t="n">
        <v>16903.93</v>
      </c>
      <c r="J292" s="24" t="n">
        <v>0.925</v>
      </c>
      <c r="K292" s="19" t="n">
        <v>0</v>
      </c>
      <c r="L292" s="13" t="str">
        <f aca="false">IF(D292&gt;=Inputs!$C$14,"Near-prime","Non-prime")</f>
        <v>Near-prime</v>
      </c>
      <c r="M292" s="19" t="n">
        <f aca="false">IF(K292&lt;=Inputs!$C$19,1,0)</f>
        <v>1</v>
      </c>
      <c r="N292" s="19" t="n">
        <f aca="false">IF(F292&lt;=Inputs!$C$20,1,0)</f>
        <v>1</v>
      </c>
      <c r="O292" s="19" t="n">
        <f aca="false">IF(J292&lt;=Inputs!$C$21,1,0)</f>
        <v>1</v>
      </c>
      <c r="P292" s="19" t="n">
        <f aca="false">IF(D292&gt;=Inputs!$C$22,1,0)</f>
        <v>1</v>
      </c>
      <c r="Q292" s="19" t="n">
        <f aca="false">IF(I292&lt;=Inputs!$C$23,1,0)</f>
        <v>1</v>
      </c>
      <c r="R292" s="19" t="n">
        <f aca="false">M292*N292*O292*P292*Q292</f>
        <v>1</v>
      </c>
      <c r="S292" s="14" t="n">
        <f aca="false">I292*R292</f>
        <v>16903.93</v>
      </c>
      <c r="T292" s="19" t="n">
        <f aca="false">IF(F292&gt;72,1,0)</f>
        <v>0</v>
      </c>
      <c r="U292" s="19" t="n">
        <f aca="false">IF(J292&gt;1.25,1,0)</f>
        <v>0</v>
      </c>
    </row>
    <row r="293" customFormat="false" ht="15" hidden="false" customHeight="false" outlineLevel="0" collapsed="false">
      <c r="B293" s="13" t="s">
        <v>513</v>
      </c>
      <c r="C293" s="13" t="s">
        <v>233</v>
      </c>
      <c r="D293" s="19" t="n">
        <v>579</v>
      </c>
      <c r="E293" s="23" t="n">
        <v>0.2189</v>
      </c>
      <c r="F293" s="19" t="n">
        <v>60</v>
      </c>
      <c r="G293" s="19" t="n">
        <v>4</v>
      </c>
      <c r="H293" s="14" t="n">
        <v>28500</v>
      </c>
      <c r="I293" s="14" t="n">
        <v>27408.71</v>
      </c>
      <c r="J293" s="24" t="n">
        <v>1.056</v>
      </c>
      <c r="K293" s="19" t="n">
        <v>0</v>
      </c>
      <c r="L293" s="13" t="str">
        <f aca="false">IF(D293&gt;=Inputs!$C$14,"Near-prime","Non-prime")</f>
        <v>Non-prime</v>
      </c>
      <c r="M293" s="19" t="n">
        <f aca="false">IF(K293&lt;=Inputs!$C$19,1,0)</f>
        <v>1</v>
      </c>
      <c r="N293" s="19" t="n">
        <f aca="false">IF(F293&lt;=Inputs!$C$20,1,0)</f>
        <v>1</v>
      </c>
      <c r="O293" s="19" t="n">
        <f aca="false">IF(J293&lt;=Inputs!$C$21,1,0)</f>
        <v>1</v>
      </c>
      <c r="P293" s="19" t="n">
        <f aca="false">IF(D293&gt;=Inputs!$C$22,1,0)</f>
        <v>1</v>
      </c>
      <c r="Q293" s="19" t="n">
        <f aca="false">IF(I293&lt;=Inputs!$C$23,1,0)</f>
        <v>1</v>
      </c>
      <c r="R293" s="19" t="n">
        <f aca="false">M293*N293*O293*P293*Q293</f>
        <v>1</v>
      </c>
      <c r="S293" s="14" t="n">
        <f aca="false">I293*R293</f>
        <v>27408.71</v>
      </c>
      <c r="T293" s="19" t="n">
        <f aca="false">IF(F293&gt;72,1,0)</f>
        <v>0</v>
      </c>
      <c r="U293" s="19" t="n">
        <f aca="false">IF(J293&gt;1.25,1,0)</f>
        <v>0</v>
      </c>
    </row>
    <row r="294" customFormat="false" ht="15" hidden="false" customHeight="false" outlineLevel="0" collapsed="false">
      <c r="B294" s="13" t="s">
        <v>514</v>
      </c>
      <c r="C294" s="13" t="s">
        <v>221</v>
      </c>
      <c r="D294" s="19" t="n">
        <v>533</v>
      </c>
      <c r="E294" s="23" t="n">
        <v>0.2367</v>
      </c>
      <c r="F294" s="19" t="n">
        <v>60</v>
      </c>
      <c r="G294" s="19" t="n">
        <v>10</v>
      </c>
      <c r="H294" s="14" t="n">
        <v>16050</v>
      </c>
      <c r="I294" s="14" t="n">
        <v>14496.32</v>
      </c>
      <c r="J294" s="24" t="n">
        <v>1.186</v>
      </c>
      <c r="K294" s="19" t="n">
        <v>45</v>
      </c>
      <c r="L294" s="13" t="str">
        <f aca="false">IF(D294&gt;=Inputs!$C$14,"Near-prime","Non-prime")</f>
        <v>Non-prime</v>
      </c>
      <c r="M294" s="19" t="n">
        <f aca="false">IF(K294&lt;=Inputs!$C$19,1,0)</f>
        <v>1</v>
      </c>
      <c r="N294" s="19" t="n">
        <f aca="false">IF(F294&lt;=Inputs!$C$20,1,0)</f>
        <v>1</v>
      </c>
      <c r="O294" s="19" t="n">
        <f aca="false">IF(J294&lt;=Inputs!$C$21,1,0)</f>
        <v>1</v>
      </c>
      <c r="P294" s="19" t="n">
        <f aca="false">IF(D294&gt;=Inputs!$C$22,1,0)</f>
        <v>0</v>
      </c>
      <c r="Q294" s="19" t="n">
        <f aca="false">IF(I294&lt;=Inputs!$C$23,1,0)</f>
        <v>1</v>
      </c>
      <c r="R294" s="19" t="n">
        <f aca="false">M294*N294*O294*P294*Q294</f>
        <v>0</v>
      </c>
      <c r="S294" s="14" t="n">
        <f aca="false">I294*R294</f>
        <v>0</v>
      </c>
      <c r="T294" s="19" t="n">
        <f aca="false">IF(F294&gt;72,1,0)</f>
        <v>0</v>
      </c>
      <c r="U294" s="19" t="n">
        <f aca="false">IF(J294&gt;1.25,1,0)</f>
        <v>0</v>
      </c>
    </row>
    <row r="295" customFormat="false" ht="15" hidden="false" customHeight="false" outlineLevel="0" collapsed="false">
      <c r="B295" s="13" t="s">
        <v>515</v>
      </c>
      <c r="C295" s="13" t="s">
        <v>226</v>
      </c>
      <c r="D295" s="19" t="n">
        <v>614</v>
      </c>
      <c r="E295" s="23" t="n">
        <v>0.2181</v>
      </c>
      <c r="F295" s="19" t="n">
        <v>84</v>
      </c>
      <c r="G295" s="19" t="n">
        <v>9</v>
      </c>
      <c r="H295" s="14" t="n">
        <v>32590</v>
      </c>
      <c r="I295" s="14" t="n">
        <v>30969.98</v>
      </c>
      <c r="J295" s="24" t="n">
        <v>1.133</v>
      </c>
      <c r="K295" s="19" t="n">
        <v>0</v>
      </c>
      <c r="L295" s="13" t="str">
        <f aca="false">IF(D295&gt;=Inputs!$C$14,"Near-prime","Non-prime")</f>
        <v>Non-prime</v>
      </c>
      <c r="M295" s="19" t="n">
        <f aca="false">IF(K295&lt;=Inputs!$C$19,1,0)</f>
        <v>1</v>
      </c>
      <c r="N295" s="19" t="n">
        <f aca="false">IF(F295&lt;=Inputs!$C$20,1,0)</f>
        <v>0</v>
      </c>
      <c r="O295" s="19" t="n">
        <f aca="false">IF(J295&lt;=Inputs!$C$21,1,0)</f>
        <v>1</v>
      </c>
      <c r="P295" s="19" t="n">
        <f aca="false">IF(D295&gt;=Inputs!$C$22,1,0)</f>
        <v>1</v>
      </c>
      <c r="Q295" s="19" t="n">
        <f aca="false">IF(I295&lt;=Inputs!$C$23,1,0)</f>
        <v>1</v>
      </c>
      <c r="R295" s="19" t="n">
        <f aca="false">M295*N295*O295*P295*Q295</f>
        <v>0</v>
      </c>
      <c r="S295" s="14" t="n">
        <f aca="false">I295*R295</f>
        <v>0</v>
      </c>
      <c r="T295" s="19" t="n">
        <f aca="false">IF(F295&gt;72,1,0)</f>
        <v>1</v>
      </c>
      <c r="U295" s="19" t="n">
        <f aca="false">IF(J295&gt;1.25,1,0)</f>
        <v>0</v>
      </c>
    </row>
    <row r="296" customFormat="false" ht="15" hidden="false" customHeight="false" outlineLevel="0" collapsed="false">
      <c r="B296" s="13" t="s">
        <v>516</v>
      </c>
      <c r="C296" s="13" t="s">
        <v>221</v>
      </c>
      <c r="D296" s="19" t="n">
        <v>656</v>
      </c>
      <c r="E296" s="23" t="n">
        <v>0.199</v>
      </c>
      <c r="F296" s="19" t="n">
        <v>60</v>
      </c>
      <c r="G296" s="19" t="n">
        <v>7</v>
      </c>
      <c r="H296" s="14" t="n">
        <v>29270</v>
      </c>
      <c r="I296" s="14" t="n">
        <v>27147.54</v>
      </c>
      <c r="J296" s="24" t="n">
        <v>0.968</v>
      </c>
      <c r="K296" s="19" t="n">
        <v>0</v>
      </c>
      <c r="L296" s="13" t="str">
        <f aca="false">IF(D296&gt;=Inputs!$C$14,"Near-prime","Non-prime")</f>
        <v>Near-prime</v>
      </c>
      <c r="M296" s="19" t="n">
        <f aca="false">IF(K296&lt;=Inputs!$C$19,1,0)</f>
        <v>1</v>
      </c>
      <c r="N296" s="19" t="n">
        <f aca="false">IF(F296&lt;=Inputs!$C$20,1,0)</f>
        <v>1</v>
      </c>
      <c r="O296" s="19" t="n">
        <f aca="false">IF(J296&lt;=Inputs!$C$21,1,0)</f>
        <v>1</v>
      </c>
      <c r="P296" s="19" t="n">
        <f aca="false">IF(D296&gt;=Inputs!$C$22,1,0)</f>
        <v>1</v>
      </c>
      <c r="Q296" s="19" t="n">
        <f aca="false">IF(I296&lt;=Inputs!$C$23,1,0)</f>
        <v>1</v>
      </c>
      <c r="R296" s="19" t="n">
        <f aca="false">M296*N296*O296*P296*Q296</f>
        <v>1</v>
      </c>
      <c r="S296" s="14" t="n">
        <f aca="false">I296*R296</f>
        <v>27147.54</v>
      </c>
      <c r="T296" s="19" t="n">
        <f aca="false">IF(F296&gt;72,1,0)</f>
        <v>0</v>
      </c>
      <c r="U296" s="19" t="n">
        <f aca="false">IF(J296&gt;1.25,1,0)</f>
        <v>0</v>
      </c>
    </row>
    <row r="297" customFormat="false" ht="15" hidden="false" customHeight="false" outlineLevel="0" collapsed="false">
      <c r="B297" s="13" t="s">
        <v>517</v>
      </c>
      <c r="C297" s="13" t="s">
        <v>223</v>
      </c>
      <c r="D297" s="19" t="n">
        <v>700</v>
      </c>
      <c r="E297" s="23" t="n">
        <v>0.1888</v>
      </c>
      <c r="F297" s="19" t="n">
        <v>72</v>
      </c>
      <c r="G297" s="19" t="n">
        <v>6</v>
      </c>
      <c r="H297" s="14" t="n">
        <v>23390</v>
      </c>
      <c r="I297" s="14" t="n">
        <v>22284.26</v>
      </c>
      <c r="J297" s="24" t="n">
        <v>1.184</v>
      </c>
      <c r="K297" s="19" t="n">
        <v>0</v>
      </c>
      <c r="L297" s="13" t="str">
        <f aca="false">IF(D297&gt;=Inputs!$C$14,"Near-prime","Non-prime")</f>
        <v>Near-prime</v>
      </c>
      <c r="M297" s="19" t="n">
        <f aca="false">IF(K297&lt;=Inputs!$C$19,1,0)</f>
        <v>1</v>
      </c>
      <c r="N297" s="19" t="n">
        <f aca="false">IF(F297&lt;=Inputs!$C$20,1,0)</f>
        <v>1</v>
      </c>
      <c r="O297" s="19" t="n">
        <f aca="false">IF(J297&lt;=Inputs!$C$21,1,0)</f>
        <v>1</v>
      </c>
      <c r="P297" s="19" t="n">
        <f aca="false">IF(D297&gt;=Inputs!$C$22,1,0)</f>
        <v>1</v>
      </c>
      <c r="Q297" s="19" t="n">
        <f aca="false">IF(I297&lt;=Inputs!$C$23,1,0)</f>
        <v>1</v>
      </c>
      <c r="R297" s="19" t="n">
        <f aca="false">M297*N297*O297*P297*Q297</f>
        <v>1</v>
      </c>
      <c r="S297" s="14" t="n">
        <f aca="false">I297*R297</f>
        <v>22284.26</v>
      </c>
      <c r="T297" s="19" t="n">
        <f aca="false">IF(F297&gt;72,1,0)</f>
        <v>0</v>
      </c>
      <c r="U297" s="19" t="n">
        <f aca="false">IF(J297&gt;1.25,1,0)</f>
        <v>0</v>
      </c>
    </row>
    <row r="298" customFormat="false" ht="15" hidden="false" customHeight="false" outlineLevel="0" collapsed="false">
      <c r="B298" s="13" t="s">
        <v>518</v>
      </c>
      <c r="C298" s="13" t="s">
        <v>228</v>
      </c>
      <c r="D298" s="19" t="n">
        <v>685</v>
      </c>
      <c r="E298" s="23" t="n">
        <v>0.2013</v>
      </c>
      <c r="F298" s="19" t="n">
        <v>75</v>
      </c>
      <c r="G298" s="19" t="n">
        <v>2</v>
      </c>
      <c r="H298" s="14" t="n">
        <v>46650</v>
      </c>
      <c r="I298" s="14" t="n">
        <v>46014.2</v>
      </c>
      <c r="J298" s="24" t="n">
        <v>1.056</v>
      </c>
      <c r="K298" s="19" t="n">
        <v>0</v>
      </c>
      <c r="L298" s="13" t="str">
        <f aca="false">IF(D298&gt;=Inputs!$C$14,"Near-prime","Non-prime")</f>
        <v>Near-prime</v>
      </c>
      <c r="M298" s="19" t="n">
        <f aca="false">IF(K298&lt;=Inputs!$C$19,1,0)</f>
        <v>1</v>
      </c>
      <c r="N298" s="19" t="n">
        <f aca="false">IF(F298&lt;=Inputs!$C$20,1,0)</f>
        <v>1</v>
      </c>
      <c r="O298" s="19" t="n">
        <f aca="false">IF(J298&lt;=Inputs!$C$21,1,0)</f>
        <v>1</v>
      </c>
      <c r="P298" s="19" t="n">
        <f aca="false">IF(D298&gt;=Inputs!$C$22,1,0)</f>
        <v>1</v>
      </c>
      <c r="Q298" s="19" t="n">
        <f aca="false">IF(I298&lt;=Inputs!$C$23,1,0)</f>
        <v>1</v>
      </c>
      <c r="R298" s="19" t="n">
        <f aca="false">M298*N298*O298*P298*Q298</f>
        <v>1</v>
      </c>
      <c r="S298" s="14" t="n">
        <f aca="false">I298*R298</f>
        <v>46014.2</v>
      </c>
      <c r="T298" s="19" t="n">
        <f aca="false">IF(F298&gt;72,1,0)</f>
        <v>1</v>
      </c>
      <c r="U298" s="19" t="n">
        <f aca="false">IF(J298&gt;1.25,1,0)</f>
        <v>0</v>
      </c>
    </row>
    <row r="299" customFormat="false" ht="15" hidden="false" customHeight="false" outlineLevel="0" collapsed="false">
      <c r="B299" s="13" t="s">
        <v>519</v>
      </c>
      <c r="C299" s="13" t="s">
        <v>221</v>
      </c>
      <c r="D299" s="19" t="n">
        <v>660</v>
      </c>
      <c r="E299" s="23" t="n">
        <v>0.1972</v>
      </c>
      <c r="F299" s="19" t="n">
        <v>84</v>
      </c>
      <c r="G299" s="19" t="n">
        <v>6</v>
      </c>
      <c r="H299" s="14" t="n">
        <v>31600</v>
      </c>
      <c r="I299" s="14" t="n">
        <v>30492.75</v>
      </c>
      <c r="J299" s="24" t="n">
        <v>1.211</v>
      </c>
      <c r="K299" s="19" t="n">
        <v>30</v>
      </c>
      <c r="L299" s="13" t="str">
        <f aca="false">IF(D299&gt;=Inputs!$C$14,"Near-prime","Non-prime")</f>
        <v>Near-prime</v>
      </c>
      <c r="M299" s="19" t="n">
        <f aca="false">IF(K299&lt;=Inputs!$C$19,1,0)</f>
        <v>1</v>
      </c>
      <c r="N299" s="19" t="n">
        <f aca="false">IF(F299&lt;=Inputs!$C$20,1,0)</f>
        <v>0</v>
      </c>
      <c r="O299" s="19" t="n">
        <f aca="false">IF(J299&lt;=Inputs!$C$21,1,0)</f>
        <v>1</v>
      </c>
      <c r="P299" s="19" t="n">
        <f aca="false">IF(D299&gt;=Inputs!$C$22,1,0)</f>
        <v>1</v>
      </c>
      <c r="Q299" s="19" t="n">
        <f aca="false">IF(I299&lt;=Inputs!$C$23,1,0)</f>
        <v>1</v>
      </c>
      <c r="R299" s="19" t="n">
        <f aca="false">M299*N299*O299*P299*Q299</f>
        <v>0</v>
      </c>
      <c r="S299" s="14" t="n">
        <f aca="false">I299*R299</f>
        <v>0</v>
      </c>
      <c r="T299" s="19" t="n">
        <f aca="false">IF(F299&gt;72,1,0)</f>
        <v>1</v>
      </c>
      <c r="U299" s="19" t="n">
        <f aca="false">IF(J299&gt;1.25,1,0)</f>
        <v>0</v>
      </c>
    </row>
    <row r="300" customFormat="false" ht="15" hidden="false" customHeight="false" outlineLevel="0" collapsed="false">
      <c r="B300" s="13" t="s">
        <v>520</v>
      </c>
      <c r="C300" s="13" t="s">
        <v>237</v>
      </c>
      <c r="D300" s="19" t="n">
        <v>520</v>
      </c>
      <c r="E300" s="23" t="n">
        <v>0.2436</v>
      </c>
      <c r="F300" s="19" t="n">
        <v>48</v>
      </c>
      <c r="G300" s="19" t="n">
        <v>4</v>
      </c>
      <c r="H300" s="14" t="n">
        <v>20660</v>
      </c>
      <c r="I300" s="14" t="n">
        <v>19595.02</v>
      </c>
      <c r="J300" s="24" t="n">
        <v>1.055</v>
      </c>
      <c r="K300" s="19" t="n">
        <v>15</v>
      </c>
      <c r="L300" s="13" t="str">
        <f aca="false">IF(D300&gt;=Inputs!$C$14,"Near-prime","Non-prime")</f>
        <v>Non-prime</v>
      </c>
      <c r="M300" s="19" t="n">
        <f aca="false">IF(K300&lt;=Inputs!$C$19,1,0)</f>
        <v>1</v>
      </c>
      <c r="N300" s="19" t="n">
        <f aca="false">IF(F300&lt;=Inputs!$C$20,1,0)</f>
        <v>1</v>
      </c>
      <c r="O300" s="19" t="n">
        <f aca="false">IF(J300&lt;=Inputs!$C$21,1,0)</f>
        <v>1</v>
      </c>
      <c r="P300" s="19" t="n">
        <f aca="false">IF(D300&gt;=Inputs!$C$22,1,0)</f>
        <v>0</v>
      </c>
      <c r="Q300" s="19" t="n">
        <f aca="false">IF(I300&lt;=Inputs!$C$23,1,0)</f>
        <v>1</v>
      </c>
      <c r="R300" s="19" t="n">
        <f aca="false">M300*N300*O300*P300*Q300</f>
        <v>0</v>
      </c>
      <c r="S300" s="14" t="n">
        <f aca="false">I300*R300</f>
        <v>0</v>
      </c>
      <c r="T300" s="19" t="n">
        <f aca="false">IF(F300&gt;72,1,0)</f>
        <v>0</v>
      </c>
      <c r="U300" s="19" t="n">
        <f aca="false">IF(J300&gt;1.25,1,0)</f>
        <v>0</v>
      </c>
    </row>
    <row r="301" customFormat="false" ht="15" hidden="false" customHeight="false" outlineLevel="0" collapsed="false">
      <c r="B301" s="13" t="s">
        <v>521</v>
      </c>
      <c r="C301" s="13" t="s">
        <v>221</v>
      </c>
      <c r="D301" s="19" t="n">
        <v>669</v>
      </c>
      <c r="E301" s="23" t="n">
        <v>0.1844</v>
      </c>
      <c r="F301" s="19" t="n">
        <v>48</v>
      </c>
      <c r="G301" s="19" t="n">
        <v>9</v>
      </c>
      <c r="H301" s="14" t="n">
        <v>21940</v>
      </c>
      <c r="I301" s="14" t="n">
        <v>18949.26</v>
      </c>
      <c r="J301" s="24" t="n">
        <v>1.083</v>
      </c>
      <c r="K301" s="19" t="n">
        <v>0</v>
      </c>
      <c r="L301" s="13" t="str">
        <f aca="false">IF(D301&gt;=Inputs!$C$14,"Near-prime","Non-prime")</f>
        <v>Near-prime</v>
      </c>
      <c r="M301" s="19" t="n">
        <f aca="false">IF(K301&lt;=Inputs!$C$19,1,0)</f>
        <v>1</v>
      </c>
      <c r="N301" s="19" t="n">
        <f aca="false">IF(F301&lt;=Inputs!$C$20,1,0)</f>
        <v>1</v>
      </c>
      <c r="O301" s="19" t="n">
        <f aca="false">IF(J301&lt;=Inputs!$C$21,1,0)</f>
        <v>1</v>
      </c>
      <c r="P301" s="19" t="n">
        <f aca="false">IF(D301&gt;=Inputs!$C$22,1,0)</f>
        <v>1</v>
      </c>
      <c r="Q301" s="19" t="n">
        <f aca="false">IF(I301&lt;=Inputs!$C$23,1,0)</f>
        <v>1</v>
      </c>
      <c r="R301" s="19" t="n">
        <f aca="false">M301*N301*O301*P301*Q301</f>
        <v>1</v>
      </c>
      <c r="S301" s="14" t="n">
        <f aca="false">I301*R301</f>
        <v>18949.26</v>
      </c>
      <c r="T301" s="19" t="n">
        <f aca="false">IF(F301&gt;72,1,0)</f>
        <v>0</v>
      </c>
      <c r="U301" s="19" t="n">
        <f aca="false">IF(J301&gt;1.25,1,0)</f>
        <v>0</v>
      </c>
    </row>
    <row r="302" customFormat="false" ht="15" hidden="false" customHeight="false" outlineLevel="0" collapsed="false">
      <c r="B302" s="13" t="s">
        <v>522</v>
      </c>
      <c r="C302" s="13" t="s">
        <v>217</v>
      </c>
      <c r="D302" s="19" t="n">
        <v>567</v>
      </c>
      <c r="E302" s="23" t="n">
        <v>0.2227</v>
      </c>
      <c r="F302" s="19" t="n">
        <v>60</v>
      </c>
      <c r="G302" s="19" t="n">
        <v>8</v>
      </c>
      <c r="H302" s="14" t="n">
        <v>35350</v>
      </c>
      <c r="I302" s="14" t="n">
        <v>32568.5</v>
      </c>
      <c r="J302" s="24" t="n">
        <v>0.937</v>
      </c>
      <c r="K302" s="19" t="n">
        <v>0</v>
      </c>
      <c r="L302" s="13" t="str">
        <f aca="false">IF(D302&gt;=Inputs!$C$14,"Near-prime","Non-prime")</f>
        <v>Non-prime</v>
      </c>
      <c r="M302" s="19" t="n">
        <f aca="false">IF(K302&lt;=Inputs!$C$19,1,0)</f>
        <v>1</v>
      </c>
      <c r="N302" s="19" t="n">
        <f aca="false">IF(F302&lt;=Inputs!$C$20,1,0)</f>
        <v>1</v>
      </c>
      <c r="O302" s="19" t="n">
        <f aca="false">IF(J302&lt;=Inputs!$C$21,1,0)</f>
        <v>1</v>
      </c>
      <c r="P302" s="19" t="n">
        <f aca="false">IF(D302&gt;=Inputs!$C$22,1,0)</f>
        <v>1</v>
      </c>
      <c r="Q302" s="19" t="n">
        <f aca="false">IF(I302&lt;=Inputs!$C$23,1,0)</f>
        <v>1</v>
      </c>
      <c r="R302" s="19" t="n">
        <f aca="false">M302*N302*O302*P302*Q302</f>
        <v>1</v>
      </c>
      <c r="S302" s="14" t="n">
        <f aca="false">I302*R302</f>
        <v>32568.5</v>
      </c>
      <c r="T302" s="19" t="n">
        <f aca="false">IF(F302&gt;72,1,0)</f>
        <v>0</v>
      </c>
      <c r="U302" s="19" t="n">
        <f aca="false">IF(J302&gt;1.25,1,0)</f>
        <v>0</v>
      </c>
    </row>
    <row r="303" customFormat="false" ht="15" hidden="false" customHeight="false" outlineLevel="0" collapsed="false">
      <c r="B303" s="13" t="s">
        <v>523</v>
      </c>
      <c r="C303" s="13" t="s">
        <v>217</v>
      </c>
      <c r="D303" s="19" t="n">
        <v>607</v>
      </c>
      <c r="E303" s="23" t="n">
        <v>0.2326</v>
      </c>
      <c r="F303" s="19" t="n">
        <v>72</v>
      </c>
      <c r="G303" s="19" t="n">
        <v>4</v>
      </c>
      <c r="H303" s="14" t="n">
        <v>17910</v>
      </c>
      <c r="I303" s="14" t="n">
        <v>17430.91</v>
      </c>
      <c r="J303" s="24" t="n">
        <v>1.394</v>
      </c>
      <c r="K303" s="19" t="n">
        <v>0</v>
      </c>
      <c r="L303" s="13" t="str">
        <f aca="false">IF(D303&gt;=Inputs!$C$14,"Near-prime","Non-prime")</f>
        <v>Non-prime</v>
      </c>
      <c r="M303" s="19" t="n">
        <f aca="false">IF(K303&lt;=Inputs!$C$19,1,0)</f>
        <v>1</v>
      </c>
      <c r="N303" s="19" t="n">
        <f aca="false">IF(F303&lt;=Inputs!$C$20,1,0)</f>
        <v>1</v>
      </c>
      <c r="O303" s="19" t="n">
        <f aca="false">IF(J303&lt;=Inputs!$C$21,1,0)</f>
        <v>1</v>
      </c>
      <c r="P303" s="19" t="n">
        <f aca="false">IF(D303&gt;=Inputs!$C$22,1,0)</f>
        <v>1</v>
      </c>
      <c r="Q303" s="19" t="n">
        <f aca="false">IF(I303&lt;=Inputs!$C$23,1,0)</f>
        <v>1</v>
      </c>
      <c r="R303" s="19" t="n">
        <f aca="false">M303*N303*O303*P303*Q303</f>
        <v>1</v>
      </c>
      <c r="S303" s="14" t="n">
        <f aca="false">I303*R303</f>
        <v>17430.91</v>
      </c>
      <c r="T303" s="19" t="n">
        <f aca="false">IF(F303&gt;72,1,0)</f>
        <v>0</v>
      </c>
      <c r="U303" s="19" t="n">
        <f aca="false">IF(J303&gt;1.25,1,0)</f>
        <v>1</v>
      </c>
    </row>
    <row r="304" customFormat="false" ht="15" hidden="false" customHeight="false" outlineLevel="0" collapsed="false">
      <c r="B304" s="13" t="s">
        <v>524</v>
      </c>
      <c r="C304" s="13" t="s">
        <v>221</v>
      </c>
      <c r="D304" s="19" t="n">
        <v>736</v>
      </c>
      <c r="E304" s="23" t="n">
        <v>0.1856</v>
      </c>
      <c r="F304" s="19" t="n">
        <v>66</v>
      </c>
      <c r="G304" s="19" t="n">
        <v>10</v>
      </c>
      <c r="H304" s="14" t="n">
        <v>16250</v>
      </c>
      <c r="I304" s="14" t="n">
        <v>14712.96</v>
      </c>
      <c r="J304" s="24" t="n">
        <v>1.348</v>
      </c>
      <c r="K304" s="19" t="n">
        <v>0</v>
      </c>
      <c r="L304" s="13" t="str">
        <f aca="false">IF(D304&gt;=Inputs!$C$14,"Near-prime","Non-prime")</f>
        <v>Near-prime</v>
      </c>
      <c r="M304" s="19" t="n">
        <f aca="false">IF(K304&lt;=Inputs!$C$19,1,0)</f>
        <v>1</v>
      </c>
      <c r="N304" s="19" t="n">
        <f aca="false">IF(F304&lt;=Inputs!$C$20,1,0)</f>
        <v>1</v>
      </c>
      <c r="O304" s="19" t="n">
        <f aca="false">IF(J304&lt;=Inputs!$C$21,1,0)</f>
        <v>1</v>
      </c>
      <c r="P304" s="19" t="n">
        <f aca="false">IF(D304&gt;=Inputs!$C$22,1,0)</f>
        <v>1</v>
      </c>
      <c r="Q304" s="19" t="n">
        <f aca="false">IF(I304&lt;=Inputs!$C$23,1,0)</f>
        <v>1</v>
      </c>
      <c r="R304" s="19" t="n">
        <f aca="false">M304*N304*O304*P304*Q304</f>
        <v>1</v>
      </c>
      <c r="S304" s="14" t="n">
        <f aca="false">I304*R304</f>
        <v>14712.96</v>
      </c>
      <c r="T304" s="19" t="n">
        <f aca="false">IF(F304&gt;72,1,0)</f>
        <v>0</v>
      </c>
      <c r="U304" s="19" t="n">
        <f aca="false">IF(J304&gt;1.25,1,0)</f>
        <v>1</v>
      </c>
    </row>
    <row r="305" customFormat="false" ht="15" hidden="false" customHeight="false" outlineLevel="0" collapsed="false">
      <c r="B305" s="13" t="s">
        <v>525</v>
      </c>
      <c r="C305" s="13" t="s">
        <v>237</v>
      </c>
      <c r="D305" s="19" t="n">
        <v>696</v>
      </c>
      <c r="E305" s="23" t="n">
        <v>0.1852</v>
      </c>
      <c r="F305" s="19" t="n">
        <v>72</v>
      </c>
      <c r="G305" s="19" t="n">
        <v>9</v>
      </c>
      <c r="H305" s="14" t="n">
        <v>31350</v>
      </c>
      <c r="I305" s="14" t="n">
        <v>29047.57</v>
      </c>
      <c r="J305" s="24" t="n">
        <v>0.965</v>
      </c>
      <c r="K305" s="19" t="n">
        <v>0</v>
      </c>
      <c r="L305" s="13" t="str">
        <f aca="false">IF(D305&gt;=Inputs!$C$14,"Near-prime","Non-prime")</f>
        <v>Near-prime</v>
      </c>
      <c r="M305" s="19" t="n">
        <f aca="false">IF(K305&lt;=Inputs!$C$19,1,0)</f>
        <v>1</v>
      </c>
      <c r="N305" s="19" t="n">
        <f aca="false">IF(F305&lt;=Inputs!$C$20,1,0)</f>
        <v>1</v>
      </c>
      <c r="O305" s="19" t="n">
        <f aca="false">IF(J305&lt;=Inputs!$C$21,1,0)</f>
        <v>1</v>
      </c>
      <c r="P305" s="19" t="n">
        <f aca="false">IF(D305&gt;=Inputs!$C$22,1,0)</f>
        <v>1</v>
      </c>
      <c r="Q305" s="19" t="n">
        <f aca="false">IF(I305&lt;=Inputs!$C$23,1,0)</f>
        <v>1</v>
      </c>
      <c r="R305" s="19" t="n">
        <f aca="false">M305*N305*O305*P305*Q305</f>
        <v>1</v>
      </c>
      <c r="S305" s="14" t="n">
        <f aca="false">I305*R305</f>
        <v>29047.57</v>
      </c>
      <c r="T305" s="19" t="n">
        <f aca="false">IF(F305&gt;72,1,0)</f>
        <v>0</v>
      </c>
      <c r="U305" s="19" t="n">
        <f aca="false">IF(J305&gt;1.25,1,0)</f>
        <v>0</v>
      </c>
    </row>
    <row r="306" customFormat="false" ht="15" hidden="false" customHeight="false" outlineLevel="0" collapsed="false">
      <c r="B306" s="13" t="s">
        <v>526</v>
      </c>
      <c r="C306" s="13" t="s">
        <v>237</v>
      </c>
      <c r="D306" s="19" t="n">
        <v>588</v>
      </c>
      <c r="E306" s="23" t="n">
        <v>0.2193</v>
      </c>
      <c r="F306" s="19" t="n">
        <v>48</v>
      </c>
      <c r="G306" s="19" t="n">
        <v>10</v>
      </c>
      <c r="H306" s="14" t="n">
        <v>30490</v>
      </c>
      <c r="I306" s="14" t="n">
        <v>26119.97</v>
      </c>
      <c r="J306" s="24" t="n">
        <v>1.023</v>
      </c>
      <c r="K306" s="19" t="n">
        <v>0</v>
      </c>
      <c r="L306" s="13" t="str">
        <f aca="false">IF(D306&gt;=Inputs!$C$14,"Near-prime","Non-prime")</f>
        <v>Non-prime</v>
      </c>
      <c r="M306" s="19" t="n">
        <f aca="false">IF(K306&lt;=Inputs!$C$19,1,0)</f>
        <v>1</v>
      </c>
      <c r="N306" s="19" t="n">
        <f aca="false">IF(F306&lt;=Inputs!$C$20,1,0)</f>
        <v>1</v>
      </c>
      <c r="O306" s="19" t="n">
        <f aca="false">IF(J306&lt;=Inputs!$C$21,1,0)</f>
        <v>1</v>
      </c>
      <c r="P306" s="19" t="n">
        <f aca="false">IF(D306&gt;=Inputs!$C$22,1,0)</f>
        <v>1</v>
      </c>
      <c r="Q306" s="19" t="n">
        <f aca="false">IF(I306&lt;=Inputs!$C$23,1,0)</f>
        <v>1</v>
      </c>
      <c r="R306" s="19" t="n">
        <f aca="false">M306*N306*O306*P306*Q306</f>
        <v>1</v>
      </c>
      <c r="S306" s="14" t="n">
        <f aca="false">I306*R306</f>
        <v>26119.97</v>
      </c>
      <c r="T306" s="19" t="n">
        <f aca="false">IF(F306&gt;72,1,0)</f>
        <v>0</v>
      </c>
      <c r="U306" s="19" t="n">
        <f aca="false">IF(J306&gt;1.25,1,0)</f>
        <v>0</v>
      </c>
    </row>
    <row r="307" customFormat="false" ht="15" hidden="false" customHeight="false" outlineLevel="0" collapsed="false">
      <c r="B307" s="13" t="s">
        <v>527</v>
      </c>
      <c r="C307" s="13" t="s">
        <v>223</v>
      </c>
      <c r="D307" s="19" t="n">
        <v>626</v>
      </c>
      <c r="E307" s="23" t="n">
        <v>0.1998</v>
      </c>
      <c r="F307" s="19" t="n">
        <v>66</v>
      </c>
      <c r="G307" s="19" t="n">
        <v>10</v>
      </c>
      <c r="H307" s="14" t="n">
        <v>18200</v>
      </c>
      <c r="I307" s="14" t="n">
        <v>16544.48</v>
      </c>
      <c r="J307" s="24" t="n">
        <v>1.293</v>
      </c>
      <c r="K307" s="19" t="n">
        <v>0</v>
      </c>
      <c r="L307" s="13" t="str">
        <f aca="false">IF(D307&gt;=Inputs!$C$14,"Near-prime","Non-prime")</f>
        <v>Near-prime</v>
      </c>
      <c r="M307" s="19" t="n">
        <f aca="false">IF(K307&lt;=Inputs!$C$19,1,0)</f>
        <v>1</v>
      </c>
      <c r="N307" s="19" t="n">
        <f aca="false">IF(F307&lt;=Inputs!$C$20,1,0)</f>
        <v>1</v>
      </c>
      <c r="O307" s="19" t="n">
        <f aca="false">IF(J307&lt;=Inputs!$C$21,1,0)</f>
        <v>1</v>
      </c>
      <c r="P307" s="19" t="n">
        <f aca="false">IF(D307&gt;=Inputs!$C$22,1,0)</f>
        <v>1</v>
      </c>
      <c r="Q307" s="19" t="n">
        <f aca="false">IF(I307&lt;=Inputs!$C$23,1,0)</f>
        <v>1</v>
      </c>
      <c r="R307" s="19" t="n">
        <f aca="false">M307*N307*O307*P307*Q307</f>
        <v>1</v>
      </c>
      <c r="S307" s="14" t="n">
        <f aca="false">I307*R307</f>
        <v>16544.48</v>
      </c>
      <c r="T307" s="19" t="n">
        <f aca="false">IF(F307&gt;72,1,0)</f>
        <v>0</v>
      </c>
      <c r="U307" s="19" t="n">
        <f aca="false">IF(J307&gt;1.25,1,0)</f>
        <v>1</v>
      </c>
    </row>
    <row r="308" customFormat="false" ht="15" hidden="false" customHeight="false" outlineLevel="0" collapsed="false">
      <c r="B308" s="13" t="s">
        <v>528</v>
      </c>
      <c r="C308" s="13" t="s">
        <v>217</v>
      </c>
      <c r="D308" s="19" t="n">
        <v>685</v>
      </c>
      <c r="E308" s="23" t="n">
        <v>0.2082</v>
      </c>
      <c r="F308" s="19" t="n">
        <v>72</v>
      </c>
      <c r="G308" s="19" t="n">
        <v>2</v>
      </c>
      <c r="H308" s="14" t="n">
        <v>46160</v>
      </c>
      <c r="I308" s="14" t="n">
        <v>45500.66</v>
      </c>
      <c r="J308" s="24" t="n">
        <v>0.916</v>
      </c>
      <c r="K308" s="19" t="n">
        <v>0</v>
      </c>
      <c r="L308" s="13" t="str">
        <f aca="false">IF(D308&gt;=Inputs!$C$14,"Near-prime","Non-prime")</f>
        <v>Near-prime</v>
      </c>
      <c r="M308" s="19" t="n">
        <f aca="false">IF(K308&lt;=Inputs!$C$19,1,0)</f>
        <v>1</v>
      </c>
      <c r="N308" s="19" t="n">
        <f aca="false">IF(F308&lt;=Inputs!$C$20,1,0)</f>
        <v>1</v>
      </c>
      <c r="O308" s="19" t="n">
        <f aca="false">IF(J308&lt;=Inputs!$C$21,1,0)</f>
        <v>1</v>
      </c>
      <c r="P308" s="19" t="n">
        <f aca="false">IF(D308&gt;=Inputs!$C$22,1,0)</f>
        <v>1</v>
      </c>
      <c r="Q308" s="19" t="n">
        <f aca="false">IF(I308&lt;=Inputs!$C$23,1,0)</f>
        <v>1</v>
      </c>
      <c r="R308" s="19" t="n">
        <f aca="false">M308*N308*O308*P308*Q308</f>
        <v>1</v>
      </c>
      <c r="S308" s="14" t="n">
        <f aca="false">I308*R308</f>
        <v>45500.66</v>
      </c>
      <c r="T308" s="19" t="n">
        <f aca="false">IF(F308&gt;72,1,0)</f>
        <v>0</v>
      </c>
      <c r="U308" s="19" t="n">
        <f aca="false">IF(J308&gt;1.25,1,0)</f>
        <v>0</v>
      </c>
    </row>
    <row r="309" customFormat="false" ht="15" hidden="false" customHeight="false" outlineLevel="0" collapsed="false">
      <c r="B309" s="13" t="s">
        <v>529</v>
      </c>
      <c r="C309" s="13" t="s">
        <v>252</v>
      </c>
      <c r="D309" s="19" t="n">
        <v>636</v>
      </c>
      <c r="E309" s="23" t="n">
        <v>0.211</v>
      </c>
      <c r="F309" s="19" t="n">
        <v>72</v>
      </c>
      <c r="G309" s="19" t="n">
        <v>5</v>
      </c>
      <c r="H309" s="14" t="n">
        <v>20480</v>
      </c>
      <c r="I309" s="14" t="n">
        <v>19736.34</v>
      </c>
      <c r="J309" s="24" t="n">
        <v>1.26</v>
      </c>
      <c r="K309" s="19" t="n">
        <v>0</v>
      </c>
      <c r="L309" s="13" t="str">
        <f aca="false">IF(D309&gt;=Inputs!$C$14,"Near-prime","Non-prime")</f>
        <v>Near-prime</v>
      </c>
      <c r="M309" s="19" t="n">
        <f aca="false">IF(K309&lt;=Inputs!$C$19,1,0)</f>
        <v>1</v>
      </c>
      <c r="N309" s="19" t="n">
        <f aca="false">IF(F309&lt;=Inputs!$C$20,1,0)</f>
        <v>1</v>
      </c>
      <c r="O309" s="19" t="n">
        <f aca="false">IF(J309&lt;=Inputs!$C$21,1,0)</f>
        <v>1</v>
      </c>
      <c r="P309" s="19" t="n">
        <f aca="false">IF(D309&gt;=Inputs!$C$22,1,0)</f>
        <v>1</v>
      </c>
      <c r="Q309" s="19" t="n">
        <f aca="false">IF(I309&lt;=Inputs!$C$23,1,0)</f>
        <v>1</v>
      </c>
      <c r="R309" s="19" t="n">
        <f aca="false">M309*N309*O309*P309*Q309</f>
        <v>1</v>
      </c>
      <c r="S309" s="14" t="n">
        <f aca="false">I309*R309</f>
        <v>19736.34</v>
      </c>
      <c r="T309" s="19" t="n">
        <f aca="false">IF(F309&gt;72,1,0)</f>
        <v>0</v>
      </c>
      <c r="U309" s="19" t="n">
        <f aca="false">IF(J309&gt;1.25,1,0)</f>
        <v>1</v>
      </c>
    </row>
    <row r="310" customFormat="false" ht="15" hidden="false" customHeight="false" outlineLevel="0" collapsed="false">
      <c r="B310" s="13" t="s">
        <v>530</v>
      </c>
      <c r="C310" s="13" t="s">
        <v>217</v>
      </c>
      <c r="D310" s="19" t="n">
        <v>633</v>
      </c>
      <c r="E310" s="23" t="n">
        <v>0.2074</v>
      </c>
      <c r="F310" s="19" t="n">
        <v>60</v>
      </c>
      <c r="G310" s="19" t="n">
        <v>7</v>
      </c>
      <c r="H310" s="14" t="n">
        <v>33960</v>
      </c>
      <c r="I310" s="14" t="n">
        <v>31550.09</v>
      </c>
      <c r="J310" s="24" t="n">
        <v>1.231</v>
      </c>
      <c r="K310" s="19" t="n">
        <v>0</v>
      </c>
      <c r="L310" s="13" t="str">
        <f aca="false">IF(D310&gt;=Inputs!$C$14,"Near-prime","Non-prime")</f>
        <v>Near-prime</v>
      </c>
      <c r="M310" s="19" t="n">
        <f aca="false">IF(K310&lt;=Inputs!$C$19,1,0)</f>
        <v>1</v>
      </c>
      <c r="N310" s="19" t="n">
        <f aca="false">IF(F310&lt;=Inputs!$C$20,1,0)</f>
        <v>1</v>
      </c>
      <c r="O310" s="19" t="n">
        <f aca="false">IF(J310&lt;=Inputs!$C$21,1,0)</f>
        <v>1</v>
      </c>
      <c r="P310" s="19" t="n">
        <f aca="false">IF(D310&gt;=Inputs!$C$22,1,0)</f>
        <v>1</v>
      </c>
      <c r="Q310" s="19" t="n">
        <f aca="false">IF(I310&lt;=Inputs!$C$23,1,0)</f>
        <v>1</v>
      </c>
      <c r="R310" s="19" t="n">
        <f aca="false">M310*N310*O310*P310*Q310</f>
        <v>1</v>
      </c>
      <c r="S310" s="14" t="n">
        <f aca="false">I310*R310</f>
        <v>31550.09</v>
      </c>
      <c r="T310" s="19" t="n">
        <f aca="false">IF(F310&gt;72,1,0)</f>
        <v>0</v>
      </c>
      <c r="U310" s="19" t="n">
        <f aca="false">IF(J310&gt;1.25,1,0)</f>
        <v>0</v>
      </c>
    </row>
    <row r="311" customFormat="false" ht="15" hidden="false" customHeight="false" outlineLevel="0" collapsed="false">
      <c r="B311" s="13" t="s">
        <v>531</v>
      </c>
      <c r="C311" s="13" t="s">
        <v>223</v>
      </c>
      <c r="D311" s="19" t="n">
        <v>586</v>
      </c>
      <c r="E311" s="23" t="n">
        <v>0.2291</v>
      </c>
      <c r="F311" s="19" t="n">
        <v>60</v>
      </c>
      <c r="G311" s="19" t="n">
        <v>7</v>
      </c>
      <c r="H311" s="14" t="n">
        <v>27970</v>
      </c>
      <c r="I311" s="14" t="n">
        <v>26093.92</v>
      </c>
      <c r="J311" s="24" t="n">
        <v>1.029</v>
      </c>
      <c r="K311" s="19" t="n">
        <v>0</v>
      </c>
      <c r="L311" s="13" t="str">
        <f aca="false">IF(D311&gt;=Inputs!$C$14,"Near-prime","Non-prime")</f>
        <v>Non-prime</v>
      </c>
      <c r="M311" s="19" t="n">
        <f aca="false">IF(K311&lt;=Inputs!$C$19,1,0)</f>
        <v>1</v>
      </c>
      <c r="N311" s="19" t="n">
        <f aca="false">IF(F311&lt;=Inputs!$C$20,1,0)</f>
        <v>1</v>
      </c>
      <c r="O311" s="19" t="n">
        <f aca="false">IF(J311&lt;=Inputs!$C$21,1,0)</f>
        <v>1</v>
      </c>
      <c r="P311" s="19" t="n">
        <f aca="false">IF(D311&gt;=Inputs!$C$22,1,0)</f>
        <v>1</v>
      </c>
      <c r="Q311" s="19" t="n">
        <f aca="false">IF(I311&lt;=Inputs!$C$23,1,0)</f>
        <v>1</v>
      </c>
      <c r="R311" s="19" t="n">
        <f aca="false">M311*N311*O311*P311*Q311</f>
        <v>1</v>
      </c>
      <c r="S311" s="14" t="n">
        <f aca="false">I311*R311</f>
        <v>26093.92</v>
      </c>
      <c r="T311" s="19" t="n">
        <f aca="false">IF(F311&gt;72,1,0)</f>
        <v>0</v>
      </c>
      <c r="U311" s="19" t="n">
        <f aca="false">IF(J311&gt;1.25,1,0)</f>
        <v>0</v>
      </c>
    </row>
    <row r="312" customFormat="false" ht="15" hidden="false" customHeight="false" outlineLevel="0" collapsed="false">
      <c r="B312" s="13" t="s">
        <v>532</v>
      </c>
      <c r="C312" s="13" t="s">
        <v>252</v>
      </c>
      <c r="D312" s="19" t="n">
        <v>672</v>
      </c>
      <c r="E312" s="23" t="n">
        <v>0.2007</v>
      </c>
      <c r="F312" s="19" t="n">
        <v>66</v>
      </c>
      <c r="G312" s="19" t="n">
        <v>10</v>
      </c>
      <c r="H312" s="14" t="n">
        <v>17830</v>
      </c>
      <c r="I312" s="14" t="n">
        <v>16212.17</v>
      </c>
      <c r="J312" s="24" t="n">
        <v>1.274</v>
      </c>
      <c r="K312" s="19" t="n">
        <v>0</v>
      </c>
      <c r="L312" s="13" t="str">
        <f aca="false">IF(D312&gt;=Inputs!$C$14,"Near-prime","Non-prime")</f>
        <v>Near-prime</v>
      </c>
      <c r="M312" s="19" t="n">
        <f aca="false">IF(K312&lt;=Inputs!$C$19,1,0)</f>
        <v>1</v>
      </c>
      <c r="N312" s="19" t="n">
        <f aca="false">IF(F312&lt;=Inputs!$C$20,1,0)</f>
        <v>1</v>
      </c>
      <c r="O312" s="19" t="n">
        <f aca="false">IF(J312&lt;=Inputs!$C$21,1,0)</f>
        <v>1</v>
      </c>
      <c r="P312" s="19" t="n">
        <f aca="false">IF(D312&gt;=Inputs!$C$22,1,0)</f>
        <v>1</v>
      </c>
      <c r="Q312" s="19" t="n">
        <f aca="false">IF(I312&lt;=Inputs!$C$23,1,0)</f>
        <v>1</v>
      </c>
      <c r="R312" s="19" t="n">
        <f aca="false">M312*N312*O312*P312*Q312</f>
        <v>1</v>
      </c>
      <c r="S312" s="14" t="n">
        <f aca="false">I312*R312</f>
        <v>16212.17</v>
      </c>
      <c r="T312" s="19" t="n">
        <f aca="false">IF(F312&gt;72,1,0)</f>
        <v>0</v>
      </c>
      <c r="U312" s="19" t="n">
        <f aca="false">IF(J312&gt;1.25,1,0)</f>
        <v>1</v>
      </c>
    </row>
    <row r="313" customFormat="false" ht="15" hidden="false" customHeight="false" outlineLevel="0" collapsed="false">
      <c r="B313" s="13" t="s">
        <v>533</v>
      </c>
      <c r="C313" s="13" t="s">
        <v>223</v>
      </c>
      <c r="D313" s="19" t="n">
        <v>679</v>
      </c>
      <c r="E313" s="23" t="n">
        <v>0.1917</v>
      </c>
      <c r="F313" s="19" t="n">
        <v>60</v>
      </c>
      <c r="G313" s="19" t="n">
        <v>8</v>
      </c>
      <c r="H313" s="14" t="n">
        <v>22770</v>
      </c>
      <c r="I313" s="14" t="n">
        <v>20831.83</v>
      </c>
      <c r="J313" s="24" t="n">
        <v>1.157</v>
      </c>
      <c r="K313" s="19" t="n">
        <v>0</v>
      </c>
      <c r="L313" s="13" t="str">
        <f aca="false">IF(D313&gt;=Inputs!$C$14,"Near-prime","Non-prime")</f>
        <v>Near-prime</v>
      </c>
      <c r="M313" s="19" t="n">
        <f aca="false">IF(K313&lt;=Inputs!$C$19,1,0)</f>
        <v>1</v>
      </c>
      <c r="N313" s="19" t="n">
        <f aca="false">IF(F313&lt;=Inputs!$C$20,1,0)</f>
        <v>1</v>
      </c>
      <c r="O313" s="19" t="n">
        <f aca="false">IF(J313&lt;=Inputs!$C$21,1,0)</f>
        <v>1</v>
      </c>
      <c r="P313" s="19" t="n">
        <f aca="false">IF(D313&gt;=Inputs!$C$22,1,0)</f>
        <v>1</v>
      </c>
      <c r="Q313" s="19" t="n">
        <f aca="false">IF(I313&lt;=Inputs!$C$23,1,0)</f>
        <v>1</v>
      </c>
      <c r="R313" s="19" t="n">
        <f aca="false">M313*N313*O313*P313*Q313</f>
        <v>1</v>
      </c>
      <c r="S313" s="14" t="n">
        <f aca="false">I313*R313</f>
        <v>20831.83</v>
      </c>
      <c r="T313" s="19" t="n">
        <f aca="false">IF(F313&gt;72,1,0)</f>
        <v>0</v>
      </c>
      <c r="U313" s="19" t="n">
        <f aca="false">IF(J313&gt;1.25,1,0)</f>
        <v>0</v>
      </c>
    </row>
    <row r="314" customFormat="false" ht="15" hidden="false" customHeight="false" outlineLevel="0" collapsed="false">
      <c r="B314" s="13" t="s">
        <v>534</v>
      </c>
      <c r="C314" s="13" t="s">
        <v>221</v>
      </c>
      <c r="D314" s="19" t="n">
        <v>603</v>
      </c>
      <c r="E314" s="23" t="n">
        <v>0.2129</v>
      </c>
      <c r="F314" s="19" t="n">
        <v>60</v>
      </c>
      <c r="G314" s="19" t="n">
        <v>2</v>
      </c>
      <c r="H314" s="14" t="n">
        <v>10000</v>
      </c>
      <c r="I314" s="14" t="n">
        <v>9808.82</v>
      </c>
      <c r="J314" s="24" t="n">
        <v>1.124</v>
      </c>
      <c r="K314" s="19" t="n">
        <v>0</v>
      </c>
      <c r="L314" s="13" t="str">
        <f aca="false">IF(D314&gt;=Inputs!$C$14,"Near-prime","Non-prime")</f>
        <v>Non-prime</v>
      </c>
      <c r="M314" s="19" t="n">
        <f aca="false">IF(K314&lt;=Inputs!$C$19,1,0)</f>
        <v>1</v>
      </c>
      <c r="N314" s="19" t="n">
        <f aca="false">IF(F314&lt;=Inputs!$C$20,1,0)</f>
        <v>1</v>
      </c>
      <c r="O314" s="19" t="n">
        <f aca="false">IF(J314&lt;=Inputs!$C$21,1,0)</f>
        <v>1</v>
      </c>
      <c r="P314" s="19" t="n">
        <f aca="false">IF(D314&gt;=Inputs!$C$22,1,0)</f>
        <v>1</v>
      </c>
      <c r="Q314" s="19" t="n">
        <f aca="false">IF(I314&lt;=Inputs!$C$23,1,0)</f>
        <v>1</v>
      </c>
      <c r="R314" s="19" t="n">
        <f aca="false">M314*N314*O314*P314*Q314</f>
        <v>1</v>
      </c>
      <c r="S314" s="14" t="n">
        <f aca="false">I314*R314</f>
        <v>9808.82</v>
      </c>
      <c r="T314" s="19" t="n">
        <f aca="false">IF(F314&gt;72,1,0)</f>
        <v>0</v>
      </c>
      <c r="U314" s="19" t="n">
        <f aca="false">IF(J314&gt;1.25,1,0)</f>
        <v>0</v>
      </c>
    </row>
    <row r="315" customFormat="false" ht="15" hidden="false" customHeight="false" outlineLevel="0" collapsed="false">
      <c r="B315" s="13" t="s">
        <v>535</v>
      </c>
      <c r="C315" s="13" t="s">
        <v>217</v>
      </c>
      <c r="D315" s="19" t="n">
        <v>539</v>
      </c>
      <c r="E315" s="23" t="n">
        <v>0.2216</v>
      </c>
      <c r="F315" s="19" t="n">
        <v>72</v>
      </c>
      <c r="G315" s="19" t="n">
        <v>2</v>
      </c>
      <c r="H315" s="14" t="n">
        <v>33530</v>
      </c>
      <c r="I315" s="14" t="n">
        <v>33072.86</v>
      </c>
      <c r="J315" s="24" t="n">
        <v>1.147</v>
      </c>
      <c r="K315" s="19" t="n">
        <v>0</v>
      </c>
      <c r="L315" s="13" t="str">
        <f aca="false">IF(D315&gt;=Inputs!$C$14,"Near-prime","Non-prime")</f>
        <v>Non-prime</v>
      </c>
      <c r="M315" s="19" t="n">
        <f aca="false">IF(K315&lt;=Inputs!$C$19,1,0)</f>
        <v>1</v>
      </c>
      <c r="N315" s="19" t="n">
        <f aca="false">IF(F315&lt;=Inputs!$C$20,1,0)</f>
        <v>1</v>
      </c>
      <c r="O315" s="19" t="n">
        <f aca="false">IF(J315&lt;=Inputs!$C$21,1,0)</f>
        <v>1</v>
      </c>
      <c r="P315" s="19" t="n">
        <f aca="false">IF(D315&gt;=Inputs!$C$22,1,0)</f>
        <v>0</v>
      </c>
      <c r="Q315" s="19" t="n">
        <f aca="false">IF(I315&lt;=Inputs!$C$23,1,0)</f>
        <v>1</v>
      </c>
      <c r="R315" s="19" t="n">
        <f aca="false">M315*N315*O315*P315*Q315</f>
        <v>0</v>
      </c>
      <c r="S315" s="14" t="n">
        <f aca="false">I315*R315</f>
        <v>0</v>
      </c>
      <c r="T315" s="19" t="n">
        <f aca="false">IF(F315&gt;72,1,0)</f>
        <v>0</v>
      </c>
      <c r="U315" s="19" t="n">
        <f aca="false">IF(J315&gt;1.25,1,0)</f>
        <v>0</v>
      </c>
    </row>
    <row r="316" customFormat="false" ht="15" hidden="false" customHeight="false" outlineLevel="0" collapsed="false">
      <c r="B316" s="13" t="s">
        <v>536</v>
      </c>
      <c r="C316" s="13" t="s">
        <v>217</v>
      </c>
      <c r="D316" s="19" t="n">
        <v>738</v>
      </c>
      <c r="E316" s="23" t="n">
        <v>0.174</v>
      </c>
      <c r="F316" s="19" t="n">
        <v>48</v>
      </c>
      <c r="G316" s="19" t="n">
        <v>2</v>
      </c>
      <c r="H316" s="14" t="n">
        <v>24330</v>
      </c>
      <c r="I316" s="14" t="n">
        <v>23616.26</v>
      </c>
      <c r="J316" s="24" t="n">
        <v>1.137</v>
      </c>
      <c r="K316" s="19" t="n">
        <v>75</v>
      </c>
      <c r="L316" s="13" t="str">
        <f aca="false">IF(D316&gt;=Inputs!$C$14,"Near-prime","Non-prime")</f>
        <v>Near-prime</v>
      </c>
      <c r="M316" s="19" t="n">
        <f aca="false">IF(K316&lt;=Inputs!$C$19,1,0)</f>
        <v>0</v>
      </c>
      <c r="N316" s="19" t="n">
        <f aca="false">IF(F316&lt;=Inputs!$C$20,1,0)</f>
        <v>1</v>
      </c>
      <c r="O316" s="19" t="n">
        <f aca="false">IF(J316&lt;=Inputs!$C$21,1,0)</f>
        <v>1</v>
      </c>
      <c r="P316" s="19" t="n">
        <f aca="false">IF(D316&gt;=Inputs!$C$22,1,0)</f>
        <v>1</v>
      </c>
      <c r="Q316" s="19" t="n">
        <f aca="false">IF(I316&lt;=Inputs!$C$23,1,0)</f>
        <v>1</v>
      </c>
      <c r="R316" s="19" t="n">
        <f aca="false">M316*N316*O316*P316*Q316</f>
        <v>0</v>
      </c>
      <c r="S316" s="14" t="n">
        <f aca="false">I316*R316</f>
        <v>0</v>
      </c>
      <c r="T316" s="19" t="n">
        <f aca="false">IF(F316&gt;72,1,0)</f>
        <v>0</v>
      </c>
      <c r="U316" s="19" t="n">
        <f aca="false">IF(J316&gt;1.25,1,0)</f>
        <v>0</v>
      </c>
    </row>
    <row r="317" customFormat="false" ht="15" hidden="false" customHeight="false" outlineLevel="0" collapsed="false">
      <c r="B317" s="13" t="s">
        <v>537</v>
      </c>
      <c r="C317" s="13" t="s">
        <v>257</v>
      </c>
      <c r="D317" s="19" t="n">
        <v>608</v>
      </c>
      <c r="E317" s="23" t="n">
        <v>0.223</v>
      </c>
      <c r="F317" s="19" t="n">
        <v>72</v>
      </c>
      <c r="G317" s="19" t="n">
        <v>4</v>
      </c>
      <c r="H317" s="14" t="n">
        <v>33240</v>
      </c>
      <c r="I317" s="14" t="n">
        <v>32321.13</v>
      </c>
      <c r="J317" s="24" t="n">
        <v>0.919</v>
      </c>
      <c r="K317" s="19" t="n">
        <v>15</v>
      </c>
      <c r="L317" s="13" t="str">
        <f aca="false">IF(D317&gt;=Inputs!$C$14,"Near-prime","Non-prime")</f>
        <v>Non-prime</v>
      </c>
      <c r="M317" s="19" t="n">
        <f aca="false">IF(K317&lt;=Inputs!$C$19,1,0)</f>
        <v>1</v>
      </c>
      <c r="N317" s="19" t="n">
        <f aca="false">IF(F317&lt;=Inputs!$C$20,1,0)</f>
        <v>1</v>
      </c>
      <c r="O317" s="19" t="n">
        <f aca="false">IF(J317&lt;=Inputs!$C$21,1,0)</f>
        <v>1</v>
      </c>
      <c r="P317" s="19" t="n">
        <f aca="false">IF(D317&gt;=Inputs!$C$22,1,0)</f>
        <v>1</v>
      </c>
      <c r="Q317" s="19" t="n">
        <f aca="false">IF(I317&lt;=Inputs!$C$23,1,0)</f>
        <v>1</v>
      </c>
      <c r="R317" s="19" t="n">
        <f aca="false">M317*N317*O317*P317*Q317</f>
        <v>1</v>
      </c>
      <c r="S317" s="14" t="n">
        <f aca="false">I317*R317</f>
        <v>32321.13</v>
      </c>
      <c r="T317" s="19" t="n">
        <f aca="false">IF(F317&gt;72,1,0)</f>
        <v>0</v>
      </c>
      <c r="U317" s="19" t="n">
        <f aca="false">IF(J317&gt;1.25,1,0)</f>
        <v>0</v>
      </c>
    </row>
    <row r="318" customFormat="false" ht="15" hidden="false" customHeight="false" outlineLevel="0" collapsed="false">
      <c r="B318" s="13" t="s">
        <v>538</v>
      </c>
      <c r="C318" s="13" t="s">
        <v>221</v>
      </c>
      <c r="D318" s="19" t="n">
        <v>666</v>
      </c>
      <c r="E318" s="23" t="n">
        <v>0.195</v>
      </c>
      <c r="F318" s="19" t="n">
        <v>60</v>
      </c>
      <c r="G318" s="19" t="n">
        <v>0</v>
      </c>
      <c r="H318" s="14" t="n">
        <v>17720</v>
      </c>
      <c r="I318" s="14" t="n">
        <v>17720</v>
      </c>
      <c r="J318" s="24" t="n">
        <v>1.11</v>
      </c>
      <c r="K318" s="19" t="n">
        <v>0</v>
      </c>
      <c r="L318" s="13" t="str">
        <f aca="false">IF(D318&gt;=Inputs!$C$14,"Near-prime","Non-prime")</f>
        <v>Near-prime</v>
      </c>
      <c r="M318" s="19" t="n">
        <f aca="false">IF(K318&lt;=Inputs!$C$19,1,0)</f>
        <v>1</v>
      </c>
      <c r="N318" s="19" t="n">
        <f aca="false">IF(F318&lt;=Inputs!$C$20,1,0)</f>
        <v>1</v>
      </c>
      <c r="O318" s="19" t="n">
        <f aca="false">IF(J318&lt;=Inputs!$C$21,1,0)</f>
        <v>1</v>
      </c>
      <c r="P318" s="19" t="n">
        <f aca="false">IF(D318&gt;=Inputs!$C$22,1,0)</f>
        <v>1</v>
      </c>
      <c r="Q318" s="19" t="n">
        <f aca="false">IF(I318&lt;=Inputs!$C$23,1,0)</f>
        <v>1</v>
      </c>
      <c r="R318" s="19" t="n">
        <f aca="false">M318*N318*O318*P318*Q318</f>
        <v>1</v>
      </c>
      <c r="S318" s="14" t="n">
        <f aca="false">I318*R318</f>
        <v>17720</v>
      </c>
      <c r="T318" s="19" t="n">
        <f aca="false">IF(F318&gt;72,1,0)</f>
        <v>0</v>
      </c>
      <c r="U318" s="19" t="n">
        <f aca="false">IF(J318&gt;1.25,1,0)</f>
        <v>0</v>
      </c>
    </row>
    <row r="319" customFormat="false" ht="15" hidden="false" customHeight="false" outlineLevel="0" collapsed="false">
      <c r="B319" s="13" t="s">
        <v>539</v>
      </c>
      <c r="C319" s="13" t="s">
        <v>257</v>
      </c>
      <c r="D319" s="19" t="n">
        <v>600</v>
      </c>
      <c r="E319" s="23" t="n">
        <v>0.2101</v>
      </c>
      <c r="F319" s="19" t="n">
        <v>60</v>
      </c>
      <c r="G319" s="19" t="n">
        <v>0</v>
      </c>
      <c r="H319" s="14" t="n">
        <v>22240</v>
      </c>
      <c r="I319" s="14" t="n">
        <v>22240</v>
      </c>
      <c r="J319" s="24" t="n">
        <v>1.067</v>
      </c>
      <c r="K319" s="19" t="n">
        <v>0</v>
      </c>
      <c r="L319" s="13" t="str">
        <f aca="false">IF(D319&gt;=Inputs!$C$14,"Near-prime","Non-prime")</f>
        <v>Non-prime</v>
      </c>
      <c r="M319" s="19" t="n">
        <f aca="false">IF(K319&lt;=Inputs!$C$19,1,0)</f>
        <v>1</v>
      </c>
      <c r="N319" s="19" t="n">
        <f aca="false">IF(F319&lt;=Inputs!$C$20,1,0)</f>
        <v>1</v>
      </c>
      <c r="O319" s="19" t="n">
        <f aca="false">IF(J319&lt;=Inputs!$C$21,1,0)</f>
        <v>1</v>
      </c>
      <c r="P319" s="19" t="n">
        <f aca="false">IF(D319&gt;=Inputs!$C$22,1,0)</f>
        <v>1</v>
      </c>
      <c r="Q319" s="19" t="n">
        <f aca="false">IF(I319&lt;=Inputs!$C$23,1,0)</f>
        <v>1</v>
      </c>
      <c r="R319" s="19" t="n">
        <f aca="false">M319*N319*O319*P319*Q319</f>
        <v>1</v>
      </c>
      <c r="S319" s="14" t="n">
        <f aca="false">I319*R319</f>
        <v>22240</v>
      </c>
      <c r="T319" s="19" t="n">
        <f aca="false">IF(F319&gt;72,1,0)</f>
        <v>0</v>
      </c>
      <c r="U319" s="19" t="n">
        <f aca="false">IF(J319&gt;1.25,1,0)</f>
        <v>0</v>
      </c>
    </row>
    <row r="320" customFormat="false" ht="15" hidden="false" customHeight="false" outlineLevel="0" collapsed="false">
      <c r="B320" s="13" t="s">
        <v>540</v>
      </c>
      <c r="C320" s="13" t="s">
        <v>257</v>
      </c>
      <c r="D320" s="19" t="n">
        <v>606</v>
      </c>
      <c r="E320" s="23" t="n">
        <v>0.2269</v>
      </c>
      <c r="F320" s="19" t="n">
        <v>60</v>
      </c>
      <c r="G320" s="19" t="n">
        <v>7</v>
      </c>
      <c r="H320" s="14" t="n">
        <v>14640</v>
      </c>
      <c r="I320" s="14" t="n">
        <v>13652.36</v>
      </c>
      <c r="J320" s="24" t="n">
        <v>1.057</v>
      </c>
      <c r="K320" s="19" t="n">
        <v>0</v>
      </c>
      <c r="L320" s="13" t="str">
        <f aca="false">IF(D320&gt;=Inputs!$C$14,"Near-prime","Non-prime")</f>
        <v>Non-prime</v>
      </c>
      <c r="M320" s="19" t="n">
        <f aca="false">IF(K320&lt;=Inputs!$C$19,1,0)</f>
        <v>1</v>
      </c>
      <c r="N320" s="19" t="n">
        <f aca="false">IF(F320&lt;=Inputs!$C$20,1,0)</f>
        <v>1</v>
      </c>
      <c r="O320" s="19" t="n">
        <f aca="false">IF(J320&lt;=Inputs!$C$21,1,0)</f>
        <v>1</v>
      </c>
      <c r="P320" s="19" t="n">
        <f aca="false">IF(D320&gt;=Inputs!$C$22,1,0)</f>
        <v>1</v>
      </c>
      <c r="Q320" s="19" t="n">
        <f aca="false">IF(I320&lt;=Inputs!$C$23,1,0)</f>
        <v>1</v>
      </c>
      <c r="R320" s="19" t="n">
        <f aca="false">M320*N320*O320*P320*Q320</f>
        <v>1</v>
      </c>
      <c r="S320" s="14" t="n">
        <f aca="false">I320*R320</f>
        <v>13652.36</v>
      </c>
      <c r="T320" s="19" t="n">
        <f aca="false">IF(F320&gt;72,1,0)</f>
        <v>0</v>
      </c>
      <c r="U320" s="19" t="n">
        <f aca="false">IF(J320&gt;1.25,1,0)</f>
        <v>0</v>
      </c>
    </row>
    <row r="321" customFormat="false" ht="15" hidden="false" customHeight="false" outlineLevel="0" collapsed="false">
      <c r="B321" s="13" t="s">
        <v>541</v>
      </c>
      <c r="C321" s="13" t="s">
        <v>217</v>
      </c>
      <c r="D321" s="19" t="n">
        <v>694</v>
      </c>
      <c r="E321" s="23" t="n">
        <v>0.1807</v>
      </c>
      <c r="F321" s="19" t="n">
        <v>60</v>
      </c>
      <c r="G321" s="19" t="n">
        <v>10</v>
      </c>
      <c r="H321" s="14" t="n">
        <v>18330</v>
      </c>
      <c r="I321" s="14" t="n">
        <v>16294.44</v>
      </c>
      <c r="J321" s="24" t="n">
        <v>1.167</v>
      </c>
      <c r="K321" s="19" t="n">
        <v>0</v>
      </c>
      <c r="L321" s="13" t="str">
        <f aca="false">IF(D321&gt;=Inputs!$C$14,"Near-prime","Non-prime")</f>
        <v>Near-prime</v>
      </c>
      <c r="M321" s="19" t="n">
        <f aca="false">IF(K321&lt;=Inputs!$C$19,1,0)</f>
        <v>1</v>
      </c>
      <c r="N321" s="19" t="n">
        <f aca="false">IF(F321&lt;=Inputs!$C$20,1,0)</f>
        <v>1</v>
      </c>
      <c r="O321" s="19" t="n">
        <f aca="false">IF(J321&lt;=Inputs!$C$21,1,0)</f>
        <v>1</v>
      </c>
      <c r="P321" s="19" t="n">
        <f aca="false">IF(D321&gt;=Inputs!$C$22,1,0)</f>
        <v>1</v>
      </c>
      <c r="Q321" s="19" t="n">
        <f aca="false">IF(I321&lt;=Inputs!$C$23,1,0)</f>
        <v>1</v>
      </c>
      <c r="R321" s="19" t="n">
        <f aca="false">M321*N321*O321*P321*Q321</f>
        <v>1</v>
      </c>
      <c r="S321" s="14" t="n">
        <f aca="false">I321*R321</f>
        <v>16294.44</v>
      </c>
      <c r="T321" s="19" t="n">
        <f aca="false">IF(F321&gt;72,1,0)</f>
        <v>0</v>
      </c>
      <c r="U321" s="19" t="n">
        <f aca="false">IF(J321&gt;1.25,1,0)</f>
        <v>0</v>
      </c>
    </row>
    <row r="322" customFormat="false" ht="15" hidden="false" customHeight="false" outlineLevel="0" collapsed="false">
      <c r="B322" s="13" t="s">
        <v>542</v>
      </c>
      <c r="C322" s="13" t="s">
        <v>223</v>
      </c>
      <c r="D322" s="19" t="n">
        <v>628</v>
      </c>
      <c r="E322" s="23" t="n">
        <v>0.2014</v>
      </c>
      <c r="F322" s="19" t="n">
        <v>72</v>
      </c>
      <c r="G322" s="19" t="n">
        <v>10</v>
      </c>
      <c r="H322" s="14" t="n">
        <v>31120</v>
      </c>
      <c r="I322" s="14" t="n">
        <v>28685.31</v>
      </c>
      <c r="J322" s="24" t="n">
        <v>1.042</v>
      </c>
      <c r="K322" s="19" t="n">
        <v>0</v>
      </c>
      <c r="L322" s="13" t="str">
        <f aca="false">IF(D322&gt;=Inputs!$C$14,"Near-prime","Non-prime")</f>
        <v>Near-prime</v>
      </c>
      <c r="M322" s="19" t="n">
        <f aca="false">IF(K322&lt;=Inputs!$C$19,1,0)</f>
        <v>1</v>
      </c>
      <c r="N322" s="19" t="n">
        <f aca="false">IF(F322&lt;=Inputs!$C$20,1,0)</f>
        <v>1</v>
      </c>
      <c r="O322" s="19" t="n">
        <f aca="false">IF(J322&lt;=Inputs!$C$21,1,0)</f>
        <v>1</v>
      </c>
      <c r="P322" s="19" t="n">
        <f aca="false">IF(D322&gt;=Inputs!$C$22,1,0)</f>
        <v>1</v>
      </c>
      <c r="Q322" s="19" t="n">
        <f aca="false">IF(I322&lt;=Inputs!$C$23,1,0)</f>
        <v>1</v>
      </c>
      <c r="R322" s="19" t="n">
        <f aca="false">M322*N322*O322*P322*Q322</f>
        <v>1</v>
      </c>
      <c r="S322" s="14" t="n">
        <f aca="false">I322*R322</f>
        <v>28685.31</v>
      </c>
      <c r="T322" s="19" t="n">
        <f aca="false">IF(F322&gt;72,1,0)</f>
        <v>0</v>
      </c>
      <c r="U322" s="19" t="n">
        <f aca="false">IF(J322&gt;1.25,1,0)</f>
        <v>0</v>
      </c>
    </row>
    <row r="323" customFormat="false" ht="15" hidden="false" customHeight="false" outlineLevel="0" collapsed="false">
      <c r="B323" s="13" t="s">
        <v>543</v>
      </c>
      <c r="C323" s="13" t="s">
        <v>221</v>
      </c>
      <c r="D323" s="19" t="n">
        <v>685</v>
      </c>
      <c r="E323" s="23" t="n">
        <v>0.1921</v>
      </c>
      <c r="F323" s="19" t="n">
        <v>66</v>
      </c>
      <c r="G323" s="19" t="n">
        <v>5</v>
      </c>
      <c r="H323" s="14" t="n">
        <v>28530</v>
      </c>
      <c r="I323" s="14" t="n">
        <v>27257.16</v>
      </c>
      <c r="J323" s="24" t="n">
        <v>1.124</v>
      </c>
      <c r="K323" s="19" t="n">
        <v>100</v>
      </c>
      <c r="L323" s="13" t="str">
        <f aca="false">IF(D323&gt;=Inputs!$C$14,"Near-prime","Non-prime")</f>
        <v>Near-prime</v>
      </c>
      <c r="M323" s="19" t="n">
        <f aca="false">IF(K323&lt;=Inputs!$C$19,1,0)</f>
        <v>0</v>
      </c>
      <c r="N323" s="19" t="n">
        <f aca="false">IF(F323&lt;=Inputs!$C$20,1,0)</f>
        <v>1</v>
      </c>
      <c r="O323" s="19" t="n">
        <f aca="false">IF(J323&lt;=Inputs!$C$21,1,0)</f>
        <v>1</v>
      </c>
      <c r="P323" s="19" t="n">
        <f aca="false">IF(D323&gt;=Inputs!$C$22,1,0)</f>
        <v>1</v>
      </c>
      <c r="Q323" s="19" t="n">
        <f aca="false">IF(I323&lt;=Inputs!$C$23,1,0)</f>
        <v>1</v>
      </c>
      <c r="R323" s="19" t="n">
        <f aca="false">M323*N323*O323*P323*Q323</f>
        <v>0</v>
      </c>
      <c r="S323" s="14" t="n">
        <f aca="false">I323*R323</f>
        <v>0</v>
      </c>
      <c r="T323" s="19" t="n">
        <f aca="false">IF(F323&gt;72,1,0)</f>
        <v>0</v>
      </c>
      <c r="U323" s="19" t="n">
        <f aca="false">IF(J323&gt;1.25,1,0)</f>
        <v>0</v>
      </c>
    </row>
    <row r="324" customFormat="false" ht="15" hidden="false" customHeight="false" outlineLevel="0" collapsed="false">
      <c r="B324" s="13" t="s">
        <v>544</v>
      </c>
      <c r="C324" s="13" t="s">
        <v>217</v>
      </c>
      <c r="D324" s="19" t="n">
        <v>686</v>
      </c>
      <c r="E324" s="23" t="n">
        <v>0.2174</v>
      </c>
      <c r="F324" s="19" t="n">
        <v>75</v>
      </c>
      <c r="G324" s="19" t="n">
        <v>2</v>
      </c>
      <c r="H324" s="14" t="n">
        <v>37960</v>
      </c>
      <c r="I324" s="14" t="n">
        <v>37472.05</v>
      </c>
      <c r="J324" s="24" t="n">
        <v>1.194</v>
      </c>
      <c r="K324" s="19" t="n">
        <v>30</v>
      </c>
      <c r="L324" s="13" t="str">
        <f aca="false">IF(D324&gt;=Inputs!$C$14,"Near-prime","Non-prime")</f>
        <v>Near-prime</v>
      </c>
      <c r="M324" s="19" t="n">
        <f aca="false">IF(K324&lt;=Inputs!$C$19,1,0)</f>
        <v>1</v>
      </c>
      <c r="N324" s="19" t="n">
        <f aca="false">IF(F324&lt;=Inputs!$C$20,1,0)</f>
        <v>1</v>
      </c>
      <c r="O324" s="19" t="n">
        <f aca="false">IF(J324&lt;=Inputs!$C$21,1,0)</f>
        <v>1</v>
      </c>
      <c r="P324" s="19" t="n">
        <f aca="false">IF(D324&gt;=Inputs!$C$22,1,0)</f>
        <v>1</v>
      </c>
      <c r="Q324" s="19" t="n">
        <f aca="false">IF(I324&lt;=Inputs!$C$23,1,0)</f>
        <v>1</v>
      </c>
      <c r="R324" s="19" t="n">
        <f aca="false">M324*N324*O324*P324*Q324</f>
        <v>1</v>
      </c>
      <c r="S324" s="14" t="n">
        <f aca="false">I324*R324</f>
        <v>37472.05</v>
      </c>
      <c r="T324" s="19" t="n">
        <f aca="false">IF(F324&gt;72,1,0)</f>
        <v>1</v>
      </c>
      <c r="U324" s="19" t="n">
        <f aca="false">IF(J324&gt;1.25,1,0)</f>
        <v>0</v>
      </c>
    </row>
    <row r="325" customFormat="false" ht="15" hidden="false" customHeight="false" outlineLevel="0" collapsed="false">
      <c r="B325" s="13" t="s">
        <v>545</v>
      </c>
      <c r="C325" s="13" t="s">
        <v>217</v>
      </c>
      <c r="D325" s="19" t="n">
        <v>618</v>
      </c>
      <c r="E325" s="23" t="n">
        <v>0.2113</v>
      </c>
      <c r="F325" s="19" t="n">
        <v>72</v>
      </c>
      <c r="G325" s="19" t="n">
        <v>5</v>
      </c>
      <c r="H325" s="14" t="n">
        <v>34400</v>
      </c>
      <c r="I325" s="14" t="n">
        <v>33152.14</v>
      </c>
      <c r="J325" s="24" t="n">
        <v>0.98</v>
      </c>
      <c r="K325" s="19" t="n">
        <v>0</v>
      </c>
      <c r="L325" s="13" t="str">
        <f aca="false">IF(D325&gt;=Inputs!$C$14,"Near-prime","Non-prime")</f>
        <v>Non-prime</v>
      </c>
      <c r="M325" s="19" t="n">
        <f aca="false">IF(K325&lt;=Inputs!$C$19,1,0)</f>
        <v>1</v>
      </c>
      <c r="N325" s="19" t="n">
        <f aca="false">IF(F325&lt;=Inputs!$C$20,1,0)</f>
        <v>1</v>
      </c>
      <c r="O325" s="19" t="n">
        <f aca="false">IF(J325&lt;=Inputs!$C$21,1,0)</f>
        <v>1</v>
      </c>
      <c r="P325" s="19" t="n">
        <f aca="false">IF(D325&gt;=Inputs!$C$22,1,0)</f>
        <v>1</v>
      </c>
      <c r="Q325" s="19" t="n">
        <f aca="false">IF(I325&lt;=Inputs!$C$23,1,0)</f>
        <v>1</v>
      </c>
      <c r="R325" s="19" t="n">
        <f aca="false">M325*N325*O325*P325*Q325</f>
        <v>1</v>
      </c>
      <c r="S325" s="14" t="n">
        <f aca="false">I325*R325</f>
        <v>33152.14</v>
      </c>
      <c r="T325" s="19" t="n">
        <f aca="false">IF(F325&gt;72,1,0)</f>
        <v>0</v>
      </c>
      <c r="U325" s="19" t="n">
        <f aca="false">IF(J325&gt;1.25,1,0)</f>
        <v>0</v>
      </c>
    </row>
    <row r="326" customFormat="false" ht="15" hidden="false" customHeight="false" outlineLevel="0" collapsed="false">
      <c r="B326" s="13" t="s">
        <v>546</v>
      </c>
      <c r="C326" s="13" t="s">
        <v>257</v>
      </c>
      <c r="D326" s="19" t="n">
        <v>660</v>
      </c>
      <c r="E326" s="23" t="n">
        <v>0.2063</v>
      </c>
      <c r="F326" s="19" t="n">
        <v>60</v>
      </c>
      <c r="G326" s="19" t="n">
        <v>8</v>
      </c>
      <c r="H326" s="14" t="n">
        <v>25140</v>
      </c>
      <c r="I326" s="14" t="n">
        <v>23077.46</v>
      </c>
      <c r="J326" s="24" t="n">
        <v>1.079</v>
      </c>
      <c r="K326" s="19" t="n">
        <v>15</v>
      </c>
      <c r="L326" s="13" t="str">
        <f aca="false">IF(D326&gt;=Inputs!$C$14,"Near-prime","Non-prime")</f>
        <v>Near-prime</v>
      </c>
      <c r="M326" s="19" t="n">
        <f aca="false">IF(K326&lt;=Inputs!$C$19,1,0)</f>
        <v>1</v>
      </c>
      <c r="N326" s="19" t="n">
        <f aca="false">IF(F326&lt;=Inputs!$C$20,1,0)</f>
        <v>1</v>
      </c>
      <c r="O326" s="19" t="n">
        <f aca="false">IF(J326&lt;=Inputs!$C$21,1,0)</f>
        <v>1</v>
      </c>
      <c r="P326" s="19" t="n">
        <f aca="false">IF(D326&gt;=Inputs!$C$22,1,0)</f>
        <v>1</v>
      </c>
      <c r="Q326" s="19" t="n">
        <f aca="false">IF(I326&lt;=Inputs!$C$23,1,0)</f>
        <v>1</v>
      </c>
      <c r="R326" s="19" t="n">
        <f aca="false">M326*N326*O326*P326*Q326</f>
        <v>1</v>
      </c>
      <c r="S326" s="14" t="n">
        <f aca="false">I326*R326</f>
        <v>23077.46</v>
      </c>
      <c r="T326" s="19" t="n">
        <f aca="false">IF(F326&gt;72,1,0)</f>
        <v>0</v>
      </c>
      <c r="U326" s="19" t="n">
        <f aca="false">IF(J326&gt;1.25,1,0)</f>
        <v>0</v>
      </c>
    </row>
    <row r="327" customFormat="false" ht="15" hidden="false" customHeight="false" outlineLevel="0" collapsed="false">
      <c r="B327" s="13" t="s">
        <v>547</v>
      </c>
      <c r="C327" s="13" t="s">
        <v>226</v>
      </c>
      <c r="D327" s="19" t="n">
        <v>685</v>
      </c>
      <c r="E327" s="23" t="n">
        <v>0.1994</v>
      </c>
      <c r="F327" s="19" t="n">
        <v>66</v>
      </c>
      <c r="G327" s="19" t="n">
        <v>0</v>
      </c>
      <c r="H327" s="14" t="n">
        <v>9800</v>
      </c>
      <c r="I327" s="14" t="n">
        <v>9800</v>
      </c>
      <c r="J327" s="24" t="n">
        <v>0.949</v>
      </c>
      <c r="K327" s="19" t="n">
        <v>45</v>
      </c>
      <c r="L327" s="13" t="str">
        <f aca="false">IF(D327&gt;=Inputs!$C$14,"Near-prime","Non-prime")</f>
        <v>Near-prime</v>
      </c>
      <c r="M327" s="19" t="n">
        <f aca="false">IF(K327&lt;=Inputs!$C$19,1,0)</f>
        <v>1</v>
      </c>
      <c r="N327" s="19" t="n">
        <f aca="false">IF(F327&lt;=Inputs!$C$20,1,0)</f>
        <v>1</v>
      </c>
      <c r="O327" s="19" t="n">
        <f aca="false">IF(J327&lt;=Inputs!$C$21,1,0)</f>
        <v>1</v>
      </c>
      <c r="P327" s="19" t="n">
        <f aca="false">IF(D327&gt;=Inputs!$C$22,1,0)</f>
        <v>1</v>
      </c>
      <c r="Q327" s="19" t="n">
        <f aca="false">IF(I327&lt;=Inputs!$C$23,1,0)</f>
        <v>1</v>
      </c>
      <c r="R327" s="19" t="n">
        <f aca="false">M327*N327*O327*P327*Q327</f>
        <v>1</v>
      </c>
      <c r="S327" s="14" t="n">
        <f aca="false">I327*R327</f>
        <v>9800</v>
      </c>
      <c r="T327" s="19" t="n">
        <f aca="false">IF(F327&gt;72,1,0)</f>
        <v>0</v>
      </c>
      <c r="U327" s="19" t="n">
        <f aca="false">IF(J327&gt;1.25,1,0)</f>
        <v>0</v>
      </c>
    </row>
    <row r="328" customFormat="false" ht="15" hidden="false" customHeight="false" outlineLevel="0" collapsed="false">
      <c r="B328" s="13" t="s">
        <v>548</v>
      </c>
      <c r="C328" s="13" t="s">
        <v>223</v>
      </c>
      <c r="D328" s="19" t="n">
        <v>709</v>
      </c>
      <c r="E328" s="23" t="n">
        <v>0.1786</v>
      </c>
      <c r="F328" s="19" t="n">
        <v>60</v>
      </c>
      <c r="G328" s="19" t="n">
        <v>0</v>
      </c>
      <c r="H328" s="14" t="n">
        <v>39410</v>
      </c>
      <c r="I328" s="14" t="n">
        <v>39410</v>
      </c>
      <c r="J328" s="24" t="n">
        <v>1.054</v>
      </c>
      <c r="K328" s="19" t="n">
        <v>0</v>
      </c>
      <c r="L328" s="13" t="str">
        <f aca="false">IF(D328&gt;=Inputs!$C$14,"Near-prime","Non-prime")</f>
        <v>Near-prime</v>
      </c>
      <c r="M328" s="19" t="n">
        <f aca="false">IF(K328&lt;=Inputs!$C$19,1,0)</f>
        <v>1</v>
      </c>
      <c r="N328" s="19" t="n">
        <f aca="false">IF(F328&lt;=Inputs!$C$20,1,0)</f>
        <v>1</v>
      </c>
      <c r="O328" s="19" t="n">
        <f aca="false">IF(J328&lt;=Inputs!$C$21,1,0)</f>
        <v>1</v>
      </c>
      <c r="P328" s="19" t="n">
        <f aca="false">IF(D328&gt;=Inputs!$C$22,1,0)</f>
        <v>1</v>
      </c>
      <c r="Q328" s="19" t="n">
        <f aca="false">IF(I328&lt;=Inputs!$C$23,1,0)</f>
        <v>1</v>
      </c>
      <c r="R328" s="19" t="n">
        <f aca="false">M328*N328*O328*P328*Q328</f>
        <v>1</v>
      </c>
      <c r="S328" s="14" t="n">
        <f aca="false">I328*R328</f>
        <v>39410</v>
      </c>
      <c r="T328" s="19" t="n">
        <f aca="false">IF(F328&gt;72,1,0)</f>
        <v>0</v>
      </c>
      <c r="U328" s="19" t="n">
        <f aca="false">IF(J328&gt;1.25,1,0)</f>
        <v>0</v>
      </c>
    </row>
    <row r="329" customFormat="false" ht="15" hidden="false" customHeight="false" outlineLevel="0" collapsed="false">
      <c r="B329" s="13" t="s">
        <v>549</v>
      </c>
      <c r="C329" s="13" t="s">
        <v>237</v>
      </c>
      <c r="D329" s="19" t="n">
        <v>631</v>
      </c>
      <c r="E329" s="23" t="n">
        <v>0.2151</v>
      </c>
      <c r="F329" s="19" t="n">
        <v>72</v>
      </c>
      <c r="G329" s="19" t="n">
        <v>9</v>
      </c>
      <c r="H329" s="14" t="n">
        <v>25630</v>
      </c>
      <c r="I329" s="14" t="n">
        <v>23916.6</v>
      </c>
      <c r="J329" s="24" t="n">
        <v>1.219</v>
      </c>
      <c r="K329" s="19" t="n">
        <v>0</v>
      </c>
      <c r="L329" s="13" t="str">
        <f aca="false">IF(D329&gt;=Inputs!$C$14,"Near-prime","Non-prime")</f>
        <v>Near-prime</v>
      </c>
      <c r="M329" s="19" t="n">
        <f aca="false">IF(K329&lt;=Inputs!$C$19,1,0)</f>
        <v>1</v>
      </c>
      <c r="N329" s="19" t="n">
        <f aca="false">IF(F329&lt;=Inputs!$C$20,1,0)</f>
        <v>1</v>
      </c>
      <c r="O329" s="19" t="n">
        <f aca="false">IF(J329&lt;=Inputs!$C$21,1,0)</f>
        <v>1</v>
      </c>
      <c r="P329" s="19" t="n">
        <f aca="false">IF(D329&gt;=Inputs!$C$22,1,0)</f>
        <v>1</v>
      </c>
      <c r="Q329" s="19" t="n">
        <f aca="false">IF(I329&lt;=Inputs!$C$23,1,0)</f>
        <v>1</v>
      </c>
      <c r="R329" s="19" t="n">
        <f aca="false">M329*N329*O329*P329*Q329</f>
        <v>1</v>
      </c>
      <c r="S329" s="14" t="n">
        <f aca="false">I329*R329</f>
        <v>23916.6</v>
      </c>
      <c r="T329" s="19" t="n">
        <f aca="false">IF(F329&gt;72,1,0)</f>
        <v>0</v>
      </c>
      <c r="U329" s="19" t="n">
        <f aca="false">IF(J329&gt;1.25,1,0)</f>
        <v>0</v>
      </c>
    </row>
    <row r="330" customFormat="false" ht="15" hidden="false" customHeight="false" outlineLevel="0" collapsed="false">
      <c r="B330" s="13" t="s">
        <v>550</v>
      </c>
      <c r="C330" s="13" t="s">
        <v>221</v>
      </c>
      <c r="D330" s="19" t="n">
        <v>645</v>
      </c>
      <c r="E330" s="23" t="n">
        <v>0.2177</v>
      </c>
      <c r="F330" s="19" t="n">
        <v>66</v>
      </c>
      <c r="G330" s="19" t="n">
        <v>8</v>
      </c>
      <c r="H330" s="14" t="n">
        <v>62000</v>
      </c>
      <c r="I330" s="14" t="n">
        <v>57786.08</v>
      </c>
      <c r="J330" s="24" t="n">
        <v>1.167</v>
      </c>
      <c r="K330" s="19" t="n">
        <v>0</v>
      </c>
      <c r="L330" s="13" t="str">
        <f aca="false">IF(D330&gt;=Inputs!$C$14,"Near-prime","Non-prime")</f>
        <v>Near-prime</v>
      </c>
      <c r="M330" s="19" t="n">
        <f aca="false">IF(K330&lt;=Inputs!$C$19,1,0)</f>
        <v>1</v>
      </c>
      <c r="N330" s="19" t="n">
        <f aca="false">IF(F330&lt;=Inputs!$C$20,1,0)</f>
        <v>1</v>
      </c>
      <c r="O330" s="19" t="n">
        <f aca="false">IF(J330&lt;=Inputs!$C$21,1,0)</f>
        <v>1</v>
      </c>
      <c r="P330" s="19" t="n">
        <f aca="false">IF(D330&gt;=Inputs!$C$22,1,0)</f>
        <v>1</v>
      </c>
      <c r="Q330" s="19" t="n">
        <f aca="false">IF(I330&lt;=Inputs!$C$23,1,0)</f>
        <v>0</v>
      </c>
      <c r="R330" s="19" t="n">
        <f aca="false">M330*N330*O330*P330*Q330</f>
        <v>0</v>
      </c>
      <c r="S330" s="14" t="n">
        <f aca="false">I330*R330</f>
        <v>0</v>
      </c>
      <c r="T330" s="19" t="n">
        <f aca="false">IF(F330&gt;72,1,0)</f>
        <v>0</v>
      </c>
      <c r="U330" s="19" t="n">
        <f aca="false">IF(J330&gt;1.25,1,0)</f>
        <v>0</v>
      </c>
    </row>
    <row r="331" customFormat="false" ht="15" hidden="false" customHeight="false" outlineLevel="0" collapsed="false">
      <c r="B331" s="13" t="s">
        <v>551</v>
      </c>
      <c r="C331" s="13" t="s">
        <v>237</v>
      </c>
      <c r="D331" s="19" t="n">
        <v>596</v>
      </c>
      <c r="E331" s="23" t="n">
        <v>0.2387</v>
      </c>
      <c r="F331" s="19" t="n">
        <v>72</v>
      </c>
      <c r="G331" s="19" t="n">
        <v>3</v>
      </c>
      <c r="H331" s="14" t="n">
        <v>45950</v>
      </c>
      <c r="I331" s="14" t="n">
        <v>45056.24</v>
      </c>
      <c r="J331" s="24" t="n">
        <v>0.814</v>
      </c>
      <c r="K331" s="19" t="n">
        <v>0</v>
      </c>
      <c r="L331" s="13" t="str">
        <f aca="false">IF(D331&gt;=Inputs!$C$14,"Near-prime","Non-prime")</f>
        <v>Non-prime</v>
      </c>
      <c r="M331" s="19" t="n">
        <f aca="false">IF(K331&lt;=Inputs!$C$19,1,0)</f>
        <v>1</v>
      </c>
      <c r="N331" s="19" t="n">
        <f aca="false">IF(F331&lt;=Inputs!$C$20,1,0)</f>
        <v>1</v>
      </c>
      <c r="O331" s="19" t="n">
        <f aca="false">IF(J331&lt;=Inputs!$C$21,1,0)</f>
        <v>1</v>
      </c>
      <c r="P331" s="19" t="n">
        <f aca="false">IF(D331&gt;=Inputs!$C$22,1,0)</f>
        <v>1</v>
      </c>
      <c r="Q331" s="19" t="n">
        <f aca="false">IF(I331&lt;=Inputs!$C$23,1,0)</f>
        <v>1</v>
      </c>
      <c r="R331" s="19" t="n">
        <f aca="false">M331*N331*O331*P331*Q331</f>
        <v>1</v>
      </c>
      <c r="S331" s="14" t="n">
        <f aca="false">I331*R331</f>
        <v>45056.24</v>
      </c>
      <c r="T331" s="19" t="n">
        <f aca="false">IF(F331&gt;72,1,0)</f>
        <v>0</v>
      </c>
      <c r="U331" s="19" t="n">
        <f aca="false">IF(J331&gt;1.25,1,0)</f>
        <v>0</v>
      </c>
    </row>
    <row r="332" customFormat="false" ht="15" hidden="false" customHeight="false" outlineLevel="0" collapsed="false">
      <c r="B332" s="13" t="s">
        <v>552</v>
      </c>
      <c r="C332" s="13" t="s">
        <v>223</v>
      </c>
      <c r="D332" s="19" t="n">
        <v>685</v>
      </c>
      <c r="E332" s="23" t="n">
        <v>0.1964</v>
      </c>
      <c r="F332" s="19" t="n">
        <v>48</v>
      </c>
      <c r="G332" s="19" t="n">
        <v>9</v>
      </c>
      <c r="H332" s="14" t="n">
        <v>29840</v>
      </c>
      <c r="I332" s="14" t="n">
        <v>25861.03</v>
      </c>
      <c r="J332" s="24" t="n">
        <v>0.946</v>
      </c>
      <c r="K332" s="19" t="n">
        <v>0</v>
      </c>
      <c r="L332" s="13" t="str">
        <f aca="false">IF(D332&gt;=Inputs!$C$14,"Near-prime","Non-prime")</f>
        <v>Near-prime</v>
      </c>
      <c r="M332" s="19" t="n">
        <f aca="false">IF(K332&lt;=Inputs!$C$19,1,0)</f>
        <v>1</v>
      </c>
      <c r="N332" s="19" t="n">
        <f aca="false">IF(F332&lt;=Inputs!$C$20,1,0)</f>
        <v>1</v>
      </c>
      <c r="O332" s="19" t="n">
        <f aca="false">IF(J332&lt;=Inputs!$C$21,1,0)</f>
        <v>1</v>
      </c>
      <c r="P332" s="19" t="n">
        <f aca="false">IF(D332&gt;=Inputs!$C$22,1,0)</f>
        <v>1</v>
      </c>
      <c r="Q332" s="19" t="n">
        <f aca="false">IF(I332&lt;=Inputs!$C$23,1,0)</f>
        <v>1</v>
      </c>
      <c r="R332" s="19" t="n">
        <f aca="false">M332*N332*O332*P332*Q332</f>
        <v>1</v>
      </c>
      <c r="S332" s="14" t="n">
        <f aca="false">I332*R332</f>
        <v>25861.03</v>
      </c>
      <c r="T332" s="19" t="n">
        <f aca="false">IF(F332&gt;72,1,0)</f>
        <v>0</v>
      </c>
      <c r="U332" s="19" t="n">
        <f aca="false">IF(J332&gt;1.25,1,0)</f>
        <v>0</v>
      </c>
    </row>
    <row r="333" customFormat="false" ht="15" hidden="false" customHeight="false" outlineLevel="0" collapsed="false">
      <c r="B333" s="13" t="s">
        <v>553</v>
      </c>
      <c r="C333" s="13" t="s">
        <v>221</v>
      </c>
      <c r="D333" s="19" t="n">
        <v>650</v>
      </c>
      <c r="E333" s="23" t="n">
        <v>0.2136</v>
      </c>
      <c r="F333" s="19" t="n">
        <v>75</v>
      </c>
      <c r="G333" s="19" t="n">
        <v>2</v>
      </c>
      <c r="H333" s="14" t="n">
        <v>25930</v>
      </c>
      <c r="I333" s="14" t="n">
        <v>25592.03</v>
      </c>
      <c r="J333" s="24" t="n">
        <v>1.15</v>
      </c>
      <c r="K333" s="19" t="n">
        <v>0</v>
      </c>
      <c r="L333" s="13" t="str">
        <f aca="false">IF(D333&gt;=Inputs!$C$14,"Near-prime","Non-prime")</f>
        <v>Near-prime</v>
      </c>
      <c r="M333" s="19" t="n">
        <f aca="false">IF(K333&lt;=Inputs!$C$19,1,0)</f>
        <v>1</v>
      </c>
      <c r="N333" s="19" t="n">
        <f aca="false">IF(F333&lt;=Inputs!$C$20,1,0)</f>
        <v>1</v>
      </c>
      <c r="O333" s="19" t="n">
        <f aca="false">IF(J333&lt;=Inputs!$C$21,1,0)</f>
        <v>1</v>
      </c>
      <c r="P333" s="19" t="n">
        <f aca="false">IF(D333&gt;=Inputs!$C$22,1,0)</f>
        <v>1</v>
      </c>
      <c r="Q333" s="19" t="n">
        <f aca="false">IF(I333&lt;=Inputs!$C$23,1,0)</f>
        <v>1</v>
      </c>
      <c r="R333" s="19" t="n">
        <f aca="false">M333*N333*O333*P333*Q333</f>
        <v>1</v>
      </c>
      <c r="S333" s="14" t="n">
        <f aca="false">I333*R333</f>
        <v>25592.03</v>
      </c>
      <c r="T333" s="19" t="n">
        <f aca="false">IF(F333&gt;72,1,0)</f>
        <v>1</v>
      </c>
      <c r="U333" s="19" t="n">
        <f aca="false">IF(J333&gt;1.25,1,0)</f>
        <v>0</v>
      </c>
    </row>
    <row r="334" customFormat="false" ht="15" hidden="false" customHeight="false" outlineLevel="0" collapsed="false">
      <c r="B334" s="13" t="s">
        <v>554</v>
      </c>
      <c r="C334" s="13" t="s">
        <v>228</v>
      </c>
      <c r="D334" s="19" t="n">
        <v>576</v>
      </c>
      <c r="E334" s="23" t="n">
        <v>0.2337</v>
      </c>
      <c r="F334" s="19" t="n">
        <v>75</v>
      </c>
      <c r="G334" s="19" t="n">
        <v>3</v>
      </c>
      <c r="H334" s="14" t="n">
        <v>21510</v>
      </c>
      <c r="I334" s="14" t="n">
        <v>21115.56</v>
      </c>
      <c r="J334" s="24" t="n">
        <v>0.662</v>
      </c>
      <c r="K334" s="19" t="n">
        <v>0</v>
      </c>
      <c r="L334" s="13" t="str">
        <f aca="false">IF(D334&gt;=Inputs!$C$14,"Near-prime","Non-prime")</f>
        <v>Non-prime</v>
      </c>
      <c r="M334" s="19" t="n">
        <f aca="false">IF(K334&lt;=Inputs!$C$19,1,0)</f>
        <v>1</v>
      </c>
      <c r="N334" s="19" t="n">
        <f aca="false">IF(F334&lt;=Inputs!$C$20,1,0)</f>
        <v>1</v>
      </c>
      <c r="O334" s="19" t="n">
        <f aca="false">IF(J334&lt;=Inputs!$C$21,1,0)</f>
        <v>1</v>
      </c>
      <c r="P334" s="19" t="n">
        <f aca="false">IF(D334&gt;=Inputs!$C$22,1,0)</f>
        <v>1</v>
      </c>
      <c r="Q334" s="19" t="n">
        <f aca="false">IF(I334&lt;=Inputs!$C$23,1,0)</f>
        <v>1</v>
      </c>
      <c r="R334" s="19" t="n">
        <f aca="false">M334*N334*O334*P334*Q334</f>
        <v>1</v>
      </c>
      <c r="S334" s="14" t="n">
        <f aca="false">I334*R334</f>
        <v>21115.56</v>
      </c>
      <c r="T334" s="19" t="n">
        <f aca="false">IF(F334&gt;72,1,0)</f>
        <v>1</v>
      </c>
      <c r="U334" s="19" t="n">
        <f aca="false">IF(J334&gt;1.25,1,0)</f>
        <v>0</v>
      </c>
    </row>
    <row r="335" customFormat="false" ht="15" hidden="false" customHeight="false" outlineLevel="0" collapsed="false">
      <c r="B335" s="13" t="s">
        <v>555</v>
      </c>
      <c r="C335" s="13" t="s">
        <v>226</v>
      </c>
      <c r="D335" s="19" t="n">
        <v>627</v>
      </c>
      <c r="E335" s="23" t="n">
        <v>0.2124</v>
      </c>
      <c r="F335" s="19" t="n">
        <v>72</v>
      </c>
      <c r="G335" s="19" t="n">
        <v>4</v>
      </c>
      <c r="H335" s="14" t="n">
        <v>16310</v>
      </c>
      <c r="I335" s="14" t="n">
        <v>15842.59</v>
      </c>
      <c r="J335" s="24" t="n">
        <v>1.018</v>
      </c>
      <c r="K335" s="19" t="n">
        <v>0</v>
      </c>
      <c r="L335" s="13" t="str">
        <f aca="false">IF(D335&gt;=Inputs!$C$14,"Near-prime","Non-prime")</f>
        <v>Near-prime</v>
      </c>
      <c r="M335" s="19" t="n">
        <f aca="false">IF(K335&lt;=Inputs!$C$19,1,0)</f>
        <v>1</v>
      </c>
      <c r="N335" s="19" t="n">
        <f aca="false">IF(F335&lt;=Inputs!$C$20,1,0)</f>
        <v>1</v>
      </c>
      <c r="O335" s="19" t="n">
        <f aca="false">IF(J335&lt;=Inputs!$C$21,1,0)</f>
        <v>1</v>
      </c>
      <c r="P335" s="19" t="n">
        <f aca="false">IF(D335&gt;=Inputs!$C$22,1,0)</f>
        <v>1</v>
      </c>
      <c r="Q335" s="19" t="n">
        <f aca="false">IF(I335&lt;=Inputs!$C$23,1,0)</f>
        <v>1</v>
      </c>
      <c r="R335" s="19" t="n">
        <f aca="false">M335*N335*O335*P335*Q335</f>
        <v>1</v>
      </c>
      <c r="S335" s="14" t="n">
        <f aca="false">I335*R335</f>
        <v>15842.59</v>
      </c>
      <c r="T335" s="19" t="n">
        <f aca="false">IF(F335&gt;72,1,0)</f>
        <v>0</v>
      </c>
      <c r="U335" s="19" t="n">
        <f aca="false">IF(J335&gt;1.25,1,0)</f>
        <v>0</v>
      </c>
    </row>
    <row r="336" customFormat="false" ht="15" hidden="false" customHeight="false" outlineLevel="0" collapsed="false">
      <c r="B336" s="13" t="s">
        <v>556</v>
      </c>
      <c r="C336" s="13" t="s">
        <v>223</v>
      </c>
      <c r="D336" s="19" t="n">
        <v>639</v>
      </c>
      <c r="E336" s="23" t="n">
        <v>0.2342</v>
      </c>
      <c r="F336" s="19" t="n">
        <v>60</v>
      </c>
      <c r="G336" s="19" t="n">
        <v>9</v>
      </c>
      <c r="H336" s="14" t="n">
        <v>19160</v>
      </c>
      <c r="I336" s="14" t="n">
        <v>17496.94</v>
      </c>
      <c r="J336" s="24" t="n">
        <v>0.909</v>
      </c>
      <c r="K336" s="19" t="n">
        <v>0</v>
      </c>
      <c r="L336" s="13" t="str">
        <f aca="false">IF(D336&gt;=Inputs!$C$14,"Near-prime","Non-prime")</f>
        <v>Near-prime</v>
      </c>
      <c r="M336" s="19" t="n">
        <f aca="false">IF(K336&lt;=Inputs!$C$19,1,0)</f>
        <v>1</v>
      </c>
      <c r="N336" s="19" t="n">
        <f aca="false">IF(F336&lt;=Inputs!$C$20,1,0)</f>
        <v>1</v>
      </c>
      <c r="O336" s="19" t="n">
        <f aca="false">IF(J336&lt;=Inputs!$C$21,1,0)</f>
        <v>1</v>
      </c>
      <c r="P336" s="19" t="n">
        <f aca="false">IF(D336&gt;=Inputs!$C$22,1,0)</f>
        <v>1</v>
      </c>
      <c r="Q336" s="19" t="n">
        <f aca="false">IF(I336&lt;=Inputs!$C$23,1,0)</f>
        <v>1</v>
      </c>
      <c r="R336" s="19" t="n">
        <f aca="false">M336*N336*O336*P336*Q336</f>
        <v>1</v>
      </c>
      <c r="S336" s="14" t="n">
        <f aca="false">I336*R336</f>
        <v>17496.94</v>
      </c>
      <c r="T336" s="19" t="n">
        <f aca="false">IF(F336&gt;72,1,0)</f>
        <v>0</v>
      </c>
      <c r="U336" s="19" t="n">
        <f aca="false">IF(J336&gt;1.25,1,0)</f>
        <v>0</v>
      </c>
    </row>
    <row r="337" customFormat="false" ht="15" hidden="false" customHeight="false" outlineLevel="0" collapsed="false">
      <c r="B337" s="13" t="s">
        <v>557</v>
      </c>
      <c r="C337" s="13" t="s">
        <v>257</v>
      </c>
      <c r="D337" s="19" t="n">
        <v>615</v>
      </c>
      <c r="E337" s="23" t="n">
        <v>0.2376</v>
      </c>
      <c r="F337" s="19" t="n">
        <v>60</v>
      </c>
      <c r="G337" s="19" t="n">
        <v>4</v>
      </c>
      <c r="H337" s="14" t="n">
        <v>23400</v>
      </c>
      <c r="I337" s="14" t="n">
        <v>22548.75</v>
      </c>
      <c r="J337" s="24" t="n">
        <v>1.079</v>
      </c>
      <c r="K337" s="19" t="n">
        <v>0</v>
      </c>
      <c r="L337" s="13" t="str">
        <f aca="false">IF(D337&gt;=Inputs!$C$14,"Near-prime","Non-prime")</f>
        <v>Non-prime</v>
      </c>
      <c r="M337" s="19" t="n">
        <f aca="false">IF(K337&lt;=Inputs!$C$19,1,0)</f>
        <v>1</v>
      </c>
      <c r="N337" s="19" t="n">
        <f aca="false">IF(F337&lt;=Inputs!$C$20,1,0)</f>
        <v>1</v>
      </c>
      <c r="O337" s="19" t="n">
        <f aca="false">IF(J337&lt;=Inputs!$C$21,1,0)</f>
        <v>1</v>
      </c>
      <c r="P337" s="19" t="n">
        <f aca="false">IF(D337&gt;=Inputs!$C$22,1,0)</f>
        <v>1</v>
      </c>
      <c r="Q337" s="19" t="n">
        <f aca="false">IF(I337&lt;=Inputs!$C$23,1,0)</f>
        <v>1</v>
      </c>
      <c r="R337" s="19" t="n">
        <f aca="false">M337*N337*O337*P337*Q337</f>
        <v>1</v>
      </c>
      <c r="S337" s="14" t="n">
        <f aca="false">I337*R337</f>
        <v>22548.75</v>
      </c>
      <c r="T337" s="19" t="n">
        <f aca="false">IF(F337&gt;72,1,0)</f>
        <v>0</v>
      </c>
      <c r="U337" s="19" t="n">
        <f aca="false">IF(J337&gt;1.25,1,0)</f>
        <v>0</v>
      </c>
    </row>
    <row r="338" customFormat="false" ht="15" hidden="false" customHeight="false" outlineLevel="0" collapsed="false">
      <c r="B338" s="13" t="s">
        <v>558</v>
      </c>
      <c r="C338" s="13" t="s">
        <v>223</v>
      </c>
      <c r="D338" s="19" t="n">
        <v>608</v>
      </c>
      <c r="E338" s="23" t="n">
        <v>0.2333</v>
      </c>
      <c r="F338" s="19" t="n">
        <v>60</v>
      </c>
      <c r="G338" s="19" t="n">
        <v>1</v>
      </c>
      <c r="H338" s="14" t="n">
        <v>16350</v>
      </c>
      <c r="I338" s="14" t="n">
        <v>16203.85</v>
      </c>
      <c r="J338" s="24" t="n">
        <v>0.735</v>
      </c>
      <c r="K338" s="19" t="n">
        <v>0</v>
      </c>
      <c r="L338" s="13" t="str">
        <f aca="false">IF(D338&gt;=Inputs!$C$14,"Near-prime","Non-prime")</f>
        <v>Non-prime</v>
      </c>
      <c r="M338" s="19" t="n">
        <f aca="false">IF(K338&lt;=Inputs!$C$19,1,0)</f>
        <v>1</v>
      </c>
      <c r="N338" s="19" t="n">
        <f aca="false">IF(F338&lt;=Inputs!$C$20,1,0)</f>
        <v>1</v>
      </c>
      <c r="O338" s="19" t="n">
        <f aca="false">IF(J338&lt;=Inputs!$C$21,1,0)</f>
        <v>1</v>
      </c>
      <c r="P338" s="19" t="n">
        <f aca="false">IF(D338&gt;=Inputs!$C$22,1,0)</f>
        <v>1</v>
      </c>
      <c r="Q338" s="19" t="n">
        <f aca="false">IF(I338&lt;=Inputs!$C$23,1,0)</f>
        <v>1</v>
      </c>
      <c r="R338" s="19" t="n">
        <f aca="false">M338*N338*O338*P338*Q338</f>
        <v>1</v>
      </c>
      <c r="S338" s="14" t="n">
        <f aca="false">I338*R338</f>
        <v>16203.85</v>
      </c>
      <c r="T338" s="19" t="n">
        <f aca="false">IF(F338&gt;72,1,0)</f>
        <v>0</v>
      </c>
      <c r="U338" s="19" t="n">
        <f aca="false">IF(J338&gt;1.25,1,0)</f>
        <v>0</v>
      </c>
    </row>
    <row r="339" customFormat="false" ht="15" hidden="false" customHeight="false" outlineLevel="0" collapsed="false">
      <c r="B339" s="13" t="s">
        <v>559</v>
      </c>
      <c r="C339" s="13" t="s">
        <v>219</v>
      </c>
      <c r="D339" s="19" t="n">
        <v>561</v>
      </c>
      <c r="E339" s="23" t="n">
        <v>0.2111</v>
      </c>
      <c r="F339" s="19" t="n">
        <v>66</v>
      </c>
      <c r="G339" s="19" t="n">
        <v>6</v>
      </c>
      <c r="H339" s="14" t="n">
        <v>21420</v>
      </c>
      <c r="I339" s="14" t="n">
        <v>20326.78</v>
      </c>
      <c r="J339" s="24" t="n">
        <v>1.022</v>
      </c>
      <c r="K339" s="19" t="n">
        <v>0</v>
      </c>
      <c r="L339" s="13" t="str">
        <f aca="false">IF(D339&gt;=Inputs!$C$14,"Near-prime","Non-prime")</f>
        <v>Non-prime</v>
      </c>
      <c r="M339" s="19" t="n">
        <f aca="false">IF(K339&lt;=Inputs!$C$19,1,0)</f>
        <v>1</v>
      </c>
      <c r="N339" s="19" t="n">
        <f aca="false">IF(F339&lt;=Inputs!$C$20,1,0)</f>
        <v>1</v>
      </c>
      <c r="O339" s="19" t="n">
        <f aca="false">IF(J339&lt;=Inputs!$C$21,1,0)</f>
        <v>1</v>
      </c>
      <c r="P339" s="19" t="n">
        <f aca="false">IF(D339&gt;=Inputs!$C$22,1,0)</f>
        <v>1</v>
      </c>
      <c r="Q339" s="19" t="n">
        <f aca="false">IF(I339&lt;=Inputs!$C$23,1,0)</f>
        <v>1</v>
      </c>
      <c r="R339" s="19" t="n">
        <f aca="false">M339*N339*O339*P339*Q339</f>
        <v>1</v>
      </c>
      <c r="S339" s="14" t="n">
        <f aca="false">I339*R339</f>
        <v>20326.78</v>
      </c>
      <c r="T339" s="19" t="n">
        <f aca="false">IF(F339&gt;72,1,0)</f>
        <v>0</v>
      </c>
      <c r="U339" s="19" t="n">
        <f aca="false">IF(J339&gt;1.25,1,0)</f>
        <v>0</v>
      </c>
    </row>
    <row r="340" customFormat="false" ht="15" hidden="false" customHeight="false" outlineLevel="0" collapsed="false">
      <c r="B340" s="13" t="s">
        <v>560</v>
      </c>
      <c r="C340" s="13" t="s">
        <v>237</v>
      </c>
      <c r="D340" s="19" t="n">
        <v>650</v>
      </c>
      <c r="E340" s="23" t="n">
        <v>0.2037</v>
      </c>
      <c r="F340" s="19" t="n">
        <v>60</v>
      </c>
      <c r="G340" s="19" t="n">
        <v>0</v>
      </c>
      <c r="H340" s="14" t="n">
        <v>34680</v>
      </c>
      <c r="I340" s="14" t="n">
        <v>34680</v>
      </c>
      <c r="J340" s="24" t="n">
        <v>1.063</v>
      </c>
      <c r="K340" s="19" t="n">
        <v>45</v>
      </c>
      <c r="L340" s="13" t="str">
        <f aca="false">IF(D340&gt;=Inputs!$C$14,"Near-prime","Non-prime")</f>
        <v>Near-prime</v>
      </c>
      <c r="M340" s="19" t="n">
        <f aca="false">IF(K340&lt;=Inputs!$C$19,1,0)</f>
        <v>1</v>
      </c>
      <c r="N340" s="19" t="n">
        <f aca="false">IF(F340&lt;=Inputs!$C$20,1,0)</f>
        <v>1</v>
      </c>
      <c r="O340" s="19" t="n">
        <f aca="false">IF(J340&lt;=Inputs!$C$21,1,0)</f>
        <v>1</v>
      </c>
      <c r="P340" s="19" t="n">
        <f aca="false">IF(D340&gt;=Inputs!$C$22,1,0)</f>
        <v>1</v>
      </c>
      <c r="Q340" s="19" t="n">
        <f aca="false">IF(I340&lt;=Inputs!$C$23,1,0)</f>
        <v>1</v>
      </c>
      <c r="R340" s="19" t="n">
        <f aca="false">M340*N340*O340*P340*Q340</f>
        <v>1</v>
      </c>
      <c r="S340" s="14" t="n">
        <f aca="false">I340*R340</f>
        <v>34680</v>
      </c>
      <c r="T340" s="19" t="n">
        <f aca="false">IF(F340&gt;72,1,0)</f>
        <v>0</v>
      </c>
      <c r="U340" s="19" t="n">
        <f aca="false">IF(J340&gt;1.25,1,0)</f>
        <v>0</v>
      </c>
    </row>
    <row r="341" customFormat="false" ht="15" hidden="false" customHeight="false" outlineLevel="0" collapsed="false">
      <c r="B341" s="13" t="s">
        <v>561</v>
      </c>
      <c r="C341" s="13" t="s">
        <v>221</v>
      </c>
      <c r="D341" s="19" t="n">
        <v>623</v>
      </c>
      <c r="E341" s="23" t="n">
        <v>0.2219</v>
      </c>
      <c r="F341" s="19" t="n">
        <v>60</v>
      </c>
      <c r="G341" s="19" t="n">
        <v>5</v>
      </c>
      <c r="H341" s="14" t="n">
        <v>16740</v>
      </c>
      <c r="I341" s="14" t="n">
        <v>15937.88</v>
      </c>
      <c r="J341" s="24" t="n">
        <v>0.794</v>
      </c>
      <c r="K341" s="19" t="n">
        <v>0</v>
      </c>
      <c r="L341" s="13" t="str">
        <f aca="false">IF(D341&gt;=Inputs!$C$14,"Near-prime","Non-prime")</f>
        <v>Near-prime</v>
      </c>
      <c r="M341" s="19" t="n">
        <f aca="false">IF(K341&lt;=Inputs!$C$19,1,0)</f>
        <v>1</v>
      </c>
      <c r="N341" s="19" t="n">
        <f aca="false">IF(F341&lt;=Inputs!$C$20,1,0)</f>
        <v>1</v>
      </c>
      <c r="O341" s="19" t="n">
        <f aca="false">IF(J341&lt;=Inputs!$C$21,1,0)</f>
        <v>1</v>
      </c>
      <c r="P341" s="19" t="n">
        <f aca="false">IF(D341&gt;=Inputs!$C$22,1,0)</f>
        <v>1</v>
      </c>
      <c r="Q341" s="19" t="n">
        <f aca="false">IF(I341&lt;=Inputs!$C$23,1,0)</f>
        <v>1</v>
      </c>
      <c r="R341" s="19" t="n">
        <f aca="false">M341*N341*O341*P341*Q341</f>
        <v>1</v>
      </c>
      <c r="S341" s="14" t="n">
        <f aca="false">I341*R341</f>
        <v>15937.88</v>
      </c>
      <c r="T341" s="19" t="n">
        <f aca="false">IF(F341&gt;72,1,0)</f>
        <v>0</v>
      </c>
      <c r="U341" s="19" t="n">
        <f aca="false">IF(J341&gt;1.25,1,0)</f>
        <v>0</v>
      </c>
    </row>
    <row r="342" customFormat="false" ht="15" hidden="false" customHeight="false" outlineLevel="0" collapsed="false">
      <c r="B342" s="13" t="s">
        <v>562</v>
      </c>
      <c r="C342" s="13" t="s">
        <v>226</v>
      </c>
      <c r="D342" s="19" t="n">
        <v>693</v>
      </c>
      <c r="E342" s="23" t="n">
        <v>0.1983</v>
      </c>
      <c r="F342" s="19" t="n">
        <v>66</v>
      </c>
      <c r="G342" s="19" t="n">
        <v>10</v>
      </c>
      <c r="H342" s="14" t="n">
        <v>22010</v>
      </c>
      <c r="I342" s="14" t="n">
        <v>19999.59</v>
      </c>
      <c r="J342" s="24" t="n">
        <v>1.157</v>
      </c>
      <c r="K342" s="19" t="n">
        <v>0</v>
      </c>
      <c r="L342" s="13" t="str">
        <f aca="false">IF(D342&gt;=Inputs!$C$14,"Near-prime","Non-prime")</f>
        <v>Near-prime</v>
      </c>
      <c r="M342" s="19" t="n">
        <f aca="false">IF(K342&lt;=Inputs!$C$19,1,0)</f>
        <v>1</v>
      </c>
      <c r="N342" s="19" t="n">
        <f aca="false">IF(F342&lt;=Inputs!$C$20,1,0)</f>
        <v>1</v>
      </c>
      <c r="O342" s="19" t="n">
        <f aca="false">IF(J342&lt;=Inputs!$C$21,1,0)</f>
        <v>1</v>
      </c>
      <c r="P342" s="19" t="n">
        <f aca="false">IF(D342&gt;=Inputs!$C$22,1,0)</f>
        <v>1</v>
      </c>
      <c r="Q342" s="19" t="n">
        <f aca="false">IF(I342&lt;=Inputs!$C$23,1,0)</f>
        <v>1</v>
      </c>
      <c r="R342" s="19" t="n">
        <f aca="false">M342*N342*O342*P342*Q342</f>
        <v>1</v>
      </c>
      <c r="S342" s="14" t="n">
        <f aca="false">I342*R342</f>
        <v>19999.59</v>
      </c>
      <c r="T342" s="19" t="n">
        <f aca="false">IF(F342&gt;72,1,0)</f>
        <v>0</v>
      </c>
      <c r="U342" s="19" t="n">
        <f aca="false">IF(J342&gt;1.25,1,0)</f>
        <v>0</v>
      </c>
    </row>
    <row r="343" customFormat="false" ht="15" hidden="false" customHeight="false" outlineLevel="0" collapsed="false">
      <c r="B343" s="13" t="s">
        <v>563</v>
      </c>
      <c r="C343" s="13" t="s">
        <v>221</v>
      </c>
      <c r="D343" s="19" t="n">
        <v>640</v>
      </c>
      <c r="E343" s="23" t="n">
        <v>0.1886</v>
      </c>
      <c r="F343" s="19" t="n">
        <v>75</v>
      </c>
      <c r="G343" s="19" t="n">
        <v>3</v>
      </c>
      <c r="H343" s="14" t="n">
        <v>21380</v>
      </c>
      <c r="I343" s="14" t="n">
        <v>20918.88</v>
      </c>
      <c r="J343" s="24" t="n">
        <v>1.134</v>
      </c>
      <c r="K343" s="19" t="n">
        <v>0</v>
      </c>
      <c r="L343" s="13" t="str">
        <f aca="false">IF(D343&gt;=Inputs!$C$14,"Near-prime","Non-prime")</f>
        <v>Near-prime</v>
      </c>
      <c r="M343" s="19" t="n">
        <f aca="false">IF(K343&lt;=Inputs!$C$19,1,0)</f>
        <v>1</v>
      </c>
      <c r="N343" s="19" t="n">
        <f aca="false">IF(F343&lt;=Inputs!$C$20,1,0)</f>
        <v>1</v>
      </c>
      <c r="O343" s="19" t="n">
        <f aca="false">IF(J343&lt;=Inputs!$C$21,1,0)</f>
        <v>1</v>
      </c>
      <c r="P343" s="19" t="n">
        <f aca="false">IF(D343&gt;=Inputs!$C$22,1,0)</f>
        <v>1</v>
      </c>
      <c r="Q343" s="19" t="n">
        <f aca="false">IF(I343&lt;=Inputs!$C$23,1,0)</f>
        <v>1</v>
      </c>
      <c r="R343" s="19" t="n">
        <f aca="false">M343*N343*O343*P343*Q343</f>
        <v>1</v>
      </c>
      <c r="S343" s="14" t="n">
        <f aca="false">I343*R343</f>
        <v>20918.88</v>
      </c>
      <c r="T343" s="19" t="n">
        <f aca="false">IF(F343&gt;72,1,0)</f>
        <v>1</v>
      </c>
      <c r="U343" s="19" t="n">
        <f aca="false">IF(J343&gt;1.25,1,0)</f>
        <v>0</v>
      </c>
    </row>
    <row r="344" customFormat="false" ht="15" hidden="false" customHeight="false" outlineLevel="0" collapsed="false">
      <c r="B344" s="13" t="s">
        <v>564</v>
      </c>
      <c r="C344" s="13" t="s">
        <v>233</v>
      </c>
      <c r="D344" s="19" t="n">
        <v>689</v>
      </c>
      <c r="E344" s="23" t="n">
        <v>0.2009</v>
      </c>
      <c r="F344" s="19" t="n">
        <v>72</v>
      </c>
      <c r="G344" s="19" t="n">
        <v>0</v>
      </c>
      <c r="H344" s="14" t="n">
        <v>24910</v>
      </c>
      <c r="I344" s="14" t="n">
        <v>24910</v>
      </c>
      <c r="J344" s="24" t="n">
        <v>1.19</v>
      </c>
      <c r="K344" s="19" t="n">
        <v>0</v>
      </c>
      <c r="L344" s="13" t="str">
        <f aca="false">IF(D344&gt;=Inputs!$C$14,"Near-prime","Non-prime")</f>
        <v>Near-prime</v>
      </c>
      <c r="M344" s="19" t="n">
        <f aca="false">IF(K344&lt;=Inputs!$C$19,1,0)</f>
        <v>1</v>
      </c>
      <c r="N344" s="19" t="n">
        <f aca="false">IF(F344&lt;=Inputs!$C$20,1,0)</f>
        <v>1</v>
      </c>
      <c r="O344" s="19" t="n">
        <f aca="false">IF(J344&lt;=Inputs!$C$21,1,0)</f>
        <v>1</v>
      </c>
      <c r="P344" s="19" t="n">
        <f aca="false">IF(D344&gt;=Inputs!$C$22,1,0)</f>
        <v>1</v>
      </c>
      <c r="Q344" s="19" t="n">
        <f aca="false">IF(I344&lt;=Inputs!$C$23,1,0)</f>
        <v>1</v>
      </c>
      <c r="R344" s="19" t="n">
        <f aca="false">M344*N344*O344*P344*Q344</f>
        <v>1</v>
      </c>
      <c r="S344" s="14" t="n">
        <f aca="false">I344*R344</f>
        <v>24910</v>
      </c>
      <c r="T344" s="19" t="n">
        <f aca="false">IF(F344&gt;72,1,0)</f>
        <v>0</v>
      </c>
      <c r="U344" s="19" t="n">
        <f aca="false">IF(J344&gt;1.25,1,0)</f>
        <v>0</v>
      </c>
    </row>
    <row r="345" customFormat="false" ht="15" hidden="false" customHeight="false" outlineLevel="0" collapsed="false">
      <c r="B345" s="13" t="s">
        <v>565</v>
      </c>
      <c r="C345" s="13" t="s">
        <v>228</v>
      </c>
      <c r="D345" s="19" t="n">
        <v>584</v>
      </c>
      <c r="E345" s="23" t="n">
        <v>0.2455</v>
      </c>
      <c r="F345" s="19" t="n">
        <v>72</v>
      </c>
      <c r="G345" s="19" t="n">
        <v>1</v>
      </c>
      <c r="H345" s="14" t="n">
        <v>17050</v>
      </c>
      <c r="I345" s="14" t="n">
        <v>16944.23</v>
      </c>
      <c r="J345" s="24" t="n">
        <v>0.909</v>
      </c>
      <c r="K345" s="19" t="n">
        <v>0</v>
      </c>
      <c r="L345" s="13" t="str">
        <f aca="false">IF(D345&gt;=Inputs!$C$14,"Near-prime","Non-prime")</f>
        <v>Non-prime</v>
      </c>
      <c r="M345" s="19" t="n">
        <f aca="false">IF(K345&lt;=Inputs!$C$19,1,0)</f>
        <v>1</v>
      </c>
      <c r="N345" s="19" t="n">
        <f aca="false">IF(F345&lt;=Inputs!$C$20,1,0)</f>
        <v>1</v>
      </c>
      <c r="O345" s="19" t="n">
        <f aca="false">IF(J345&lt;=Inputs!$C$21,1,0)</f>
        <v>1</v>
      </c>
      <c r="P345" s="19" t="n">
        <f aca="false">IF(D345&gt;=Inputs!$C$22,1,0)</f>
        <v>1</v>
      </c>
      <c r="Q345" s="19" t="n">
        <f aca="false">IF(I345&lt;=Inputs!$C$23,1,0)</f>
        <v>1</v>
      </c>
      <c r="R345" s="19" t="n">
        <f aca="false">M345*N345*O345*P345*Q345</f>
        <v>1</v>
      </c>
      <c r="S345" s="14" t="n">
        <f aca="false">I345*R345</f>
        <v>16944.23</v>
      </c>
      <c r="T345" s="19" t="n">
        <f aca="false">IF(F345&gt;72,1,0)</f>
        <v>0</v>
      </c>
      <c r="U345" s="19" t="n">
        <f aca="false">IF(J345&gt;1.25,1,0)</f>
        <v>0</v>
      </c>
    </row>
    <row r="346" customFormat="false" ht="15" hidden="false" customHeight="false" outlineLevel="0" collapsed="false">
      <c r="B346" s="13" t="s">
        <v>566</v>
      </c>
      <c r="C346" s="13" t="s">
        <v>228</v>
      </c>
      <c r="D346" s="19" t="n">
        <v>665</v>
      </c>
      <c r="E346" s="23" t="n">
        <v>0.2232</v>
      </c>
      <c r="F346" s="19" t="n">
        <v>48</v>
      </c>
      <c r="G346" s="19" t="n">
        <v>10</v>
      </c>
      <c r="H346" s="14" t="n">
        <v>20340</v>
      </c>
      <c r="I346" s="14" t="n">
        <v>17445.42</v>
      </c>
      <c r="J346" s="24" t="n">
        <v>1.124</v>
      </c>
      <c r="K346" s="19" t="n">
        <v>15</v>
      </c>
      <c r="L346" s="13" t="str">
        <f aca="false">IF(D346&gt;=Inputs!$C$14,"Near-prime","Non-prime")</f>
        <v>Near-prime</v>
      </c>
      <c r="M346" s="19" t="n">
        <f aca="false">IF(K346&lt;=Inputs!$C$19,1,0)</f>
        <v>1</v>
      </c>
      <c r="N346" s="19" t="n">
        <f aca="false">IF(F346&lt;=Inputs!$C$20,1,0)</f>
        <v>1</v>
      </c>
      <c r="O346" s="19" t="n">
        <f aca="false">IF(J346&lt;=Inputs!$C$21,1,0)</f>
        <v>1</v>
      </c>
      <c r="P346" s="19" t="n">
        <f aca="false">IF(D346&gt;=Inputs!$C$22,1,0)</f>
        <v>1</v>
      </c>
      <c r="Q346" s="19" t="n">
        <f aca="false">IF(I346&lt;=Inputs!$C$23,1,0)</f>
        <v>1</v>
      </c>
      <c r="R346" s="19" t="n">
        <f aca="false">M346*N346*O346*P346*Q346</f>
        <v>1</v>
      </c>
      <c r="S346" s="14" t="n">
        <f aca="false">I346*R346</f>
        <v>17445.42</v>
      </c>
      <c r="T346" s="19" t="n">
        <f aca="false">IF(F346&gt;72,1,0)</f>
        <v>0</v>
      </c>
      <c r="U346" s="19" t="n">
        <f aca="false">IF(J346&gt;1.25,1,0)</f>
        <v>0</v>
      </c>
    </row>
    <row r="347" customFormat="false" ht="15" hidden="false" customHeight="false" outlineLevel="0" collapsed="false">
      <c r="B347" s="13" t="s">
        <v>567</v>
      </c>
      <c r="C347" s="13" t="s">
        <v>228</v>
      </c>
      <c r="D347" s="19" t="n">
        <v>683</v>
      </c>
      <c r="E347" s="23" t="n">
        <v>0.2098</v>
      </c>
      <c r="F347" s="19" t="n">
        <v>66</v>
      </c>
      <c r="G347" s="19" t="n">
        <v>1</v>
      </c>
      <c r="H347" s="14" t="n">
        <v>10540</v>
      </c>
      <c r="I347" s="14" t="n">
        <v>10453.85</v>
      </c>
      <c r="J347" s="24" t="n">
        <v>1.061</v>
      </c>
      <c r="K347" s="19" t="n">
        <v>0</v>
      </c>
      <c r="L347" s="13" t="str">
        <f aca="false">IF(D347&gt;=Inputs!$C$14,"Near-prime","Non-prime")</f>
        <v>Near-prime</v>
      </c>
      <c r="M347" s="19" t="n">
        <f aca="false">IF(K347&lt;=Inputs!$C$19,1,0)</f>
        <v>1</v>
      </c>
      <c r="N347" s="19" t="n">
        <f aca="false">IF(F347&lt;=Inputs!$C$20,1,0)</f>
        <v>1</v>
      </c>
      <c r="O347" s="19" t="n">
        <f aca="false">IF(J347&lt;=Inputs!$C$21,1,0)</f>
        <v>1</v>
      </c>
      <c r="P347" s="19" t="n">
        <f aca="false">IF(D347&gt;=Inputs!$C$22,1,0)</f>
        <v>1</v>
      </c>
      <c r="Q347" s="19" t="n">
        <f aca="false">IF(I347&lt;=Inputs!$C$23,1,0)</f>
        <v>1</v>
      </c>
      <c r="R347" s="19" t="n">
        <f aca="false">M347*N347*O347*P347*Q347</f>
        <v>1</v>
      </c>
      <c r="S347" s="14" t="n">
        <f aca="false">I347*R347</f>
        <v>10453.85</v>
      </c>
      <c r="T347" s="19" t="n">
        <f aca="false">IF(F347&gt;72,1,0)</f>
        <v>0</v>
      </c>
      <c r="U347" s="19" t="n">
        <f aca="false">IF(J347&gt;1.25,1,0)</f>
        <v>0</v>
      </c>
    </row>
    <row r="348" customFormat="false" ht="15" hidden="false" customHeight="false" outlineLevel="0" collapsed="false">
      <c r="B348" s="13" t="s">
        <v>568</v>
      </c>
      <c r="C348" s="13" t="s">
        <v>217</v>
      </c>
      <c r="D348" s="19" t="n">
        <v>684</v>
      </c>
      <c r="E348" s="23" t="n">
        <v>0.2004</v>
      </c>
      <c r="F348" s="19" t="n">
        <v>75</v>
      </c>
      <c r="G348" s="19" t="n">
        <v>3</v>
      </c>
      <c r="H348" s="14" t="n">
        <v>22210</v>
      </c>
      <c r="I348" s="14" t="n">
        <v>21750.65</v>
      </c>
      <c r="J348" s="24" t="n">
        <v>1.207</v>
      </c>
      <c r="K348" s="19" t="n">
        <v>0</v>
      </c>
      <c r="L348" s="13" t="str">
        <f aca="false">IF(D348&gt;=Inputs!$C$14,"Near-prime","Non-prime")</f>
        <v>Near-prime</v>
      </c>
      <c r="M348" s="19" t="n">
        <f aca="false">IF(K348&lt;=Inputs!$C$19,1,0)</f>
        <v>1</v>
      </c>
      <c r="N348" s="19" t="n">
        <f aca="false">IF(F348&lt;=Inputs!$C$20,1,0)</f>
        <v>1</v>
      </c>
      <c r="O348" s="19" t="n">
        <f aca="false">IF(J348&lt;=Inputs!$C$21,1,0)</f>
        <v>1</v>
      </c>
      <c r="P348" s="19" t="n">
        <f aca="false">IF(D348&gt;=Inputs!$C$22,1,0)</f>
        <v>1</v>
      </c>
      <c r="Q348" s="19" t="n">
        <f aca="false">IF(I348&lt;=Inputs!$C$23,1,0)</f>
        <v>1</v>
      </c>
      <c r="R348" s="19" t="n">
        <f aca="false">M348*N348*O348*P348*Q348</f>
        <v>1</v>
      </c>
      <c r="S348" s="14" t="n">
        <f aca="false">I348*R348</f>
        <v>21750.65</v>
      </c>
      <c r="T348" s="19" t="n">
        <f aca="false">IF(F348&gt;72,1,0)</f>
        <v>1</v>
      </c>
      <c r="U348" s="19" t="n">
        <f aca="false">IF(J348&gt;1.25,1,0)</f>
        <v>0</v>
      </c>
    </row>
    <row r="349" customFormat="false" ht="15" hidden="false" customHeight="false" outlineLevel="0" collapsed="false">
      <c r="B349" s="13" t="s">
        <v>569</v>
      </c>
      <c r="C349" s="13" t="s">
        <v>219</v>
      </c>
      <c r="D349" s="19" t="n">
        <v>631</v>
      </c>
      <c r="E349" s="23" t="n">
        <v>0.2111</v>
      </c>
      <c r="F349" s="19" t="n">
        <v>60</v>
      </c>
      <c r="G349" s="19" t="n">
        <v>6</v>
      </c>
      <c r="H349" s="14" t="n">
        <v>29980</v>
      </c>
      <c r="I349" s="14" t="n">
        <v>28189.76</v>
      </c>
      <c r="J349" s="24" t="n">
        <v>1.179</v>
      </c>
      <c r="K349" s="19" t="n">
        <v>30</v>
      </c>
      <c r="L349" s="13" t="str">
        <f aca="false">IF(D349&gt;=Inputs!$C$14,"Near-prime","Non-prime")</f>
        <v>Near-prime</v>
      </c>
      <c r="M349" s="19" t="n">
        <f aca="false">IF(K349&lt;=Inputs!$C$19,1,0)</f>
        <v>1</v>
      </c>
      <c r="N349" s="19" t="n">
        <f aca="false">IF(F349&lt;=Inputs!$C$20,1,0)</f>
        <v>1</v>
      </c>
      <c r="O349" s="19" t="n">
        <f aca="false">IF(J349&lt;=Inputs!$C$21,1,0)</f>
        <v>1</v>
      </c>
      <c r="P349" s="19" t="n">
        <f aca="false">IF(D349&gt;=Inputs!$C$22,1,0)</f>
        <v>1</v>
      </c>
      <c r="Q349" s="19" t="n">
        <f aca="false">IF(I349&lt;=Inputs!$C$23,1,0)</f>
        <v>1</v>
      </c>
      <c r="R349" s="19" t="n">
        <f aca="false">M349*N349*O349*P349*Q349</f>
        <v>1</v>
      </c>
      <c r="S349" s="14" t="n">
        <f aca="false">I349*R349</f>
        <v>28189.76</v>
      </c>
      <c r="T349" s="19" t="n">
        <f aca="false">IF(F349&gt;72,1,0)</f>
        <v>0</v>
      </c>
      <c r="U349" s="19" t="n">
        <f aca="false">IF(J349&gt;1.25,1,0)</f>
        <v>0</v>
      </c>
    </row>
    <row r="350" customFormat="false" ht="15" hidden="false" customHeight="false" outlineLevel="0" collapsed="false">
      <c r="B350" s="13" t="s">
        <v>570</v>
      </c>
      <c r="C350" s="13" t="s">
        <v>237</v>
      </c>
      <c r="D350" s="19" t="n">
        <v>600</v>
      </c>
      <c r="E350" s="23" t="n">
        <v>0.2214</v>
      </c>
      <c r="F350" s="19" t="n">
        <v>48</v>
      </c>
      <c r="G350" s="19" t="n">
        <v>7</v>
      </c>
      <c r="H350" s="14" t="n">
        <v>30020</v>
      </c>
      <c r="I350" s="14" t="n">
        <v>27102.89</v>
      </c>
      <c r="J350" s="24" t="n">
        <v>0.99</v>
      </c>
      <c r="K350" s="19" t="n">
        <v>0</v>
      </c>
      <c r="L350" s="13" t="str">
        <f aca="false">IF(D350&gt;=Inputs!$C$14,"Near-prime","Non-prime")</f>
        <v>Non-prime</v>
      </c>
      <c r="M350" s="19" t="n">
        <f aca="false">IF(K350&lt;=Inputs!$C$19,1,0)</f>
        <v>1</v>
      </c>
      <c r="N350" s="19" t="n">
        <f aca="false">IF(F350&lt;=Inputs!$C$20,1,0)</f>
        <v>1</v>
      </c>
      <c r="O350" s="19" t="n">
        <f aca="false">IF(J350&lt;=Inputs!$C$21,1,0)</f>
        <v>1</v>
      </c>
      <c r="P350" s="19" t="n">
        <f aca="false">IF(D350&gt;=Inputs!$C$22,1,0)</f>
        <v>1</v>
      </c>
      <c r="Q350" s="19" t="n">
        <f aca="false">IF(I350&lt;=Inputs!$C$23,1,0)</f>
        <v>1</v>
      </c>
      <c r="R350" s="19" t="n">
        <f aca="false">M350*N350*O350*P350*Q350</f>
        <v>1</v>
      </c>
      <c r="S350" s="14" t="n">
        <f aca="false">I350*R350</f>
        <v>27102.89</v>
      </c>
      <c r="T350" s="19" t="n">
        <f aca="false">IF(F350&gt;72,1,0)</f>
        <v>0</v>
      </c>
      <c r="U350" s="19" t="n">
        <f aca="false">IF(J350&gt;1.25,1,0)</f>
        <v>0</v>
      </c>
    </row>
    <row r="351" customFormat="false" ht="15" hidden="false" customHeight="false" outlineLevel="0" collapsed="false">
      <c r="B351" s="13" t="s">
        <v>571</v>
      </c>
      <c r="C351" s="13" t="s">
        <v>221</v>
      </c>
      <c r="D351" s="19" t="n">
        <v>732</v>
      </c>
      <c r="E351" s="23" t="n">
        <v>0.1829</v>
      </c>
      <c r="F351" s="19" t="n">
        <v>60</v>
      </c>
      <c r="G351" s="19" t="n">
        <v>7</v>
      </c>
      <c r="H351" s="14" t="n">
        <v>34870</v>
      </c>
      <c r="I351" s="14" t="n">
        <v>32235.45</v>
      </c>
      <c r="J351" s="24" t="n">
        <v>1.095</v>
      </c>
      <c r="K351" s="19" t="n">
        <v>0</v>
      </c>
      <c r="L351" s="13" t="str">
        <f aca="false">IF(D351&gt;=Inputs!$C$14,"Near-prime","Non-prime")</f>
        <v>Near-prime</v>
      </c>
      <c r="M351" s="19" t="n">
        <f aca="false">IF(K351&lt;=Inputs!$C$19,1,0)</f>
        <v>1</v>
      </c>
      <c r="N351" s="19" t="n">
        <f aca="false">IF(F351&lt;=Inputs!$C$20,1,0)</f>
        <v>1</v>
      </c>
      <c r="O351" s="19" t="n">
        <f aca="false">IF(J351&lt;=Inputs!$C$21,1,0)</f>
        <v>1</v>
      </c>
      <c r="P351" s="19" t="n">
        <f aca="false">IF(D351&gt;=Inputs!$C$22,1,0)</f>
        <v>1</v>
      </c>
      <c r="Q351" s="19" t="n">
        <f aca="false">IF(I351&lt;=Inputs!$C$23,1,0)</f>
        <v>1</v>
      </c>
      <c r="R351" s="19" t="n">
        <f aca="false">M351*N351*O351*P351*Q351</f>
        <v>1</v>
      </c>
      <c r="S351" s="14" t="n">
        <f aca="false">I351*R351</f>
        <v>32235.45</v>
      </c>
      <c r="T351" s="19" t="n">
        <f aca="false">IF(F351&gt;72,1,0)</f>
        <v>0</v>
      </c>
      <c r="U351" s="19" t="n">
        <f aca="false">IF(J351&gt;1.25,1,0)</f>
        <v>0</v>
      </c>
    </row>
    <row r="352" customFormat="false" ht="15" hidden="false" customHeight="false" outlineLevel="0" collapsed="false">
      <c r="B352" s="13" t="s">
        <v>572</v>
      </c>
      <c r="C352" s="13" t="s">
        <v>221</v>
      </c>
      <c r="D352" s="19" t="n">
        <v>636</v>
      </c>
      <c r="E352" s="23" t="n">
        <v>0.2043</v>
      </c>
      <c r="F352" s="19" t="n">
        <v>66</v>
      </c>
      <c r="G352" s="19" t="n">
        <v>7</v>
      </c>
      <c r="H352" s="14" t="n">
        <v>16510</v>
      </c>
      <c r="I352" s="14" t="n">
        <v>15498.34</v>
      </c>
      <c r="J352" s="24" t="n">
        <v>1.178</v>
      </c>
      <c r="K352" s="19" t="n">
        <v>45</v>
      </c>
      <c r="L352" s="13" t="str">
        <f aca="false">IF(D352&gt;=Inputs!$C$14,"Near-prime","Non-prime")</f>
        <v>Near-prime</v>
      </c>
      <c r="M352" s="19" t="n">
        <f aca="false">IF(K352&lt;=Inputs!$C$19,1,0)</f>
        <v>1</v>
      </c>
      <c r="N352" s="19" t="n">
        <f aca="false">IF(F352&lt;=Inputs!$C$20,1,0)</f>
        <v>1</v>
      </c>
      <c r="O352" s="19" t="n">
        <f aca="false">IF(J352&lt;=Inputs!$C$21,1,0)</f>
        <v>1</v>
      </c>
      <c r="P352" s="19" t="n">
        <f aca="false">IF(D352&gt;=Inputs!$C$22,1,0)</f>
        <v>1</v>
      </c>
      <c r="Q352" s="19" t="n">
        <f aca="false">IF(I352&lt;=Inputs!$C$23,1,0)</f>
        <v>1</v>
      </c>
      <c r="R352" s="19" t="n">
        <f aca="false">M352*N352*O352*P352*Q352</f>
        <v>1</v>
      </c>
      <c r="S352" s="14" t="n">
        <f aca="false">I352*R352</f>
        <v>15498.34</v>
      </c>
      <c r="T352" s="19" t="n">
        <f aca="false">IF(F352&gt;72,1,0)</f>
        <v>0</v>
      </c>
      <c r="U352" s="19" t="n">
        <f aca="false">IF(J352&gt;1.25,1,0)</f>
        <v>0</v>
      </c>
    </row>
    <row r="353" customFormat="false" ht="15" hidden="false" customHeight="false" outlineLevel="0" collapsed="false">
      <c r="B353" s="13" t="s">
        <v>573</v>
      </c>
      <c r="C353" s="13" t="s">
        <v>217</v>
      </c>
      <c r="D353" s="19" t="n">
        <v>584</v>
      </c>
      <c r="E353" s="23" t="n">
        <v>0.2236</v>
      </c>
      <c r="F353" s="19" t="n">
        <v>84</v>
      </c>
      <c r="G353" s="19" t="n">
        <v>1</v>
      </c>
      <c r="H353" s="14" t="n">
        <v>26190</v>
      </c>
      <c r="I353" s="14" t="n">
        <v>26058.65</v>
      </c>
      <c r="J353" s="24" t="n">
        <v>1.055</v>
      </c>
      <c r="K353" s="19" t="n">
        <v>15</v>
      </c>
      <c r="L353" s="13" t="str">
        <f aca="false">IF(D353&gt;=Inputs!$C$14,"Near-prime","Non-prime")</f>
        <v>Non-prime</v>
      </c>
      <c r="M353" s="19" t="n">
        <f aca="false">IF(K353&lt;=Inputs!$C$19,1,0)</f>
        <v>1</v>
      </c>
      <c r="N353" s="19" t="n">
        <f aca="false">IF(F353&lt;=Inputs!$C$20,1,0)</f>
        <v>0</v>
      </c>
      <c r="O353" s="19" t="n">
        <f aca="false">IF(J353&lt;=Inputs!$C$21,1,0)</f>
        <v>1</v>
      </c>
      <c r="P353" s="19" t="n">
        <f aca="false">IF(D353&gt;=Inputs!$C$22,1,0)</f>
        <v>1</v>
      </c>
      <c r="Q353" s="19" t="n">
        <f aca="false">IF(I353&lt;=Inputs!$C$23,1,0)</f>
        <v>1</v>
      </c>
      <c r="R353" s="19" t="n">
        <f aca="false">M353*N353*O353*P353*Q353</f>
        <v>0</v>
      </c>
      <c r="S353" s="14" t="n">
        <f aca="false">I353*R353</f>
        <v>0</v>
      </c>
      <c r="T353" s="19" t="n">
        <f aca="false">IF(F353&gt;72,1,0)</f>
        <v>1</v>
      </c>
      <c r="U353" s="19" t="n">
        <f aca="false">IF(J353&gt;1.25,1,0)</f>
        <v>0</v>
      </c>
    </row>
    <row r="354" customFormat="false" ht="15" hidden="false" customHeight="false" outlineLevel="0" collapsed="false">
      <c r="B354" s="13" t="s">
        <v>574</v>
      </c>
      <c r="C354" s="13" t="s">
        <v>217</v>
      </c>
      <c r="D354" s="19" t="n">
        <v>635</v>
      </c>
      <c r="E354" s="23" t="n">
        <v>0.2349</v>
      </c>
      <c r="F354" s="19" t="n">
        <v>84</v>
      </c>
      <c r="G354" s="19" t="n">
        <v>9</v>
      </c>
      <c r="H354" s="14" t="n">
        <v>24600</v>
      </c>
      <c r="I354" s="14" t="n">
        <v>23455.11</v>
      </c>
      <c r="J354" s="24" t="n">
        <v>1.203</v>
      </c>
      <c r="K354" s="19" t="n">
        <v>0</v>
      </c>
      <c r="L354" s="13" t="str">
        <f aca="false">IF(D354&gt;=Inputs!$C$14,"Near-prime","Non-prime")</f>
        <v>Near-prime</v>
      </c>
      <c r="M354" s="19" t="n">
        <f aca="false">IF(K354&lt;=Inputs!$C$19,1,0)</f>
        <v>1</v>
      </c>
      <c r="N354" s="19" t="n">
        <f aca="false">IF(F354&lt;=Inputs!$C$20,1,0)</f>
        <v>0</v>
      </c>
      <c r="O354" s="19" t="n">
        <f aca="false">IF(J354&lt;=Inputs!$C$21,1,0)</f>
        <v>1</v>
      </c>
      <c r="P354" s="19" t="n">
        <f aca="false">IF(D354&gt;=Inputs!$C$22,1,0)</f>
        <v>1</v>
      </c>
      <c r="Q354" s="19" t="n">
        <f aca="false">IF(I354&lt;=Inputs!$C$23,1,0)</f>
        <v>1</v>
      </c>
      <c r="R354" s="19" t="n">
        <f aca="false">M354*N354*O354*P354*Q354</f>
        <v>0</v>
      </c>
      <c r="S354" s="14" t="n">
        <f aca="false">I354*R354</f>
        <v>0</v>
      </c>
      <c r="T354" s="19" t="n">
        <f aca="false">IF(F354&gt;72,1,0)</f>
        <v>1</v>
      </c>
      <c r="U354" s="19" t="n">
        <f aca="false">IF(J354&gt;1.25,1,0)</f>
        <v>0</v>
      </c>
    </row>
    <row r="355" customFormat="false" ht="15" hidden="false" customHeight="false" outlineLevel="0" collapsed="false">
      <c r="B355" s="13" t="s">
        <v>575</v>
      </c>
      <c r="C355" s="13" t="s">
        <v>226</v>
      </c>
      <c r="D355" s="19" t="n">
        <v>663</v>
      </c>
      <c r="E355" s="23" t="n">
        <v>0.211</v>
      </c>
      <c r="F355" s="19" t="n">
        <v>60</v>
      </c>
      <c r="G355" s="19" t="n">
        <v>6</v>
      </c>
      <c r="H355" s="14" t="n">
        <v>21680</v>
      </c>
      <c r="I355" s="14" t="n">
        <v>20385.05</v>
      </c>
      <c r="J355" s="24" t="n">
        <v>1.138</v>
      </c>
      <c r="K355" s="19" t="n">
        <v>0</v>
      </c>
      <c r="L355" s="13" t="str">
        <f aca="false">IF(D355&gt;=Inputs!$C$14,"Near-prime","Non-prime")</f>
        <v>Near-prime</v>
      </c>
      <c r="M355" s="19" t="n">
        <f aca="false">IF(K355&lt;=Inputs!$C$19,1,0)</f>
        <v>1</v>
      </c>
      <c r="N355" s="19" t="n">
        <f aca="false">IF(F355&lt;=Inputs!$C$20,1,0)</f>
        <v>1</v>
      </c>
      <c r="O355" s="19" t="n">
        <f aca="false">IF(J355&lt;=Inputs!$C$21,1,0)</f>
        <v>1</v>
      </c>
      <c r="P355" s="19" t="n">
        <f aca="false">IF(D355&gt;=Inputs!$C$22,1,0)</f>
        <v>1</v>
      </c>
      <c r="Q355" s="19" t="n">
        <f aca="false">IF(I355&lt;=Inputs!$C$23,1,0)</f>
        <v>1</v>
      </c>
      <c r="R355" s="19" t="n">
        <f aca="false">M355*N355*O355*P355*Q355</f>
        <v>1</v>
      </c>
      <c r="S355" s="14" t="n">
        <f aca="false">I355*R355</f>
        <v>20385.05</v>
      </c>
      <c r="T355" s="19" t="n">
        <f aca="false">IF(F355&gt;72,1,0)</f>
        <v>0</v>
      </c>
      <c r="U355" s="19" t="n">
        <f aca="false">IF(J355&gt;1.25,1,0)</f>
        <v>0</v>
      </c>
    </row>
    <row r="356" customFormat="false" ht="15" hidden="false" customHeight="false" outlineLevel="0" collapsed="false">
      <c r="B356" s="13" t="s">
        <v>576</v>
      </c>
      <c r="C356" s="13" t="s">
        <v>217</v>
      </c>
      <c r="D356" s="19" t="n">
        <v>609</v>
      </c>
      <c r="E356" s="23" t="n">
        <v>0.219</v>
      </c>
      <c r="F356" s="19" t="n">
        <v>72</v>
      </c>
      <c r="G356" s="19" t="n">
        <v>6</v>
      </c>
      <c r="H356" s="14" t="n">
        <v>26550</v>
      </c>
      <c r="I356" s="14" t="n">
        <v>25413.32</v>
      </c>
      <c r="J356" s="24" t="n">
        <v>1.113</v>
      </c>
      <c r="K356" s="19" t="n">
        <v>0</v>
      </c>
      <c r="L356" s="13" t="str">
        <f aca="false">IF(D356&gt;=Inputs!$C$14,"Near-prime","Non-prime")</f>
        <v>Non-prime</v>
      </c>
      <c r="M356" s="19" t="n">
        <f aca="false">IF(K356&lt;=Inputs!$C$19,1,0)</f>
        <v>1</v>
      </c>
      <c r="N356" s="19" t="n">
        <f aca="false">IF(F356&lt;=Inputs!$C$20,1,0)</f>
        <v>1</v>
      </c>
      <c r="O356" s="19" t="n">
        <f aca="false">IF(J356&lt;=Inputs!$C$21,1,0)</f>
        <v>1</v>
      </c>
      <c r="P356" s="19" t="n">
        <f aca="false">IF(D356&gt;=Inputs!$C$22,1,0)</f>
        <v>1</v>
      </c>
      <c r="Q356" s="19" t="n">
        <f aca="false">IF(I356&lt;=Inputs!$C$23,1,0)</f>
        <v>1</v>
      </c>
      <c r="R356" s="19" t="n">
        <f aca="false">M356*N356*O356*P356*Q356</f>
        <v>1</v>
      </c>
      <c r="S356" s="14" t="n">
        <f aca="false">I356*R356</f>
        <v>25413.32</v>
      </c>
      <c r="T356" s="19" t="n">
        <f aca="false">IF(F356&gt;72,1,0)</f>
        <v>0</v>
      </c>
      <c r="U356" s="19" t="n">
        <f aca="false">IF(J356&gt;1.25,1,0)</f>
        <v>0</v>
      </c>
    </row>
    <row r="357" customFormat="false" ht="15" hidden="false" customHeight="false" outlineLevel="0" collapsed="false">
      <c r="B357" s="13" t="s">
        <v>577</v>
      </c>
      <c r="C357" s="13" t="s">
        <v>237</v>
      </c>
      <c r="D357" s="19" t="n">
        <v>668</v>
      </c>
      <c r="E357" s="23" t="n">
        <v>0.2161</v>
      </c>
      <c r="F357" s="19" t="n">
        <v>66</v>
      </c>
      <c r="G357" s="19" t="n">
        <v>8</v>
      </c>
      <c r="H357" s="14" t="n">
        <v>24320</v>
      </c>
      <c r="I357" s="14" t="n">
        <v>22659.4</v>
      </c>
      <c r="J357" s="24" t="n">
        <v>0.992</v>
      </c>
      <c r="K357" s="19" t="n">
        <v>0</v>
      </c>
      <c r="L357" s="13" t="str">
        <f aca="false">IF(D357&gt;=Inputs!$C$14,"Near-prime","Non-prime")</f>
        <v>Near-prime</v>
      </c>
      <c r="M357" s="19" t="n">
        <f aca="false">IF(K357&lt;=Inputs!$C$19,1,0)</f>
        <v>1</v>
      </c>
      <c r="N357" s="19" t="n">
        <f aca="false">IF(F357&lt;=Inputs!$C$20,1,0)</f>
        <v>1</v>
      </c>
      <c r="O357" s="19" t="n">
        <f aca="false">IF(J357&lt;=Inputs!$C$21,1,0)</f>
        <v>1</v>
      </c>
      <c r="P357" s="19" t="n">
        <f aca="false">IF(D357&gt;=Inputs!$C$22,1,0)</f>
        <v>1</v>
      </c>
      <c r="Q357" s="19" t="n">
        <f aca="false">IF(I357&lt;=Inputs!$C$23,1,0)</f>
        <v>1</v>
      </c>
      <c r="R357" s="19" t="n">
        <f aca="false">M357*N357*O357*P357*Q357</f>
        <v>1</v>
      </c>
      <c r="S357" s="14" t="n">
        <f aca="false">I357*R357</f>
        <v>22659.4</v>
      </c>
      <c r="T357" s="19" t="n">
        <f aca="false">IF(F357&gt;72,1,0)</f>
        <v>0</v>
      </c>
      <c r="U357" s="19" t="n">
        <f aca="false">IF(J357&gt;1.25,1,0)</f>
        <v>0</v>
      </c>
    </row>
    <row r="358" customFormat="false" ht="15" hidden="false" customHeight="false" outlineLevel="0" collapsed="false">
      <c r="B358" s="13" t="s">
        <v>578</v>
      </c>
      <c r="C358" s="13" t="s">
        <v>217</v>
      </c>
      <c r="D358" s="19" t="n">
        <v>693</v>
      </c>
      <c r="E358" s="23" t="n">
        <v>0.2177</v>
      </c>
      <c r="F358" s="19" t="n">
        <v>72</v>
      </c>
      <c r="G358" s="19" t="n">
        <v>0</v>
      </c>
      <c r="H358" s="14" t="n">
        <v>17190</v>
      </c>
      <c r="I358" s="14" t="n">
        <v>17190</v>
      </c>
      <c r="J358" s="24" t="n">
        <v>0.949</v>
      </c>
      <c r="K358" s="19" t="n">
        <v>0</v>
      </c>
      <c r="L358" s="13" t="str">
        <f aca="false">IF(D358&gt;=Inputs!$C$14,"Near-prime","Non-prime")</f>
        <v>Near-prime</v>
      </c>
      <c r="M358" s="19" t="n">
        <f aca="false">IF(K358&lt;=Inputs!$C$19,1,0)</f>
        <v>1</v>
      </c>
      <c r="N358" s="19" t="n">
        <f aca="false">IF(F358&lt;=Inputs!$C$20,1,0)</f>
        <v>1</v>
      </c>
      <c r="O358" s="19" t="n">
        <f aca="false">IF(J358&lt;=Inputs!$C$21,1,0)</f>
        <v>1</v>
      </c>
      <c r="P358" s="19" t="n">
        <f aca="false">IF(D358&gt;=Inputs!$C$22,1,0)</f>
        <v>1</v>
      </c>
      <c r="Q358" s="19" t="n">
        <f aca="false">IF(I358&lt;=Inputs!$C$23,1,0)</f>
        <v>1</v>
      </c>
      <c r="R358" s="19" t="n">
        <f aca="false">M358*N358*O358*P358*Q358</f>
        <v>1</v>
      </c>
      <c r="S358" s="14" t="n">
        <f aca="false">I358*R358</f>
        <v>17190</v>
      </c>
      <c r="T358" s="19" t="n">
        <f aca="false">IF(F358&gt;72,1,0)</f>
        <v>0</v>
      </c>
      <c r="U358" s="19" t="n">
        <f aca="false">IF(J358&gt;1.25,1,0)</f>
        <v>0</v>
      </c>
    </row>
    <row r="359" customFormat="false" ht="15" hidden="false" customHeight="false" outlineLevel="0" collapsed="false">
      <c r="B359" s="13" t="s">
        <v>579</v>
      </c>
      <c r="C359" s="13" t="s">
        <v>221</v>
      </c>
      <c r="D359" s="19" t="n">
        <v>644</v>
      </c>
      <c r="E359" s="23" t="n">
        <v>0.2224</v>
      </c>
      <c r="F359" s="19" t="n">
        <v>75</v>
      </c>
      <c r="G359" s="19" t="n">
        <v>0</v>
      </c>
      <c r="H359" s="14" t="n">
        <v>42130</v>
      </c>
      <c r="I359" s="14" t="n">
        <v>42130</v>
      </c>
      <c r="J359" s="24" t="n">
        <v>0.762</v>
      </c>
      <c r="K359" s="19" t="n">
        <v>0</v>
      </c>
      <c r="L359" s="13" t="str">
        <f aca="false">IF(D359&gt;=Inputs!$C$14,"Near-prime","Non-prime")</f>
        <v>Near-prime</v>
      </c>
      <c r="M359" s="19" t="n">
        <f aca="false">IF(K359&lt;=Inputs!$C$19,1,0)</f>
        <v>1</v>
      </c>
      <c r="N359" s="19" t="n">
        <f aca="false">IF(F359&lt;=Inputs!$C$20,1,0)</f>
        <v>1</v>
      </c>
      <c r="O359" s="19" t="n">
        <f aca="false">IF(J359&lt;=Inputs!$C$21,1,0)</f>
        <v>1</v>
      </c>
      <c r="P359" s="19" t="n">
        <f aca="false">IF(D359&gt;=Inputs!$C$22,1,0)</f>
        <v>1</v>
      </c>
      <c r="Q359" s="19" t="n">
        <f aca="false">IF(I359&lt;=Inputs!$C$23,1,0)</f>
        <v>1</v>
      </c>
      <c r="R359" s="19" t="n">
        <f aca="false">M359*N359*O359*P359*Q359</f>
        <v>1</v>
      </c>
      <c r="S359" s="14" t="n">
        <f aca="false">I359*R359</f>
        <v>42130</v>
      </c>
      <c r="T359" s="19" t="n">
        <f aca="false">IF(F359&gt;72,1,0)</f>
        <v>1</v>
      </c>
      <c r="U359" s="19" t="n">
        <f aca="false">IF(J359&gt;1.25,1,0)</f>
        <v>0</v>
      </c>
    </row>
    <row r="360" customFormat="false" ht="15" hidden="false" customHeight="false" outlineLevel="0" collapsed="false">
      <c r="B360" s="13" t="s">
        <v>580</v>
      </c>
      <c r="C360" s="13" t="s">
        <v>217</v>
      </c>
      <c r="D360" s="19" t="n">
        <v>699</v>
      </c>
      <c r="E360" s="23" t="n">
        <v>0.1838</v>
      </c>
      <c r="F360" s="19" t="n">
        <v>72</v>
      </c>
      <c r="G360" s="19" t="n">
        <v>1</v>
      </c>
      <c r="H360" s="14" t="n">
        <v>41770</v>
      </c>
      <c r="I360" s="14" t="n">
        <v>41448.1</v>
      </c>
      <c r="J360" s="24" t="n">
        <v>0.766</v>
      </c>
      <c r="K360" s="19" t="n">
        <v>0</v>
      </c>
      <c r="L360" s="13" t="str">
        <f aca="false">IF(D360&gt;=Inputs!$C$14,"Near-prime","Non-prime")</f>
        <v>Near-prime</v>
      </c>
      <c r="M360" s="19" t="n">
        <f aca="false">IF(K360&lt;=Inputs!$C$19,1,0)</f>
        <v>1</v>
      </c>
      <c r="N360" s="19" t="n">
        <f aca="false">IF(F360&lt;=Inputs!$C$20,1,0)</f>
        <v>1</v>
      </c>
      <c r="O360" s="19" t="n">
        <f aca="false">IF(J360&lt;=Inputs!$C$21,1,0)</f>
        <v>1</v>
      </c>
      <c r="P360" s="19" t="n">
        <f aca="false">IF(D360&gt;=Inputs!$C$22,1,0)</f>
        <v>1</v>
      </c>
      <c r="Q360" s="19" t="n">
        <f aca="false">IF(I360&lt;=Inputs!$C$23,1,0)</f>
        <v>1</v>
      </c>
      <c r="R360" s="19" t="n">
        <f aca="false">M360*N360*O360*P360*Q360</f>
        <v>1</v>
      </c>
      <c r="S360" s="14" t="n">
        <f aca="false">I360*R360</f>
        <v>41448.1</v>
      </c>
      <c r="T360" s="19" t="n">
        <f aca="false">IF(F360&gt;72,1,0)</f>
        <v>0</v>
      </c>
      <c r="U360" s="19" t="n">
        <f aca="false">IF(J360&gt;1.25,1,0)</f>
        <v>0</v>
      </c>
    </row>
    <row r="361" customFormat="false" ht="15" hidden="false" customHeight="false" outlineLevel="0" collapsed="false">
      <c r="B361" s="13" t="s">
        <v>581</v>
      </c>
      <c r="C361" s="13" t="s">
        <v>219</v>
      </c>
      <c r="D361" s="19" t="n">
        <v>641</v>
      </c>
      <c r="E361" s="23" t="n">
        <v>0.2297</v>
      </c>
      <c r="F361" s="19" t="n">
        <v>66</v>
      </c>
      <c r="G361" s="19" t="n">
        <v>8</v>
      </c>
      <c r="H361" s="14" t="n">
        <v>15500</v>
      </c>
      <c r="I361" s="14" t="n">
        <v>14482.55</v>
      </c>
      <c r="J361" s="24" t="n">
        <v>0.862</v>
      </c>
      <c r="K361" s="19" t="n">
        <v>0</v>
      </c>
      <c r="L361" s="13" t="str">
        <f aca="false">IF(D361&gt;=Inputs!$C$14,"Near-prime","Non-prime")</f>
        <v>Near-prime</v>
      </c>
      <c r="M361" s="19" t="n">
        <f aca="false">IF(K361&lt;=Inputs!$C$19,1,0)</f>
        <v>1</v>
      </c>
      <c r="N361" s="19" t="n">
        <f aca="false">IF(F361&lt;=Inputs!$C$20,1,0)</f>
        <v>1</v>
      </c>
      <c r="O361" s="19" t="n">
        <f aca="false">IF(J361&lt;=Inputs!$C$21,1,0)</f>
        <v>1</v>
      </c>
      <c r="P361" s="19" t="n">
        <f aca="false">IF(D361&gt;=Inputs!$C$22,1,0)</f>
        <v>1</v>
      </c>
      <c r="Q361" s="19" t="n">
        <f aca="false">IF(I361&lt;=Inputs!$C$23,1,0)</f>
        <v>1</v>
      </c>
      <c r="R361" s="19" t="n">
        <f aca="false">M361*N361*O361*P361*Q361</f>
        <v>1</v>
      </c>
      <c r="S361" s="14" t="n">
        <f aca="false">I361*R361</f>
        <v>14482.55</v>
      </c>
      <c r="T361" s="19" t="n">
        <f aca="false">IF(F361&gt;72,1,0)</f>
        <v>0</v>
      </c>
      <c r="U361" s="19" t="n">
        <f aca="false">IF(J361&gt;1.25,1,0)</f>
        <v>0</v>
      </c>
    </row>
    <row r="362" customFormat="false" ht="15" hidden="false" customHeight="false" outlineLevel="0" collapsed="false">
      <c r="B362" s="13" t="s">
        <v>582</v>
      </c>
      <c r="C362" s="13" t="s">
        <v>223</v>
      </c>
      <c r="D362" s="19" t="n">
        <v>622</v>
      </c>
      <c r="E362" s="23" t="n">
        <v>0.2237</v>
      </c>
      <c r="F362" s="19" t="n">
        <v>48</v>
      </c>
      <c r="G362" s="19" t="n">
        <v>9</v>
      </c>
      <c r="H362" s="14" t="n">
        <v>29010</v>
      </c>
      <c r="I362" s="14" t="n">
        <v>25332.95</v>
      </c>
      <c r="J362" s="24" t="n">
        <v>1.09</v>
      </c>
      <c r="K362" s="19" t="n">
        <v>0</v>
      </c>
      <c r="L362" s="13" t="str">
        <f aca="false">IF(D362&gt;=Inputs!$C$14,"Near-prime","Non-prime")</f>
        <v>Near-prime</v>
      </c>
      <c r="M362" s="19" t="n">
        <f aca="false">IF(K362&lt;=Inputs!$C$19,1,0)</f>
        <v>1</v>
      </c>
      <c r="N362" s="19" t="n">
        <f aca="false">IF(F362&lt;=Inputs!$C$20,1,0)</f>
        <v>1</v>
      </c>
      <c r="O362" s="19" t="n">
        <f aca="false">IF(J362&lt;=Inputs!$C$21,1,0)</f>
        <v>1</v>
      </c>
      <c r="P362" s="19" t="n">
        <f aca="false">IF(D362&gt;=Inputs!$C$22,1,0)</f>
        <v>1</v>
      </c>
      <c r="Q362" s="19" t="n">
        <f aca="false">IF(I362&lt;=Inputs!$C$23,1,0)</f>
        <v>1</v>
      </c>
      <c r="R362" s="19" t="n">
        <f aca="false">M362*N362*O362*P362*Q362</f>
        <v>1</v>
      </c>
      <c r="S362" s="14" t="n">
        <f aca="false">I362*R362</f>
        <v>25332.95</v>
      </c>
      <c r="T362" s="19" t="n">
        <f aca="false">IF(F362&gt;72,1,0)</f>
        <v>0</v>
      </c>
      <c r="U362" s="19" t="n">
        <f aca="false">IF(J362&gt;1.25,1,0)</f>
        <v>0</v>
      </c>
    </row>
    <row r="363" customFormat="false" ht="15" hidden="false" customHeight="false" outlineLevel="0" collapsed="false">
      <c r="B363" s="13" t="s">
        <v>583</v>
      </c>
      <c r="C363" s="13" t="s">
        <v>221</v>
      </c>
      <c r="D363" s="19" t="n">
        <v>729</v>
      </c>
      <c r="E363" s="23" t="n">
        <v>0.1747</v>
      </c>
      <c r="F363" s="19" t="n">
        <v>75</v>
      </c>
      <c r="G363" s="19" t="n">
        <v>2</v>
      </c>
      <c r="H363" s="14" t="n">
        <v>18990</v>
      </c>
      <c r="I363" s="14" t="n">
        <v>18705.33</v>
      </c>
      <c r="J363" s="24" t="n">
        <v>0.957</v>
      </c>
      <c r="K363" s="19" t="n">
        <v>0</v>
      </c>
      <c r="L363" s="13" t="str">
        <f aca="false">IF(D363&gt;=Inputs!$C$14,"Near-prime","Non-prime")</f>
        <v>Near-prime</v>
      </c>
      <c r="M363" s="19" t="n">
        <f aca="false">IF(K363&lt;=Inputs!$C$19,1,0)</f>
        <v>1</v>
      </c>
      <c r="N363" s="19" t="n">
        <f aca="false">IF(F363&lt;=Inputs!$C$20,1,0)</f>
        <v>1</v>
      </c>
      <c r="O363" s="19" t="n">
        <f aca="false">IF(J363&lt;=Inputs!$C$21,1,0)</f>
        <v>1</v>
      </c>
      <c r="P363" s="19" t="n">
        <f aca="false">IF(D363&gt;=Inputs!$C$22,1,0)</f>
        <v>1</v>
      </c>
      <c r="Q363" s="19" t="n">
        <f aca="false">IF(I363&lt;=Inputs!$C$23,1,0)</f>
        <v>1</v>
      </c>
      <c r="R363" s="19" t="n">
        <f aca="false">M363*N363*O363*P363*Q363</f>
        <v>1</v>
      </c>
      <c r="S363" s="14" t="n">
        <f aca="false">I363*R363</f>
        <v>18705.33</v>
      </c>
      <c r="T363" s="19" t="n">
        <f aca="false">IF(F363&gt;72,1,0)</f>
        <v>1</v>
      </c>
      <c r="U363" s="19" t="n">
        <f aca="false">IF(J363&gt;1.25,1,0)</f>
        <v>0</v>
      </c>
    </row>
    <row r="364" customFormat="false" ht="15" hidden="false" customHeight="false" outlineLevel="0" collapsed="false">
      <c r="B364" s="13" t="s">
        <v>584</v>
      </c>
      <c r="C364" s="13" t="s">
        <v>223</v>
      </c>
      <c r="D364" s="19" t="n">
        <v>679</v>
      </c>
      <c r="E364" s="23" t="n">
        <v>0.1966</v>
      </c>
      <c r="F364" s="19" t="n">
        <v>75</v>
      </c>
      <c r="G364" s="19" t="n">
        <v>1</v>
      </c>
      <c r="H364" s="14" t="n">
        <v>31630</v>
      </c>
      <c r="I364" s="14" t="n">
        <v>31412.55</v>
      </c>
      <c r="J364" s="24" t="n">
        <v>1.025</v>
      </c>
      <c r="K364" s="19" t="n">
        <v>0</v>
      </c>
      <c r="L364" s="13" t="str">
        <f aca="false">IF(D364&gt;=Inputs!$C$14,"Near-prime","Non-prime")</f>
        <v>Near-prime</v>
      </c>
      <c r="M364" s="19" t="n">
        <f aca="false">IF(K364&lt;=Inputs!$C$19,1,0)</f>
        <v>1</v>
      </c>
      <c r="N364" s="19" t="n">
        <f aca="false">IF(F364&lt;=Inputs!$C$20,1,0)</f>
        <v>1</v>
      </c>
      <c r="O364" s="19" t="n">
        <f aca="false">IF(J364&lt;=Inputs!$C$21,1,0)</f>
        <v>1</v>
      </c>
      <c r="P364" s="19" t="n">
        <f aca="false">IF(D364&gt;=Inputs!$C$22,1,0)</f>
        <v>1</v>
      </c>
      <c r="Q364" s="19" t="n">
        <f aca="false">IF(I364&lt;=Inputs!$C$23,1,0)</f>
        <v>1</v>
      </c>
      <c r="R364" s="19" t="n">
        <f aca="false">M364*N364*O364*P364*Q364</f>
        <v>1</v>
      </c>
      <c r="S364" s="14" t="n">
        <f aca="false">I364*R364</f>
        <v>31412.55</v>
      </c>
      <c r="T364" s="19" t="n">
        <f aca="false">IF(F364&gt;72,1,0)</f>
        <v>1</v>
      </c>
      <c r="U364" s="19" t="n">
        <f aca="false">IF(J364&gt;1.25,1,0)</f>
        <v>0</v>
      </c>
    </row>
    <row r="365" customFormat="false" ht="15" hidden="false" customHeight="false" outlineLevel="0" collapsed="false">
      <c r="B365" s="13" t="s">
        <v>585</v>
      </c>
      <c r="C365" s="13" t="s">
        <v>221</v>
      </c>
      <c r="D365" s="19" t="n">
        <v>652</v>
      </c>
      <c r="E365" s="23" t="n">
        <v>0.1805</v>
      </c>
      <c r="F365" s="19" t="n">
        <v>72</v>
      </c>
      <c r="G365" s="19" t="n">
        <v>8</v>
      </c>
      <c r="H365" s="14" t="n">
        <v>18150</v>
      </c>
      <c r="I365" s="14" t="n">
        <v>16956.84</v>
      </c>
      <c r="J365" s="24" t="n">
        <v>1.108</v>
      </c>
      <c r="K365" s="19" t="n">
        <v>0</v>
      </c>
      <c r="L365" s="13" t="str">
        <f aca="false">IF(D365&gt;=Inputs!$C$14,"Near-prime","Non-prime")</f>
        <v>Near-prime</v>
      </c>
      <c r="M365" s="19" t="n">
        <f aca="false">IF(K365&lt;=Inputs!$C$19,1,0)</f>
        <v>1</v>
      </c>
      <c r="N365" s="19" t="n">
        <f aca="false">IF(F365&lt;=Inputs!$C$20,1,0)</f>
        <v>1</v>
      </c>
      <c r="O365" s="19" t="n">
        <f aca="false">IF(J365&lt;=Inputs!$C$21,1,0)</f>
        <v>1</v>
      </c>
      <c r="P365" s="19" t="n">
        <f aca="false">IF(D365&gt;=Inputs!$C$22,1,0)</f>
        <v>1</v>
      </c>
      <c r="Q365" s="19" t="n">
        <f aca="false">IF(I365&lt;=Inputs!$C$23,1,0)</f>
        <v>1</v>
      </c>
      <c r="R365" s="19" t="n">
        <f aca="false">M365*N365*O365*P365*Q365</f>
        <v>1</v>
      </c>
      <c r="S365" s="14" t="n">
        <f aca="false">I365*R365</f>
        <v>16956.84</v>
      </c>
      <c r="T365" s="19" t="n">
        <f aca="false">IF(F365&gt;72,1,0)</f>
        <v>0</v>
      </c>
      <c r="U365" s="19" t="n">
        <f aca="false">IF(J365&gt;1.25,1,0)</f>
        <v>0</v>
      </c>
    </row>
    <row r="366" customFormat="false" ht="15" hidden="false" customHeight="false" outlineLevel="0" collapsed="false">
      <c r="B366" s="13" t="s">
        <v>586</v>
      </c>
      <c r="C366" s="13" t="s">
        <v>219</v>
      </c>
      <c r="D366" s="19" t="n">
        <v>554</v>
      </c>
      <c r="E366" s="23" t="n">
        <v>0.2185</v>
      </c>
      <c r="F366" s="19" t="n">
        <v>75</v>
      </c>
      <c r="G366" s="19" t="n">
        <v>9</v>
      </c>
      <c r="H366" s="14" t="n">
        <v>15830</v>
      </c>
      <c r="I366" s="14" t="n">
        <v>14857.52</v>
      </c>
      <c r="J366" s="24" t="n">
        <v>0.697</v>
      </c>
      <c r="K366" s="19" t="n">
        <v>0</v>
      </c>
      <c r="L366" s="13" t="str">
        <f aca="false">IF(D366&gt;=Inputs!$C$14,"Near-prime","Non-prime")</f>
        <v>Non-prime</v>
      </c>
      <c r="M366" s="19" t="n">
        <f aca="false">IF(K366&lt;=Inputs!$C$19,1,0)</f>
        <v>1</v>
      </c>
      <c r="N366" s="19" t="n">
        <f aca="false">IF(F366&lt;=Inputs!$C$20,1,0)</f>
        <v>1</v>
      </c>
      <c r="O366" s="19" t="n">
        <f aca="false">IF(J366&lt;=Inputs!$C$21,1,0)</f>
        <v>1</v>
      </c>
      <c r="P366" s="19" t="n">
        <f aca="false">IF(D366&gt;=Inputs!$C$22,1,0)</f>
        <v>1</v>
      </c>
      <c r="Q366" s="19" t="n">
        <f aca="false">IF(I366&lt;=Inputs!$C$23,1,0)</f>
        <v>1</v>
      </c>
      <c r="R366" s="19" t="n">
        <f aca="false">M366*N366*O366*P366*Q366</f>
        <v>1</v>
      </c>
      <c r="S366" s="14" t="n">
        <f aca="false">I366*R366</f>
        <v>14857.52</v>
      </c>
      <c r="T366" s="19" t="n">
        <f aca="false">IF(F366&gt;72,1,0)</f>
        <v>1</v>
      </c>
      <c r="U366" s="19" t="n">
        <f aca="false">IF(J366&gt;1.25,1,0)</f>
        <v>0</v>
      </c>
    </row>
    <row r="367" customFormat="false" ht="15" hidden="false" customHeight="false" outlineLevel="0" collapsed="false">
      <c r="B367" s="13" t="s">
        <v>587</v>
      </c>
      <c r="C367" s="13" t="s">
        <v>217</v>
      </c>
      <c r="D367" s="19" t="n">
        <v>575</v>
      </c>
      <c r="E367" s="23" t="n">
        <v>0.2225</v>
      </c>
      <c r="F367" s="19" t="n">
        <v>60</v>
      </c>
      <c r="G367" s="19" t="n">
        <v>6</v>
      </c>
      <c r="H367" s="14" t="n">
        <v>28330</v>
      </c>
      <c r="I367" s="14" t="n">
        <v>26688.39</v>
      </c>
      <c r="J367" s="24" t="n">
        <v>1.042</v>
      </c>
      <c r="K367" s="19" t="n">
        <v>0</v>
      </c>
      <c r="L367" s="13" t="str">
        <f aca="false">IF(D367&gt;=Inputs!$C$14,"Near-prime","Non-prime")</f>
        <v>Non-prime</v>
      </c>
      <c r="M367" s="19" t="n">
        <f aca="false">IF(K367&lt;=Inputs!$C$19,1,0)</f>
        <v>1</v>
      </c>
      <c r="N367" s="19" t="n">
        <f aca="false">IF(F367&lt;=Inputs!$C$20,1,0)</f>
        <v>1</v>
      </c>
      <c r="O367" s="19" t="n">
        <f aca="false">IF(J367&lt;=Inputs!$C$21,1,0)</f>
        <v>1</v>
      </c>
      <c r="P367" s="19" t="n">
        <f aca="false">IF(D367&gt;=Inputs!$C$22,1,0)</f>
        <v>1</v>
      </c>
      <c r="Q367" s="19" t="n">
        <f aca="false">IF(I367&lt;=Inputs!$C$23,1,0)</f>
        <v>1</v>
      </c>
      <c r="R367" s="19" t="n">
        <f aca="false">M367*N367*O367*P367*Q367</f>
        <v>1</v>
      </c>
      <c r="S367" s="14" t="n">
        <f aca="false">I367*R367</f>
        <v>26688.39</v>
      </c>
      <c r="T367" s="19" t="n">
        <f aca="false">IF(F367&gt;72,1,0)</f>
        <v>0</v>
      </c>
      <c r="U367" s="19" t="n">
        <f aca="false">IF(J367&gt;1.25,1,0)</f>
        <v>0</v>
      </c>
    </row>
    <row r="368" customFormat="false" ht="15" hidden="false" customHeight="false" outlineLevel="0" collapsed="false">
      <c r="B368" s="13" t="s">
        <v>588</v>
      </c>
      <c r="C368" s="13" t="s">
        <v>226</v>
      </c>
      <c r="D368" s="19" t="n">
        <v>560</v>
      </c>
      <c r="E368" s="23" t="n">
        <v>0.2303</v>
      </c>
      <c r="F368" s="19" t="n">
        <v>60</v>
      </c>
      <c r="G368" s="19" t="n">
        <v>10</v>
      </c>
      <c r="H368" s="14" t="n">
        <v>19780</v>
      </c>
      <c r="I368" s="14" t="n">
        <v>17834.46</v>
      </c>
      <c r="J368" s="24" t="n">
        <v>1.389</v>
      </c>
      <c r="K368" s="19" t="n">
        <v>0</v>
      </c>
      <c r="L368" s="13" t="str">
        <f aca="false">IF(D368&gt;=Inputs!$C$14,"Near-prime","Non-prime")</f>
        <v>Non-prime</v>
      </c>
      <c r="M368" s="19" t="n">
        <f aca="false">IF(K368&lt;=Inputs!$C$19,1,0)</f>
        <v>1</v>
      </c>
      <c r="N368" s="19" t="n">
        <f aca="false">IF(F368&lt;=Inputs!$C$20,1,0)</f>
        <v>1</v>
      </c>
      <c r="O368" s="19" t="n">
        <f aca="false">IF(J368&lt;=Inputs!$C$21,1,0)</f>
        <v>1</v>
      </c>
      <c r="P368" s="19" t="n">
        <f aca="false">IF(D368&gt;=Inputs!$C$22,1,0)</f>
        <v>1</v>
      </c>
      <c r="Q368" s="19" t="n">
        <f aca="false">IF(I368&lt;=Inputs!$C$23,1,0)</f>
        <v>1</v>
      </c>
      <c r="R368" s="19" t="n">
        <f aca="false">M368*N368*O368*P368*Q368</f>
        <v>1</v>
      </c>
      <c r="S368" s="14" t="n">
        <f aca="false">I368*R368</f>
        <v>17834.46</v>
      </c>
      <c r="T368" s="19" t="n">
        <f aca="false">IF(F368&gt;72,1,0)</f>
        <v>0</v>
      </c>
      <c r="U368" s="19" t="n">
        <f aca="false">IF(J368&gt;1.25,1,0)</f>
        <v>1</v>
      </c>
    </row>
    <row r="369" customFormat="false" ht="15" hidden="false" customHeight="false" outlineLevel="0" collapsed="false">
      <c r="B369" s="13" t="s">
        <v>589</v>
      </c>
      <c r="C369" s="13" t="s">
        <v>226</v>
      </c>
      <c r="D369" s="19" t="n">
        <v>645</v>
      </c>
      <c r="E369" s="23" t="n">
        <v>0.2034</v>
      </c>
      <c r="F369" s="19" t="n">
        <v>84</v>
      </c>
      <c r="G369" s="19" t="n">
        <v>6</v>
      </c>
      <c r="H369" s="14" t="n">
        <v>25950</v>
      </c>
      <c r="I369" s="14" t="n">
        <v>25062.81</v>
      </c>
      <c r="J369" s="24" t="n">
        <v>1.057</v>
      </c>
      <c r="K369" s="19" t="n">
        <v>0</v>
      </c>
      <c r="L369" s="13" t="str">
        <f aca="false">IF(D369&gt;=Inputs!$C$14,"Near-prime","Non-prime")</f>
        <v>Near-prime</v>
      </c>
      <c r="M369" s="19" t="n">
        <f aca="false">IF(K369&lt;=Inputs!$C$19,1,0)</f>
        <v>1</v>
      </c>
      <c r="N369" s="19" t="n">
        <f aca="false">IF(F369&lt;=Inputs!$C$20,1,0)</f>
        <v>0</v>
      </c>
      <c r="O369" s="19" t="n">
        <f aca="false">IF(J369&lt;=Inputs!$C$21,1,0)</f>
        <v>1</v>
      </c>
      <c r="P369" s="19" t="n">
        <f aca="false">IF(D369&gt;=Inputs!$C$22,1,0)</f>
        <v>1</v>
      </c>
      <c r="Q369" s="19" t="n">
        <f aca="false">IF(I369&lt;=Inputs!$C$23,1,0)</f>
        <v>1</v>
      </c>
      <c r="R369" s="19" t="n">
        <f aca="false">M369*N369*O369*P369*Q369</f>
        <v>0</v>
      </c>
      <c r="S369" s="14" t="n">
        <f aca="false">I369*R369</f>
        <v>0</v>
      </c>
      <c r="T369" s="19" t="n">
        <f aca="false">IF(F369&gt;72,1,0)</f>
        <v>1</v>
      </c>
      <c r="U369" s="19" t="n">
        <f aca="false">IF(J369&gt;1.25,1,0)</f>
        <v>0</v>
      </c>
    </row>
    <row r="370" customFormat="false" ht="15" hidden="false" customHeight="false" outlineLevel="0" collapsed="false">
      <c r="B370" s="13" t="s">
        <v>590</v>
      </c>
      <c r="C370" s="13" t="s">
        <v>228</v>
      </c>
      <c r="D370" s="19" t="n">
        <v>645</v>
      </c>
      <c r="E370" s="23" t="n">
        <v>0.2104</v>
      </c>
      <c r="F370" s="19" t="n">
        <v>60</v>
      </c>
      <c r="G370" s="19" t="n">
        <v>5</v>
      </c>
      <c r="H370" s="14" t="n">
        <v>20430</v>
      </c>
      <c r="I370" s="14" t="n">
        <v>19420.44</v>
      </c>
      <c r="J370" s="24" t="n">
        <v>0.943</v>
      </c>
      <c r="K370" s="19" t="n">
        <v>0</v>
      </c>
      <c r="L370" s="13" t="str">
        <f aca="false">IF(D370&gt;=Inputs!$C$14,"Near-prime","Non-prime")</f>
        <v>Near-prime</v>
      </c>
      <c r="M370" s="19" t="n">
        <f aca="false">IF(K370&lt;=Inputs!$C$19,1,0)</f>
        <v>1</v>
      </c>
      <c r="N370" s="19" t="n">
        <f aca="false">IF(F370&lt;=Inputs!$C$20,1,0)</f>
        <v>1</v>
      </c>
      <c r="O370" s="19" t="n">
        <f aca="false">IF(J370&lt;=Inputs!$C$21,1,0)</f>
        <v>1</v>
      </c>
      <c r="P370" s="19" t="n">
        <f aca="false">IF(D370&gt;=Inputs!$C$22,1,0)</f>
        <v>1</v>
      </c>
      <c r="Q370" s="19" t="n">
        <f aca="false">IF(I370&lt;=Inputs!$C$23,1,0)</f>
        <v>1</v>
      </c>
      <c r="R370" s="19" t="n">
        <f aca="false">M370*N370*O370*P370*Q370</f>
        <v>1</v>
      </c>
      <c r="S370" s="14" t="n">
        <f aca="false">I370*R370</f>
        <v>19420.44</v>
      </c>
      <c r="T370" s="19" t="n">
        <f aca="false">IF(F370&gt;72,1,0)</f>
        <v>0</v>
      </c>
      <c r="U370" s="19" t="n">
        <f aca="false">IF(J370&gt;1.25,1,0)</f>
        <v>0</v>
      </c>
    </row>
    <row r="371" customFormat="false" ht="15" hidden="false" customHeight="false" outlineLevel="0" collapsed="false">
      <c r="B371" s="13" t="s">
        <v>591</v>
      </c>
      <c r="C371" s="13" t="s">
        <v>223</v>
      </c>
      <c r="D371" s="19" t="n">
        <v>668</v>
      </c>
      <c r="E371" s="23" t="n">
        <v>0.1968</v>
      </c>
      <c r="F371" s="19" t="n">
        <v>66</v>
      </c>
      <c r="G371" s="19" t="n">
        <v>1</v>
      </c>
      <c r="H371" s="14" t="n">
        <v>16230</v>
      </c>
      <c r="I371" s="14" t="n">
        <v>16091.8</v>
      </c>
      <c r="J371" s="24" t="n">
        <v>0.998</v>
      </c>
      <c r="K371" s="19" t="n">
        <v>0</v>
      </c>
      <c r="L371" s="13" t="str">
        <f aca="false">IF(D371&gt;=Inputs!$C$14,"Near-prime","Non-prime")</f>
        <v>Near-prime</v>
      </c>
      <c r="M371" s="19" t="n">
        <f aca="false">IF(K371&lt;=Inputs!$C$19,1,0)</f>
        <v>1</v>
      </c>
      <c r="N371" s="19" t="n">
        <f aca="false">IF(F371&lt;=Inputs!$C$20,1,0)</f>
        <v>1</v>
      </c>
      <c r="O371" s="19" t="n">
        <f aca="false">IF(J371&lt;=Inputs!$C$21,1,0)</f>
        <v>1</v>
      </c>
      <c r="P371" s="19" t="n">
        <f aca="false">IF(D371&gt;=Inputs!$C$22,1,0)</f>
        <v>1</v>
      </c>
      <c r="Q371" s="19" t="n">
        <f aca="false">IF(I371&lt;=Inputs!$C$23,1,0)</f>
        <v>1</v>
      </c>
      <c r="R371" s="19" t="n">
        <f aca="false">M371*N371*O371*P371*Q371</f>
        <v>1</v>
      </c>
      <c r="S371" s="14" t="n">
        <f aca="false">I371*R371</f>
        <v>16091.8</v>
      </c>
      <c r="T371" s="19" t="n">
        <f aca="false">IF(F371&gt;72,1,0)</f>
        <v>0</v>
      </c>
      <c r="U371" s="19" t="n">
        <f aca="false">IF(J371&gt;1.25,1,0)</f>
        <v>0</v>
      </c>
    </row>
    <row r="372" customFormat="false" ht="15" hidden="false" customHeight="false" outlineLevel="0" collapsed="false">
      <c r="B372" s="13" t="s">
        <v>592</v>
      </c>
      <c r="C372" s="13" t="s">
        <v>257</v>
      </c>
      <c r="D372" s="19" t="n">
        <v>700</v>
      </c>
      <c r="E372" s="23" t="n">
        <v>0.2009</v>
      </c>
      <c r="F372" s="19" t="n">
        <v>60</v>
      </c>
      <c r="G372" s="19" t="n">
        <v>4</v>
      </c>
      <c r="H372" s="14" t="n">
        <v>9680</v>
      </c>
      <c r="I372" s="14" t="n">
        <v>9290.82</v>
      </c>
      <c r="J372" s="24" t="n">
        <v>0.886</v>
      </c>
      <c r="K372" s="19" t="n">
        <v>0</v>
      </c>
      <c r="L372" s="13" t="str">
        <f aca="false">IF(D372&gt;=Inputs!$C$14,"Near-prime","Non-prime")</f>
        <v>Near-prime</v>
      </c>
      <c r="M372" s="19" t="n">
        <f aca="false">IF(K372&lt;=Inputs!$C$19,1,0)</f>
        <v>1</v>
      </c>
      <c r="N372" s="19" t="n">
        <f aca="false">IF(F372&lt;=Inputs!$C$20,1,0)</f>
        <v>1</v>
      </c>
      <c r="O372" s="19" t="n">
        <f aca="false">IF(J372&lt;=Inputs!$C$21,1,0)</f>
        <v>1</v>
      </c>
      <c r="P372" s="19" t="n">
        <f aca="false">IF(D372&gt;=Inputs!$C$22,1,0)</f>
        <v>1</v>
      </c>
      <c r="Q372" s="19" t="n">
        <f aca="false">IF(I372&lt;=Inputs!$C$23,1,0)</f>
        <v>1</v>
      </c>
      <c r="R372" s="19" t="n">
        <f aca="false">M372*N372*O372*P372*Q372</f>
        <v>1</v>
      </c>
      <c r="S372" s="14" t="n">
        <f aca="false">I372*R372</f>
        <v>9290.82</v>
      </c>
      <c r="T372" s="19" t="n">
        <f aca="false">IF(F372&gt;72,1,0)</f>
        <v>0</v>
      </c>
      <c r="U372" s="19" t="n">
        <f aca="false">IF(J372&gt;1.25,1,0)</f>
        <v>0</v>
      </c>
    </row>
    <row r="373" customFormat="false" ht="15" hidden="false" customHeight="false" outlineLevel="0" collapsed="false">
      <c r="B373" s="13" t="s">
        <v>593</v>
      </c>
      <c r="C373" s="13" t="s">
        <v>217</v>
      </c>
      <c r="D373" s="19" t="n">
        <v>568</v>
      </c>
      <c r="E373" s="23" t="n">
        <v>0.2248</v>
      </c>
      <c r="F373" s="19" t="n">
        <v>60</v>
      </c>
      <c r="G373" s="19" t="n">
        <v>9</v>
      </c>
      <c r="H373" s="14" t="n">
        <v>33690</v>
      </c>
      <c r="I373" s="14" t="n">
        <v>30695.39</v>
      </c>
      <c r="J373" s="24" t="n">
        <v>1.117</v>
      </c>
      <c r="K373" s="19" t="n">
        <v>75</v>
      </c>
      <c r="L373" s="13" t="str">
        <f aca="false">IF(D373&gt;=Inputs!$C$14,"Near-prime","Non-prime")</f>
        <v>Non-prime</v>
      </c>
      <c r="M373" s="19" t="n">
        <f aca="false">IF(K373&lt;=Inputs!$C$19,1,0)</f>
        <v>0</v>
      </c>
      <c r="N373" s="19" t="n">
        <f aca="false">IF(F373&lt;=Inputs!$C$20,1,0)</f>
        <v>1</v>
      </c>
      <c r="O373" s="19" t="n">
        <f aca="false">IF(J373&lt;=Inputs!$C$21,1,0)</f>
        <v>1</v>
      </c>
      <c r="P373" s="19" t="n">
        <f aca="false">IF(D373&gt;=Inputs!$C$22,1,0)</f>
        <v>1</v>
      </c>
      <c r="Q373" s="19" t="n">
        <f aca="false">IF(I373&lt;=Inputs!$C$23,1,0)</f>
        <v>1</v>
      </c>
      <c r="R373" s="19" t="n">
        <f aca="false">M373*N373*O373*P373*Q373</f>
        <v>0</v>
      </c>
      <c r="S373" s="14" t="n">
        <f aca="false">I373*R373</f>
        <v>0</v>
      </c>
      <c r="T373" s="19" t="n">
        <f aca="false">IF(F373&gt;72,1,0)</f>
        <v>0</v>
      </c>
      <c r="U373" s="19" t="n">
        <f aca="false">IF(J373&gt;1.25,1,0)</f>
        <v>0</v>
      </c>
    </row>
    <row r="374" customFormat="false" ht="15" hidden="false" customHeight="false" outlineLevel="0" collapsed="false">
      <c r="B374" s="13" t="s">
        <v>594</v>
      </c>
      <c r="C374" s="13" t="s">
        <v>233</v>
      </c>
      <c r="D374" s="19" t="n">
        <v>577</v>
      </c>
      <c r="E374" s="23" t="n">
        <v>0.2301</v>
      </c>
      <c r="F374" s="19" t="n">
        <v>66</v>
      </c>
      <c r="G374" s="19" t="n">
        <v>8</v>
      </c>
      <c r="H374" s="14" t="n">
        <v>26640</v>
      </c>
      <c r="I374" s="14" t="n">
        <v>24893.33</v>
      </c>
      <c r="J374" s="24" t="n">
        <v>1.405</v>
      </c>
      <c r="K374" s="19" t="n">
        <v>0</v>
      </c>
      <c r="L374" s="13" t="str">
        <f aca="false">IF(D374&gt;=Inputs!$C$14,"Near-prime","Non-prime")</f>
        <v>Non-prime</v>
      </c>
      <c r="M374" s="19" t="n">
        <f aca="false">IF(K374&lt;=Inputs!$C$19,1,0)</f>
        <v>1</v>
      </c>
      <c r="N374" s="19" t="n">
        <f aca="false">IF(F374&lt;=Inputs!$C$20,1,0)</f>
        <v>1</v>
      </c>
      <c r="O374" s="19" t="n">
        <f aca="false">IF(J374&lt;=Inputs!$C$21,1,0)</f>
        <v>1</v>
      </c>
      <c r="P374" s="19" t="n">
        <f aca="false">IF(D374&gt;=Inputs!$C$22,1,0)</f>
        <v>1</v>
      </c>
      <c r="Q374" s="19" t="n">
        <f aca="false">IF(I374&lt;=Inputs!$C$23,1,0)</f>
        <v>1</v>
      </c>
      <c r="R374" s="19" t="n">
        <f aca="false">M374*N374*O374*P374*Q374</f>
        <v>1</v>
      </c>
      <c r="S374" s="14" t="n">
        <f aca="false">I374*R374</f>
        <v>24893.33</v>
      </c>
      <c r="T374" s="19" t="n">
        <f aca="false">IF(F374&gt;72,1,0)</f>
        <v>0</v>
      </c>
      <c r="U374" s="19" t="n">
        <f aca="false">IF(J374&gt;1.25,1,0)</f>
        <v>1</v>
      </c>
    </row>
    <row r="375" customFormat="false" ht="15" hidden="false" customHeight="false" outlineLevel="0" collapsed="false">
      <c r="B375" s="13" t="s">
        <v>595</v>
      </c>
      <c r="C375" s="13" t="s">
        <v>217</v>
      </c>
      <c r="D375" s="19" t="n">
        <v>599</v>
      </c>
      <c r="E375" s="23" t="n">
        <v>0.2293</v>
      </c>
      <c r="F375" s="19" t="n">
        <v>72</v>
      </c>
      <c r="G375" s="19" t="n">
        <v>4</v>
      </c>
      <c r="H375" s="14" t="n">
        <v>11200</v>
      </c>
      <c r="I375" s="14" t="n">
        <v>10896.99</v>
      </c>
      <c r="J375" s="24" t="n">
        <v>1.392</v>
      </c>
      <c r="K375" s="19" t="n">
        <v>0</v>
      </c>
      <c r="L375" s="13" t="str">
        <f aca="false">IF(D375&gt;=Inputs!$C$14,"Near-prime","Non-prime")</f>
        <v>Non-prime</v>
      </c>
      <c r="M375" s="19" t="n">
        <f aca="false">IF(K375&lt;=Inputs!$C$19,1,0)</f>
        <v>1</v>
      </c>
      <c r="N375" s="19" t="n">
        <f aca="false">IF(F375&lt;=Inputs!$C$20,1,0)</f>
        <v>1</v>
      </c>
      <c r="O375" s="19" t="n">
        <f aca="false">IF(J375&lt;=Inputs!$C$21,1,0)</f>
        <v>1</v>
      </c>
      <c r="P375" s="19" t="n">
        <f aca="false">IF(D375&gt;=Inputs!$C$22,1,0)</f>
        <v>1</v>
      </c>
      <c r="Q375" s="19" t="n">
        <f aca="false">IF(I375&lt;=Inputs!$C$23,1,0)</f>
        <v>1</v>
      </c>
      <c r="R375" s="19" t="n">
        <f aca="false">M375*N375*O375*P375*Q375</f>
        <v>1</v>
      </c>
      <c r="S375" s="14" t="n">
        <f aca="false">I375*R375</f>
        <v>10896.99</v>
      </c>
      <c r="T375" s="19" t="n">
        <f aca="false">IF(F375&gt;72,1,0)</f>
        <v>0</v>
      </c>
      <c r="U375" s="19" t="n">
        <f aca="false">IF(J375&gt;1.25,1,0)</f>
        <v>1</v>
      </c>
    </row>
    <row r="376" customFormat="false" ht="15" hidden="false" customHeight="false" outlineLevel="0" collapsed="false">
      <c r="B376" s="13" t="s">
        <v>596</v>
      </c>
      <c r="C376" s="13" t="s">
        <v>223</v>
      </c>
      <c r="D376" s="19" t="n">
        <v>670</v>
      </c>
      <c r="E376" s="23" t="n">
        <v>0.2113</v>
      </c>
      <c r="F376" s="19" t="n">
        <v>72</v>
      </c>
      <c r="G376" s="19" t="n">
        <v>10</v>
      </c>
      <c r="H376" s="14" t="n">
        <v>16200</v>
      </c>
      <c r="I376" s="14" t="n">
        <v>14971.09</v>
      </c>
      <c r="J376" s="24" t="n">
        <v>0.778</v>
      </c>
      <c r="K376" s="19" t="n">
        <v>15</v>
      </c>
      <c r="L376" s="13" t="str">
        <f aca="false">IF(D376&gt;=Inputs!$C$14,"Near-prime","Non-prime")</f>
        <v>Near-prime</v>
      </c>
      <c r="M376" s="19" t="n">
        <f aca="false">IF(K376&lt;=Inputs!$C$19,1,0)</f>
        <v>1</v>
      </c>
      <c r="N376" s="19" t="n">
        <f aca="false">IF(F376&lt;=Inputs!$C$20,1,0)</f>
        <v>1</v>
      </c>
      <c r="O376" s="19" t="n">
        <f aca="false">IF(J376&lt;=Inputs!$C$21,1,0)</f>
        <v>1</v>
      </c>
      <c r="P376" s="19" t="n">
        <f aca="false">IF(D376&gt;=Inputs!$C$22,1,0)</f>
        <v>1</v>
      </c>
      <c r="Q376" s="19" t="n">
        <f aca="false">IF(I376&lt;=Inputs!$C$23,1,0)</f>
        <v>1</v>
      </c>
      <c r="R376" s="19" t="n">
        <f aca="false">M376*N376*O376*P376*Q376</f>
        <v>1</v>
      </c>
      <c r="S376" s="14" t="n">
        <f aca="false">I376*R376</f>
        <v>14971.09</v>
      </c>
      <c r="T376" s="19" t="n">
        <f aca="false">IF(F376&gt;72,1,0)</f>
        <v>0</v>
      </c>
      <c r="U376" s="19" t="n">
        <f aca="false">IF(J376&gt;1.25,1,0)</f>
        <v>0</v>
      </c>
    </row>
    <row r="377" customFormat="false" ht="15" hidden="false" customHeight="false" outlineLevel="0" collapsed="false">
      <c r="B377" s="13" t="s">
        <v>597</v>
      </c>
      <c r="C377" s="13" t="s">
        <v>217</v>
      </c>
      <c r="D377" s="19" t="n">
        <v>662</v>
      </c>
      <c r="E377" s="23" t="n">
        <v>0.2013</v>
      </c>
      <c r="F377" s="19" t="n">
        <v>48</v>
      </c>
      <c r="G377" s="19" t="n">
        <v>4</v>
      </c>
      <c r="H377" s="14" t="n">
        <v>21700</v>
      </c>
      <c r="I377" s="14" t="n">
        <v>20478.39</v>
      </c>
      <c r="J377" s="24" t="n">
        <v>0.997</v>
      </c>
      <c r="K377" s="19" t="n">
        <v>0</v>
      </c>
      <c r="L377" s="13" t="str">
        <f aca="false">IF(D377&gt;=Inputs!$C$14,"Near-prime","Non-prime")</f>
        <v>Near-prime</v>
      </c>
      <c r="M377" s="19" t="n">
        <f aca="false">IF(K377&lt;=Inputs!$C$19,1,0)</f>
        <v>1</v>
      </c>
      <c r="N377" s="19" t="n">
        <f aca="false">IF(F377&lt;=Inputs!$C$20,1,0)</f>
        <v>1</v>
      </c>
      <c r="O377" s="19" t="n">
        <f aca="false">IF(J377&lt;=Inputs!$C$21,1,0)</f>
        <v>1</v>
      </c>
      <c r="P377" s="19" t="n">
        <f aca="false">IF(D377&gt;=Inputs!$C$22,1,0)</f>
        <v>1</v>
      </c>
      <c r="Q377" s="19" t="n">
        <f aca="false">IF(I377&lt;=Inputs!$C$23,1,0)</f>
        <v>1</v>
      </c>
      <c r="R377" s="19" t="n">
        <f aca="false">M377*N377*O377*P377*Q377</f>
        <v>1</v>
      </c>
      <c r="S377" s="14" t="n">
        <f aca="false">I377*R377</f>
        <v>20478.39</v>
      </c>
      <c r="T377" s="19" t="n">
        <f aca="false">IF(F377&gt;72,1,0)</f>
        <v>0</v>
      </c>
      <c r="U377" s="19" t="n">
        <f aca="false">IF(J377&gt;1.25,1,0)</f>
        <v>0</v>
      </c>
    </row>
    <row r="378" customFormat="false" ht="15" hidden="false" customHeight="false" outlineLevel="0" collapsed="false">
      <c r="B378" s="13" t="s">
        <v>598</v>
      </c>
      <c r="C378" s="13" t="s">
        <v>257</v>
      </c>
      <c r="D378" s="19" t="n">
        <v>593</v>
      </c>
      <c r="E378" s="23" t="n">
        <v>0.1985</v>
      </c>
      <c r="F378" s="19" t="n">
        <v>60</v>
      </c>
      <c r="G378" s="19" t="n">
        <v>0</v>
      </c>
      <c r="H378" s="14" t="n">
        <v>37390</v>
      </c>
      <c r="I378" s="14" t="n">
        <v>37390</v>
      </c>
      <c r="J378" s="24" t="n">
        <v>1.196</v>
      </c>
      <c r="K378" s="19" t="n">
        <v>0</v>
      </c>
      <c r="L378" s="13" t="str">
        <f aca="false">IF(D378&gt;=Inputs!$C$14,"Near-prime","Non-prime")</f>
        <v>Non-prime</v>
      </c>
      <c r="M378" s="19" t="n">
        <f aca="false">IF(K378&lt;=Inputs!$C$19,1,0)</f>
        <v>1</v>
      </c>
      <c r="N378" s="19" t="n">
        <f aca="false">IF(F378&lt;=Inputs!$C$20,1,0)</f>
        <v>1</v>
      </c>
      <c r="O378" s="19" t="n">
        <f aca="false">IF(J378&lt;=Inputs!$C$21,1,0)</f>
        <v>1</v>
      </c>
      <c r="P378" s="19" t="n">
        <f aca="false">IF(D378&gt;=Inputs!$C$22,1,0)</f>
        <v>1</v>
      </c>
      <c r="Q378" s="19" t="n">
        <f aca="false">IF(I378&lt;=Inputs!$C$23,1,0)</f>
        <v>1</v>
      </c>
      <c r="R378" s="19" t="n">
        <f aca="false">M378*N378*O378*P378*Q378</f>
        <v>1</v>
      </c>
      <c r="S378" s="14" t="n">
        <f aca="false">I378*R378</f>
        <v>37390</v>
      </c>
      <c r="T378" s="19" t="n">
        <f aca="false">IF(F378&gt;72,1,0)</f>
        <v>0</v>
      </c>
      <c r="U378" s="19" t="n">
        <f aca="false">IF(J378&gt;1.25,1,0)</f>
        <v>0</v>
      </c>
    </row>
    <row r="379" customFormat="false" ht="15" hidden="false" customHeight="false" outlineLevel="0" collapsed="false">
      <c r="B379" s="13" t="s">
        <v>599</v>
      </c>
      <c r="C379" s="13" t="s">
        <v>221</v>
      </c>
      <c r="D379" s="19" t="n">
        <v>610</v>
      </c>
      <c r="E379" s="23" t="n">
        <v>0.2216</v>
      </c>
      <c r="F379" s="19" t="n">
        <v>72</v>
      </c>
      <c r="G379" s="19" t="n">
        <v>9</v>
      </c>
      <c r="H379" s="14" t="n">
        <v>30270</v>
      </c>
      <c r="I379" s="14" t="n">
        <v>28287.92</v>
      </c>
      <c r="J379" s="24" t="n">
        <v>0.992</v>
      </c>
      <c r="K379" s="19" t="n">
        <v>0</v>
      </c>
      <c r="L379" s="13" t="str">
        <f aca="false">IF(D379&gt;=Inputs!$C$14,"Near-prime","Non-prime")</f>
        <v>Non-prime</v>
      </c>
      <c r="M379" s="19" t="n">
        <f aca="false">IF(K379&lt;=Inputs!$C$19,1,0)</f>
        <v>1</v>
      </c>
      <c r="N379" s="19" t="n">
        <f aca="false">IF(F379&lt;=Inputs!$C$20,1,0)</f>
        <v>1</v>
      </c>
      <c r="O379" s="19" t="n">
        <f aca="false">IF(J379&lt;=Inputs!$C$21,1,0)</f>
        <v>1</v>
      </c>
      <c r="P379" s="19" t="n">
        <f aca="false">IF(D379&gt;=Inputs!$C$22,1,0)</f>
        <v>1</v>
      </c>
      <c r="Q379" s="19" t="n">
        <f aca="false">IF(I379&lt;=Inputs!$C$23,1,0)</f>
        <v>1</v>
      </c>
      <c r="R379" s="19" t="n">
        <f aca="false">M379*N379*O379*P379*Q379</f>
        <v>1</v>
      </c>
      <c r="S379" s="14" t="n">
        <f aca="false">I379*R379</f>
        <v>28287.92</v>
      </c>
      <c r="T379" s="19" t="n">
        <f aca="false">IF(F379&gt;72,1,0)</f>
        <v>0</v>
      </c>
      <c r="U379" s="19" t="n">
        <f aca="false">IF(J379&gt;1.25,1,0)</f>
        <v>0</v>
      </c>
    </row>
    <row r="380" customFormat="false" ht="15" hidden="false" customHeight="false" outlineLevel="0" collapsed="false">
      <c r="B380" s="13" t="s">
        <v>600</v>
      </c>
      <c r="C380" s="13" t="s">
        <v>233</v>
      </c>
      <c r="D380" s="19" t="n">
        <v>666</v>
      </c>
      <c r="E380" s="23" t="n">
        <v>0.1861</v>
      </c>
      <c r="F380" s="19" t="n">
        <v>72</v>
      </c>
      <c r="G380" s="19" t="n">
        <v>9</v>
      </c>
      <c r="H380" s="14" t="n">
        <v>31300</v>
      </c>
      <c r="I380" s="14" t="n">
        <v>29007.67</v>
      </c>
      <c r="J380" s="24" t="n">
        <v>1.401</v>
      </c>
      <c r="K380" s="19" t="n">
        <v>0</v>
      </c>
      <c r="L380" s="13" t="str">
        <f aca="false">IF(D380&gt;=Inputs!$C$14,"Near-prime","Non-prime")</f>
        <v>Near-prime</v>
      </c>
      <c r="M380" s="19" t="n">
        <f aca="false">IF(K380&lt;=Inputs!$C$19,1,0)</f>
        <v>1</v>
      </c>
      <c r="N380" s="19" t="n">
        <f aca="false">IF(F380&lt;=Inputs!$C$20,1,0)</f>
        <v>1</v>
      </c>
      <c r="O380" s="19" t="n">
        <f aca="false">IF(J380&lt;=Inputs!$C$21,1,0)</f>
        <v>1</v>
      </c>
      <c r="P380" s="19" t="n">
        <f aca="false">IF(D380&gt;=Inputs!$C$22,1,0)</f>
        <v>1</v>
      </c>
      <c r="Q380" s="19" t="n">
        <f aca="false">IF(I380&lt;=Inputs!$C$23,1,0)</f>
        <v>1</v>
      </c>
      <c r="R380" s="19" t="n">
        <f aca="false">M380*N380*O380*P380*Q380</f>
        <v>1</v>
      </c>
      <c r="S380" s="14" t="n">
        <f aca="false">I380*R380</f>
        <v>29007.67</v>
      </c>
      <c r="T380" s="19" t="n">
        <f aca="false">IF(F380&gt;72,1,0)</f>
        <v>0</v>
      </c>
      <c r="U380" s="19" t="n">
        <f aca="false">IF(J380&gt;1.25,1,0)</f>
        <v>1</v>
      </c>
    </row>
    <row r="381" customFormat="false" ht="15" hidden="false" customHeight="false" outlineLevel="0" collapsed="false">
      <c r="B381" s="13" t="s">
        <v>601</v>
      </c>
      <c r="C381" s="13" t="s">
        <v>217</v>
      </c>
      <c r="D381" s="19" t="n">
        <v>650</v>
      </c>
      <c r="E381" s="23" t="n">
        <v>0.2162</v>
      </c>
      <c r="F381" s="19" t="n">
        <v>60</v>
      </c>
      <c r="G381" s="19" t="n">
        <v>3</v>
      </c>
      <c r="H381" s="14" t="n">
        <v>27150</v>
      </c>
      <c r="I381" s="14" t="n">
        <v>26371.6</v>
      </c>
      <c r="J381" s="24" t="n">
        <v>0.915</v>
      </c>
      <c r="K381" s="19" t="n">
        <v>0</v>
      </c>
      <c r="L381" s="13" t="str">
        <f aca="false">IF(D381&gt;=Inputs!$C$14,"Near-prime","Non-prime")</f>
        <v>Near-prime</v>
      </c>
      <c r="M381" s="19" t="n">
        <f aca="false">IF(K381&lt;=Inputs!$C$19,1,0)</f>
        <v>1</v>
      </c>
      <c r="N381" s="19" t="n">
        <f aca="false">IF(F381&lt;=Inputs!$C$20,1,0)</f>
        <v>1</v>
      </c>
      <c r="O381" s="19" t="n">
        <f aca="false">IF(J381&lt;=Inputs!$C$21,1,0)</f>
        <v>1</v>
      </c>
      <c r="P381" s="19" t="n">
        <f aca="false">IF(D381&gt;=Inputs!$C$22,1,0)</f>
        <v>1</v>
      </c>
      <c r="Q381" s="19" t="n">
        <f aca="false">IF(I381&lt;=Inputs!$C$23,1,0)</f>
        <v>1</v>
      </c>
      <c r="R381" s="19" t="n">
        <f aca="false">M381*N381*O381*P381*Q381</f>
        <v>1</v>
      </c>
      <c r="S381" s="14" t="n">
        <f aca="false">I381*R381</f>
        <v>26371.6</v>
      </c>
      <c r="T381" s="19" t="n">
        <f aca="false">IF(F381&gt;72,1,0)</f>
        <v>0</v>
      </c>
      <c r="U381" s="19" t="n">
        <f aca="false">IF(J381&gt;1.25,1,0)</f>
        <v>0</v>
      </c>
    </row>
    <row r="382" customFormat="false" ht="15" hidden="false" customHeight="false" outlineLevel="0" collapsed="false">
      <c r="B382" s="13" t="s">
        <v>602</v>
      </c>
      <c r="C382" s="13" t="s">
        <v>228</v>
      </c>
      <c r="D382" s="19" t="n">
        <v>699</v>
      </c>
      <c r="E382" s="23" t="n">
        <v>0.2103</v>
      </c>
      <c r="F382" s="19" t="n">
        <v>72</v>
      </c>
      <c r="G382" s="19" t="n">
        <v>5</v>
      </c>
      <c r="H382" s="14" t="n">
        <v>23560</v>
      </c>
      <c r="I382" s="14" t="n">
        <v>22702.5</v>
      </c>
      <c r="J382" s="24" t="n">
        <v>1.198</v>
      </c>
      <c r="K382" s="19" t="n">
        <v>0</v>
      </c>
      <c r="L382" s="13" t="str">
        <f aca="false">IF(D382&gt;=Inputs!$C$14,"Near-prime","Non-prime")</f>
        <v>Near-prime</v>
      </c>
      <c r="M382" s="19" t="n">
        <f aca="false">IF(K382&lt;=Inputs!$C$19,1,0)</f>
        <v>1</v>
      </c>
      <c r="N382" s="19" t="n">
        <f aca="false">IF(F382&lt;=Inputs!$C$20,1,0)</f>
        <v>1</v>
      </c>
      <c r="O382" s="19" t="n">
        <f aca="false">IF(J382&lt;=Inputs!$C$21,1,0)</f>
        <v>1</v>
      </c>
      <c r="P382" s="19" t="n">
        <f aca="false">IF(D382&gt;=Inputs!$C$22,1,0)</f>
        <v>1</v>
      </c>
      <c r="Q382" s="19" t="n">
        <f aca="false">IF(I382&lt;=Inputs!$C$23,1,0)</f>
        <v>1</v>
      </c>
      <c r="R382" s="19" t="n">
        <f aca="false">M382*N382*O382*P382*Q382</f>
        <v>1</v>
      </c>
      <c r="S382" s="14" t="n">
        <f aca="false">I382*R382</f>
        <v>22702.5</v>
      </c>
      <c r="T382" s="19" t="n">
        <f aca="false">IF(F382&gt;72,1,0)</f>
        <v>0</v>
      </c>
      <c r="U382" s="19" t="n">
        <f aca="false">IF(J382&gt;1.25,1,0)</f>
        <v>0</v>
      </c>
    </row>
    <row r="383" customFormat="false" ht="15" hidden="false" customHeight="false" outlineLevel="0" collapsed="false">
      <c r="B383" s="13" t="s">
        <v>603</v>
      </c>
      <c r="C383" s="13" t="s">
        <v>223</v>
      </c>
      <c r="D383" s="19" t="n">
        <v>605</v>
      </c>
      <c r="E383" s="23" t="n">
        <v>0.2287</v>
      </c>
      <c r="F383" s="19" t="n">
        <v>72</v>
      </c>
      <c r="G383" s="19" t="n">
        <v>9</v>
      </c>
      <c r="H383" s="14" t="n">
        <v>24710</v>
      </c>
      <c r="I383" s="14" t="n">
        <v>23128.39</v>
      </c>
      <c r="J383" s="24" t="n">
        <v>1.027</v>
      </c>
      <c r="K383" s="19" t="n">
        <v>0</v>
      </c>
      <c r="L383" s="13" t="str">
        <f aca="false">IF(D383&gt;=Inputs!$C$14,"Near-prime","Non-prime")</f>
        <v>Non-prime</v>
      </c>
      <c r="M383" s="19" t="n">
        <f aca="false">IF(K383&lt;=Inputs!$C$19,1,0)</f>
        <v>1</v>
      </c>
      <c r="N383" s="19" t="n">
        <f aca="false">IF(F383&lt;=Inputs!$C$20,1,0)</f>
        <v>1</v>
      </c>
      <c r="O383" s="19" t="n">
        <f aca="false">IF(J383&lt;=Inputs!$C$21,1,0)</f>
        <v>1</v>
      </c>
      <c r="P383" s="19" t="n">
        <f aca="false">IF(D383&gt;=Inputs!$C$22,1,0)</f>
        <v>1</v>
      </c>
      <c r="Q383" s="19" t="n">
        <f aca="false">IF(I383&lt;=Inputs!$C$23,1,0)</f>
        <v>1</v>
      </c>
      <c r="R383" s="19" t="n">
        <f aca="false">M383*N383*O383*P383*Q383</f>
        <v>1</v>
      </c>
      <c r="S383" s="14" t="n">
        <f aca="false">I383*R383</f>
        <v>23128.39</v>
      </c>
      <c r="T383" s="19" t="n">
        <f aca="false">IF(F383&gt;72,1,0)</f>
        <v>0</v>
      </c>
      <c r="U383" s="19" t="n">
        <f aca="false">IF(J383&gt;1.25,1,0)</f>
        <v>0</v>
      </c>
    </row>
    <row r="384" customFormat="false" ht="15" hidden="false" customHeight="false" outlineLevel="0" collapsed="false">
      <c r="B384" s="13" t="s">
        <v>604</v>
      </c>
      <c r="C384" s="13" t="s">
        <v>217</v>
      </c>
      <c r="D384" s="19" t="n">
        <v>640</v>
      </c>
      <c r="E384" s="23" t="n">
        <v>0.2238</v>
      </c>
      <c r="F384" s="19" t="n">
        <v>60</v>
      </c>
      <c r="G384" s="19" t="n">
        <v>1</v>
      </c>
      <c r="H384" s="14" t="n">
        <v>27400</v>
      </c>
      <c r="I384" s="14" t="n">
        <v>27148.32</v>
      </c>
      <c r="J384" s="24" t="n">
        <v>0.952</v>
      </c>
      <c r="K384" s="19" t="n">
        <v>0</v>
      </c>
      <c r="L384" s="13" t="str">
        <f aca="false">IF(D384&gt;=Inputs!$C$14,"Near-prime","Non-prime")</f>
        <v>Near-prime</v>
      </c>
      <c r="M384" s="19" t="n">
        <f aca="false">IF(K384&lt;=Inputs!$C$19,1,0)</f>
        <v>1</v>
      </c>
      <c r="N384" s="19" t="n">
        <f aca="false">IF(F384&lt;=Inputs!$C$20,1,0)</f>
        <v>1</v>
      </c>
      <c r="O384" s="19" t="n">
        <f aca="false">IF(J384&lt;=Inputs!$C$21,1,0)</f>
        <v>1</v>
      </c>
      <c r="P384" s="19" t="n">
        <f aca="false">IF(D384&gt;=Inputs!$C$22,1,0)</f>
        <v>1</v>
      </c>
      <c r="Q384" s="19" t="n">
        <f aca="false">IF(I384&lt;=Inputs!$C$23,1,0)</f>
        <v>1</v>
      </c>
      <c r="R384" s="19" t="n">
        <f aca="false">M384*N384*O384*P384*Q384</f>
        <v>1</v>
      </c>
      <c r="S384" s="14" t="n">
        <f aca="false">I384*R384</f>
        <v>27148.32</v>
      </c>
      <c r="T384" s="19" t="n">
        <f aca="false">IF(F384&gt;72,1,0)</f>
        <v>0</v>
      </c>
      <c r="U384" s="19" t="n">
        <f aca="false">IF(J384&gt;1.25,1,0)</f>
        <v>0</v>
      </c>
    </row>
    <row r="385" customFormat="false" ht="15" hidden="false" customHeight="false" outlineLevel="0" collapsed="false">
      <c r="B385" s="13" t="s">
        <v>605</v>
      </c>
      <c r="C385" s="13" t="s">
        <v>219</v>
      </c>
      <c r="D385" s="19" t="n">
        <v>595</v>
      </c>
      <c r="E385" s="23" t="n">
        <v>0.2319</v>
      </c>
      <c r="F385" s="19" t="n">
        <v>66</v>
      </c>
      <c r="G385" s="19" t="n">
        <v>2</v>
      </c>
      <c r="H385" s="14" t="n">
        <v>19170</v>
      </c>
      <c r="I385" s="14" t="n">
        <v>18875.13</v>
      </c>
      <c r="J385" s="24" t="n">
        <v>0.749</v>
      </c>
      <c r="K385" s="19" t="n">
        <v>0</v>
      </c>
      <c r="L385" s="13" t="str">
        <f aca="false">IF(D385&gt;=Inputs!$C$14,"Near-prime","Non-prime")</f>
        <v>Non-prime</v>
      </c>
      <c r="M385" s="19" t="n">
        <f aca="false">IF(K385&lt;=Inputs!$C$19,1,0)</f>
        <v>1</v>
      </c>
      <c r="N385" s="19" t="n">
        <f aca="false">IF(F385&lt;=Inputs!$C$20,1,0)</f>
        <v>1</v>
      </c>
      <c r="O385" s="19" t="n">
        <f aca="false">IF(J385&lt;=Inputs!$C$21,1,0)</f>
        <v>1</v>
      </c>
      <c r="P385" s="19" t="n">
        <f aca="false">IF(D385&gt;=Inputs!$C$22,1,0)</f>
        <v>1</v>
      </c>
      <c r="Q385" s="19" t="n">
        <f aca="false">IF(I385&lt;=Inputs!$C$23,1,0)</f>
        <v>1</v>
      </c>
      <c r="R385" s="19" t="n">
        <f aca="false">M385*N385*O385*P385*Q385</f>
        <v>1</v>
      </c>
      <c r="S385" s="14" t="n">
        <f aca="false">I385*R385</f>
        <v>18875.13</v>
      </c>
      <c r="T385" s="19" t="n">
        <f aca="false">IF(F385&gt;72,1,0)</f>
        <v>0</v>
      </c>
      <c r="U385" s="19" t="n">
        <f aca="false">IF(J385&gt;1.25,1,0)</f>
        <v>0</v>
      </c>
    </row>
    <row r="386" customFormat="false" ht="15" hidden="false" customHeight="false" outlineLevel="0" collapsed="false">
      <c r="B386" s="13" t="s">
        <v>606</v>
      </c>
      <c r="C386" s="13" t="s">
        <v>217</v>
      </c>
      <c r="D386" s="19" t="n">
        <v>706</v>
      </c>
      <c r="E386" s="23" t="n">
        <v>0.1841</v>
      </c>
      <c r="F386" s="19" t="n">
        <v>60</v>
      </c>
      <c r="G386" s="19" t="n">
        <v>0</v>
      </c>
      <c r="H386" s="14" t="n">
        <v>11500</v>
      </c>
      <c r="I386" s="14" t="n">
        <v>11500</v>
      </c>
      <c r="J386" s="24" t="n">
        <v>1.099</v>
      </c>
      <c r="K386" s="19" t="n">
        <v>0</v>
      </c>
      <c r="L386" s="13" t="str">
        <f aca="false">IF(D386&gt;=Inputs!$C$14,"Near-prime","Non-prime")</f>
        <v>Near-prime</v>
      </c>
      <c r="M386" s="19" t="n">
        <f aca="false">IF(K386&lt;=Inputs!$C$19,1,0)</f>
        <v>1</v>
      </c>
      <c r="N386" s="19" t="n">
        <f aca="false">IF(F386&lt;=Inputs!$C$20,1,0)</f>
        <v>1</v>
      </c>
      <c r="O386" s="19" t="n">
        <f aca="false">IF(J386&lt;=Inputs!$C$21,1,0)</f>
        <v>1</v>
      </c>
      <c r="P386" s="19" t="n">
        <f aca="false">IF(D386&gt;=Inputs!$C$22,1,0)</f>
        <v>1</v>
      </c>
      <c r="Q386" s="19" t="n">
        <f aca="false">IF(I386&lt;=Inputs!$C$23,1,0)</f>
        <v>1</v>
      </c>
      <c r="R386" s="19" t="n">
        <f aca="false">M386*N386*O386*P386*Q386</f>
        <v>1</v>
      </c>
      <c r="S386" s="14" t="n">
        <f aca="false">I386*R386</f>
        <v>11500</v>
      </c>
      <c r="T386" s="19" t="n">
        <f aca="false">IF(F386&gt;72,1,0)</f>
        <v>0</v>
      </c>
      <c r="U386" s="19" t="n">
        <f aca="false">IF(J386&gt;1.25,1,0)</f>
        <v>0</v>
      </c>
    </row>
    <row r="387" customFormat="false" ht="15" hidden="false" customHeight="false" outlineLevel="0" collapsed="false">
      <c r="B387" s="13" t="s">
        <v>607</v>
      </c>
      <c r="C387" s="13" t="s">
        <v>221</v>
      </c>
      <c r="D387" s="19" t="n">
        <v>700</v>
      </c>
      <c r="E387" s="23" t="n">
        <v>0.1802</v>
      </c>
      <c r="F387" s="19" t="n">
        <v>48</v>
      </c>
      <c r="G387" s="19" t="n">
        <v>10</v>
      </c>
      <c r="H387" s="14" t="n">
        <v>26880</v>
      </c>
      <c r="I387" s="14" t="n">
        <v>22745.94</v>
      </c>
      <c r="J387" s="24" t="n">
        <v>1.214</v>
      </c>
      <c r="K387" s="19" t="n">
        <v>0</v>
      </c>
      <c r="L387" s="13" t="str">
        <f aca="false">IF(D387&gt;=Inputs!$C$14,"Near-prime","Non-prime")</f>
        <v>Near-prime</v>
      </c>
      <c r="M387" s="19" t="n">
        <f aca="false">IF(K387&lt;=Inputs!$C$19,1,0)</f>
        <v>1</v>
      </c>
      <c r="N387" s="19" t="n">
        <f aca="false">IF(F387&lt;=Inputs!$C$20,1,0)</f>
        <v>1</v>
      </c>
      <c r="O387" s="19" t="n">
        <f aca="false">IF(J387&lt;=Inputs!$C$21,1,0)</f>
        <v>1</v>
      </c>
      <c r="P387" s="19" t="n">
        <f aca="false">IF(D387&gt;=Inputs!$C$22,1,0)</f>
        <v>1</v>
      </c>
      <c r="Q387" s="19" t="n">
        <f aca="false">IF(I387&lt;=Inputs!$C$23,1,0)</f>
        <v>1</v>
      </c>
      <c r="R387" s="19" t="n">
        <f aca="false">M387*N387*O387*P387*Q387</f>
        <v>1</v>
      </c>
      <c r="S387" s="14" t="n">
        <f aca="false">I387*R387</f>
        <v>22745.94</v>
      </c>
      <c r="T387" s="19" t="n">
        <f aca="false">IF(F387&gt;72,1,0)</f>
        <v>0</v>
      </c>
      <c r="U387" s="19" t="n">
        <f aca="false">IF(J387&gt;1.25,1,0)</f>
        <v>0</v>
      </c>
    </row>
    <row r="388" customFormat="false" ht="15" hidden="false" customHeight="false" outlineLevel="0" collapsed="false">
      <c r="B388" s="13" t="s">
        <v>608</v>
      </c>
      <c r="C388" s="13" t="s">
        <v>221</v>
      </c>
      <c r="D388" s="19" t="n">
        <v>672</v>
      </c>
      <c r="E388" s="23" t="n">
        <v>0.1753</v>
      </c>
      <c r="F388" s="19" t="n">
        <v>60</v>
      </c>
      <c r="G388" s="19" t="n">
        <v>1</v>
      </c>
      <c r="H388" s="14" t="n">
        <v>22070</v>
      </c>
      <c r="I388" s="14" t="n">
        <v>21837.6</v>
      </c>
      <c r="J388" s="24" t="n">
        <v>1.183</v>
      </c>
      <c r="K388" s="19" t="n">
        <v>45</v>
      </c>
      <c r="L388" s="13" t="str">
        <f aca="false">IF(D388&gt;=Inputs!$C$14,"Near-prime","Non-prime")</f>
        <v>Near-prime</v>
      </c>
      <c r="M388" s="19" t="n">
        <f aca="false">IF(K388&lt;=Inputs!$C$19,1,0)</f>
        <v>1</v>
      </c>
      <c r="N388" s="19" t="n">
        <f aca="false">IF(F388&lt;=Inputs!$C$20,1,0)</f>
        <v>1</v>
      </c>
      <c r="O388" s="19" t="n">
        <f aca="false">IF(J388&lt;=Inputs!$C$21,1,0)</f>
        <v>1</v>
      </c>
      <c r="P388" s="19" t="n">
        <f aca="false">IF(D388&gt;=Inputs!$C$22,1,0)</f>
        <v>1</v>
      </c>
      <c r="Q388" s="19" t="n">
        <f aca="false">IF(I388&lt;=Inputs!$C$23,1,0)</f>
        <v>1</v>
      </c>
      <c r="R388" s="19" t="n">
        <f aca="false">M388*N388*O388*P388*Q388</f>
        <v>1</v>
      </c>
      <c r="S388" s="14" t="n">
        <f aca="false">I388*R388</f>
        <v>21837.6</v>
      </c>
      <c r="T388" s="19" t="n">
        <f aca="false">IF(F388&gt;72,1,0)</f>
        <v>0</v>
      </c>
      <c r="U388" s="19" t="n">
        <f aca="false">IF(J388&gt;1.25,1,0)</f>
        <v>0</v>
      </c>
    </row>
    <row r="389" customFormat="false" ht="15" hidden="false" customHeight="false" outlineLevel="0" collapsed="false">
      <c r="B389" s="13" t="s">
        <v>609</v>
      </c>
      <c r="C389" s="13" t="s">
        <v>217</v>
      </c>
      <c r="D389" s="19" t="n">
        <v>697</v>
      </c>
      <c r="E389" s="23" t="n">
        <v>0.1976</v>
      </c>
      <c r="F389" s="19" t="n">
        <v>72</v>
      </c>
      <c r="G389" s="19" t="n">
        <v>3</v>
      </c>
      <c r="H389" s="14" t="n">
        <v>13930</v>
      </c>
      <c r="I389" s="14" t="n">
        <v>13617.87</v>
      </c>
      <c r="J389" s="24" t="n">
        <v>1.202</v>
      </c>
      <c r="K389" s="19" t="n">
        <v>0</v>
      </c>
      <c r="L389" s="13" t="str">
        <f aca="false">IF(D389&gt;=Inputs!$C$14,"Near-prime","Non-prime")</f>
        <v>Near-prime</v>
      </c>
      <c r="M389" s="19" t="n">
        <f aca="false">IF(K389&lt;=Inputs!$C$19,1,0)</f>
        <v>1</v>
      </c>
      <c r="N389" s="19" t="n">
        <f aca="false">IF(F389&lt;=Inputs!$C$20,1,0)</f>
        <v>1</v>
      </c>
      <c r="O389" s="19" t="n">
        <f aca="false">IF(J389&lt;=Inputs!$C$21,1,0)</f>
        <v>1</v>
      </c>
      <c r="P389" s="19" t="n">
        <f aca="false">IF(D389&gt;=Inputs!$C$22,1,0)</f>
        <v>1</v>
      </c>
      <c r="Q389" s="19" t="n">
        <f aca="false">IF(I389&lt;=Inputs!$C$23,1,0)</f>
        <v>1</v>
      </c>
      <c r="R389" s="19" t="n">
        <f aca="false">M389*N389*O389*P389*Q389</f>
        <v>1</v>
      </c>
      <c r="S389" s="14" t="n">
        <f aca="false">I389*R389</f>
        <v>13617.87</v>
      </c>
      <c r="T389" s="19" t="n">
        <f aca="false">IF(F389&gt;72,1,0)</f>
        <v>0</v>
      </c>
      <c r="U389" s="19" t="n">
        <f aca="false">IF(J389&gt;1.25,1,0)</f>
        <v>0</v>
      </c>
    </row>
    <row r="390" customFormat="false" ht="15" hidden="false" customHeight="false" outlineLevel="0" collapsed="false">
      <c r="B390" s="13" t="s">
        <v>610</v>
      </c>
      <c r="C390" s="13" t="s">
        <v>221</v>
      </c>
      <c r="D390" s="19" t="n">
        <v>718</v>
      </c>
      <c r="E390" s="23" t="n">
        <v>0.1973</v>
      </c>
      <c r="F390" s="19" t="n">
        <v>72</v>
      </c>
      <c r="G390" s="19" t="n">
        <v>9</v>
      </c>
      <c r="H390" s="14" t="n">
        <v>21700</v>
      </c>
      <c r="I390" s="14" t="n">
        <v>20165.4</v>
      </c>
      <c r="J390" s="24" t="n">
        <v>1.106</v>
      </c>
      <c r="K390" s="19" t="n">
        <v>15</v>
      </c>
      <c r="L390" s="13" t="str">
        <f aca="false">IF(D390&gt;=Inputs!$C$14,"Near-prime","Non-prime")</f>
        <v>Near-prime</v>
      </c>
      <c r="M390" s="19" t="n">
        <f aca="false">IF(K390&lt;=Inputs!$C$19,1,0)</f>
        <v>1</v>
      </c>
      <c r="N390" s="19" t="n">
        <f aca="false">IF(F390&lt;=Inputs!$C$20,1,0)</f>
        <v>1</v>
      </c>
      <c r="O390" s="19" t="n">
        <f aca="false">IF(J390&lt;=Inputs!$C$21,1,0)</f>
        <v>1</v>
      </c>
      <c r="P390" s="19" t="n">
        <f aca="false">IF(D390&gt;=Inputs!$C$22,1,0)</f>
        <v>1</v>
      </c>
      <c r="Q390" s="19" t="n">
        <f aca="false">IF(I390&lt;=Inputs!$C$23,1,0)</f>
        <v>1</v>
      </c>
      <c r="R390" s="19" t="n">
        <f aca="false">M390*N390*O390*P390*Q390</f>
        <v>1</v>
      </c>
      <c r="S390" s="14" t="n">
        <f aca="false">I390*R390</f>
        <v>20165.4</v>
      </c>
      <c r="T390" s="19" t="n">
        <f aca="false">IF(F390&gt;72,1,0)</f>
        <v>0</v>
      </c>
      <c r="U390" s="19" t="n">
        <f aca="false">IF(J390&gt;1.25,1,0)</f>
        <v>0</v>
      </c>
    </row>
    <row r="391" customFormat="false" ht="15" hidden="false" customHeight="false" outlineLevel="0" collapsed="false">
      <c r="B391" s="13" t="s">
        <v>611</v>
      </c>
      <c r="C391" s="13" t="s">
        <v>223</v>
      </c>
      <c r="D391" s="19" t="n">
        <v>722</v>
      </c>
      <c r="E391" s="23" t="n">
        <v>0.195</v>
      </c>
      <c r="F391" s="19" t="n">
        <v>75</v>
      </c>
      <c r="G391" s="19" t="n">
        <v>9</v>
      </c>
      <c r="H391" s="14" t="n">
        <v>35160</v>
      </c>
      <c r="I391" s="14" t="n">
        <v>32824.07</v>
      </c>
      <c r="J391" s="24" t="n">
        <v>1.118</v>
      </c>
      <c r="K391" s="19" t="n">
        <v>0</v>
      </c>
      <c r="L391" s="13" t="str">
        <f aca="false">IF(D391&gt;=Inputs!$C$14,"Near-prime","Non-prime")</f>
        <v>Near-prime</v>
      </c>
      <c r="M391" s="19" t="n">
        <f aca="false">IF(K391&lt;=Inputs!$C$19,1,0)</f>
        <v>1</v>
      </c>
      <c r="N391" s="19" t="n">
        <f aca="false">IF(F391&lt;=Inputs!$C$20,1,0)</f>
        <v>1</v>
      </c>
      <c r="O391" s="19" t="n">
        <f aca="false">IF(J391&lt;=Inputs!$C$21,1,0)</f>
        <v>1</v>
      </c>
      <c r="P391" s="19" t="n">
        <f aca="false">IF(D391&gt;=Inputs!$C$22,1,0)</f>
        <v>1</v>
      </c>
      <c r="Q391" s="19" t="n">
        <f aca="false">IF(I391&lt;=Inputs!$C$23,1,0)</f>
        <v>1</v>
      </c>
      <c r="R391" s="19" t="n">
        <f aca="false">M391*N391*O391*P391*Q391</f>
        <v>1</v>
      </c>
      <c r="S391" s="14" t="n">
        <f aca="false">I391*R391</f>
        <v>32824.07</v>
      </c>
      <c r="T391" s="19" t="n">
        <f aca="false">IF(F391&gt;72,1,0)</f>
        <v>1</v>
      </c>
      <c r="U391" s="19" t="n">
        <f aca="false">IF(J391&gt;1.25,1,0)</f>
        <v>0</v>
      </c>
    </row>
    <row r="392" customFormat="false" ht="15" hidden="false" customHeight="false" outlineLevel="0" collapsed="false">
      <c r="B392" s="13" t="s">
        <v>612</v>
      </c>
      <c r="C392" s="13" t="s">
        <v>217</v>
      </c>
      <c r="D392" s="19" t="n">
        <v>735</v>
      </c>
      <c r="E392" s="23" t="n">
        <v>0.1872</v>
      </c>
      <c r="F392" s="19" t="n">
        <v>75</v>
      </c>
      <c r="G392" s="19" t="n">
        <v>6</v>
      </c>
      <c r="H392" s="14" t="n">
        <v>17200</v>
      </c>
      <c r="I392" s="14" t="n">
        <v>16436.66</v>
      </c>
      <c r="J392" s="24" t="n">
        <v>1.28</v>
      </c>
      <c r="K392" s="19" t="n">
        <v>0</v>
      </c>
      <c r="L392" s="13" t="str">
        <f aca="false">IF(D392&gt;=Inputs!$C$14,"Near-prime","Non-prime")</f>
        <v>Near-prime</v>
      </c>
      <c r="M392" s="19" t="n">
        <f aca="false">IF(K392&lt;=Inputs!$C$19,1,0)</f>
        <v>1</v>
      </c>
      <c r="N392" s="19" t="n">
        <f aca="false">IF(F392&lt;=Inputs!$C$20,1,0)</f>
        <v>1</v>
      </c>
      <c r="O392" s="19" t="n">
        <f aca="false">IF(J392&lt;=Inputs!$C$21,1,0)</f>
        <v>1</v>
      </c>
      <c r="P392" s="19" t="n">
        <f aca="false">IF(D392&gt;=Inputs!$C$22,1,0)</f>
        <v>1</v>
      </c>
      <c r="Q392" s="19" t="n">
        <f aca="false">IF(I392&lt;=Inputs!$C$23,1,0)</f>
        <v>1</v>
      </c>
      <c r="R392" s="19" t="n">
        <f aca="false">M392*N392*O392*P392*Q392</f>
        <v>1</v>
      </c>
      <c r="S392" s="14" t="n">
        <f aca="false">I392*R392</f>
        <v>16436.66</v>
      </c>
      <c r="T392" s="19" t="n">
        <f aca="false">IF(F392&gt;72,1,0)</f>
        <v>1</v>
      </c>
      <c r="U392" s="19" t="n">
        <f aca="false">IF(J392&gt;1.25,1,0)</f>
        <v>1</v>
      </c>
    </row>
    <row r="393" customFormat="false" ht="15" hidden="false" customHeight="false" outlineLevel="0" collapsed="false">
      <c r="B393" s="13" t="s">
        <v>613</v>
      </c>
      <c r="C393" s="13" t="s">
        <v>228</v>
      </c>
      <c r="D393" s="19" t="n">
        <v>610</v>
      </c>
      <c r="E393" s="23" t="n">
        <v>0.2272</v>
      </c>
      <c r="F393" s="19" t="n">
        <v>48</v>
      </c>
      <c r="G393" s="19" t="n">
        <v>0</v>
      </c>
      <c r="H393" s="14" t="n">
        <v>21010</v>
      </c>
      <c r="I393" s="14" t="n">
        <v>21010</v>
      </c>
      <c r="J393" s="24" t="n">
        <v>0.766</v>
      </c>
      <c r="K393" s="19" t="n">
        <v>0</v>
      </c>
      <c r="L393" s="13" t="str">
        <f aca="false">IF(D393&gt;=Inputs!$C$14,"Near-prime","Non-prime")</f>
        <v>Non-prime</v>
      </c>
      <c r="M393" s="19" t="n">
        <f aca="false">IF(K393&lt;=Inputs!$C$19,1,0)</f>
        <v>1</v>
      </c>
      <c r="N393" s="19" t="n">
        <f aca="false">IF(F393&lt;=Inputs!$C$20,1,0)</f>
        <v>1</v>
      </c>
      <c r="O393" s="19" t="n">
        <f aca="false">IF(J393&lt;=Inputs!$C$21,1,0)</f>
        <v>1</v>
      </c>
      <c r="P393" s="19" t="n">
        <f aca="false">IF(D393&gt;=Inputs!$C$22,1,0)</f>
        <v>1</v>
      </c>
      <c r="Q393" s="19" t="n">
        <f aca="false">IF(I393&lt;=Inputs!$C$23,1,0)</f>
        <v>1</v>
      </c>
      <c r="R393" s="19" t="n">
        <f aca="false">M393*N393*O393*P393*Q393</f>
        <v>1</v>
      </c>
      <c r="S393" s="14" t="n">
        <f aca="false">I393*R393</f>
        <v>21010</v>
      </c>
      <c r="T393" s="19" t="n">
        <f aca="false">IF(F393&gt;72,1,0)</f>
        <v>0</v>
      </c>
      <c r="U393" s="19" t="n">
        <f aca="false">IF(J393&gt;1.25,1,0)</f>
        <v>0</v>
      </c>
    </row>
    <row r="394" customFormat="false" ht="15" hidden="false" customHeight="false" outlineLevel="0" collapsed="false">
      <c r="B394" s="13" t="s">
        <v>614</v>
      </c>
      <c r="C394" s="13" t="s">
        <v>252</v>
      </c>
      <c r="D394" s="19" t="n">
        <v>606</v>
      </c>
      <c r="E394" s="23" t="n">
        <v>0.2199</v>
      </c>
      <c r="F394" s="19" t="n">
        <v>75</v>
      </c>
      <c r="G394" s="19" t="n">
        <v>10</v>
      </c>
      <c r="H394" s="14" t="n">
        <v>20020</v>
      </c>
      <c r="I394" s="14" t="n">
        <v>18647.13</v>
      </c>
      <c r="J394" s="24" t="n">
        <v>1.25</v>
      </c>
      <c r="K394" s="19" t="n">
        <v>0</v>
      </c>
      <c r="L394" s="13" t="str">
        <f aca="false">IF(D394&gt;=Inputs!$C$14,"Near-prime","Non-prime")</f>
        <v>Non-prime</v>
      </c>
      <c r="M394" s="19" t="n">
        <f aca="false">IF(K394&lt;=Inputs!$C$19,1,0)</f>
        <v>1</v>
      </c>
      <c r="N394" s="19" t="n">
        <f aca="false">IF(F394&lt;=Inputs!$C$20,1,0)</f>
        <v>1</v>
      </c>
      <c r="O394" s="19" t="n">
        <f aca="false">IF(J394&lt;=Inputs!$C$21,1,0)</f>
        <v>1</v>
      </c>
      <c r="P394" s="19" t="n">
        <f aca="false">IF(D394&gt;=Inputs!$C$22,1,0)</f>
        <v>1</v>
      </c>
      <c r="Q394" s="19" t="n">
        <f aca="false">IF(I394&lt;=Inputs!$C$23,1,0)</f>
        <v>1</v>
      </c>
      <c r="R394" s="19" t="n">
        <f aca="false">M394*N394*O394*P394*Q394</f>
        <v>1</v>
      </c>
      <c r="S394" s="14" t="n">
        <f aca="false">I394*R394</f>
        <v>18647.13</v>
      </c>
      <c r="T394" s="19" t="n">
        <f aca="false">IF(F394&gt;72,1,0)</f>
        <v>1</v>
      </c>
      <c r="U394" s="19" t="n">
        <f aca="false">IF(J394&gt;1.25,1,0)</f>
        <v>0</v>
      </c>
    </row>
    <row r="395" customFormat="false" ht="15" hidden="false" customHeight="false" outlineLevel="0" collapsed="false">
      <c r="B395" s="13" t="s">
        <v>615</v>
      </c>
      <c r="C395" s="13" t="s">
        <v>217</v>
      </c>
      <c r="D395" s="19" t="n">
        <v>714</v>
      </c>
      <c r="E395" s="23" t="n">
        <v>0.1732</v>
      </c>
      <c r="F395" s="19" t="n">
        <v>60</v>
      </c>
      <c r="G395" s="19" t="n">
        <v>5</v>
      </c>
      <c r="H395" s="14" t="n">
        <v>17380</v>
      </c>
      <c r="I395" s="14" t="n">
        <v>16432.63</v>
      </c>
      <c r="J395" s="24" t="n">
        <v>1.083</v>
      </c>
      <c r="K395" s="19" t="n">
        <v>0</v>
      </c>
      <c r="L395" s="13" t="str">
        <f aca="false">IF(D395&gt;=Inputs!$C$14,"Near-prime","Non-prime")</f>
        <v>Near-prime</v>
      </c>
      <c r="M395" s="19" t="n">
        <f aca="false">IF(K395&lt;=Inputs!$C$19,1,0)</f>
        <v>1</v>
      </c>
      <c r="N395" s="19" t="n">
        <f aca="false">IF(F395&lt;=Inputs!$C$20,1,0)</f>
        <v>1</v>
      </c>
      <c r="O395" s="19" t="n">
        <f aca="false">IF(J395&lt;=Inputs!$C$21,1,0)</f>
        <v>1</v>
      </c>
      <c r="P395" s="19" t="n">
        <f aca="false">IF(D395&gt;=Inputs!$C$22,1,0)</f>
        <v>1</v>
      </c>
      <c r="Q395" s="19" t="n">
        <f aca="false">IF(I395&lt;=Inputs!$C$23,1,0)</f>
        <v>1</v>
      </c>
      <c r="R395" s="19" t="n">
        <f aca="false">M395*N395*O395*P395*Q395</f>
        <v>1</v>
      </c>
      <c r="S395" s="14" t="n">
        <f aca="false">I395*R395</f>
        <v>16432.63</v>
      </c>
      <c r="T395" s="19" t="n">
        <f aca="false">IF(F395&gt;72,1,0)</f>
        <v>0</v>
      </c>
      <c r="U395" s="19" t="n">
        <f aca="false">IF(J395&gt;1.25,1,0)</f>
        <v>0</v>
      </c>
    </row>
    <row r="396" customFormat="false" ht="15" hidden="false" customHeight="false" outlineLevel="0" collapsed="false">
      <c r="B396" s="13" t="s">
        <v>616</v>
      </c>
      <c r="C396" s="13" t="s">
        <v>237</v>
      </c>
      <c r="D396" s="19" t="n">
        <v>626</v>
      </c>
      <c r="E396" s="23" t="n">
        <v>0.1951</v>
      </c>
      <c r="F396" s="19" t="n">
        <v>60</v>
      </c>
      <c r="G396" s="19" t="n">
        <v>0</v>
      </c>
      <c r="H396" s="14" t="n">
        <v>18410</v>
      </c>
      <c r="I396" s="14" t="n">
        <v>18410</v>
      </c>
      <c r="J396" s="24" t="n">
        <v>0.865</v>
      </c>
      <c r="K396" s="19" t="n">
        <v>0</v>
      </c>
      <c r="L396" s="13" t="str">
        <f aca="false">IF(D396&gt;=Inputs!$C$14,"Near-prime","Non-prime")</f>
        <v>Near-prime</v>
      </c>
      <c r="M396" s="19" t="n">
        <f aca="false">IF(K396&lt;=Inputs!$C$19,1,0)</f>
        <v>1</v>
      </c>
      <c r="N396" s="19" t="n">
        <f aca="false">IF(F396&lt;=Inputs!$C$20,1,0)</f>
        <v>1</v>
      </c>
      <c r="O396" s="19" t="n">
        <f aca="false">IF(J396&lt;=Inputs!$C$21,1,0)</f>
        <v>1</v>
      </c>
      <c r="P396" s="19" t="n">
        <f aca="false">IF(D396&gt;=Inputs!$C$22,1,0)</f>
        <v>1</v>
      </c>
      <c r="Q396" s="19" t="n">
        <f aca="false">IF(I396&lt;=Inputs!$C$23,1,0)</f>
        <v>1</v>
      </c>
      <c r="R396" s="19" t="n">
        <f aca="false">M396*N396*O396*P396*Q396</f>
        <v>1</v>
      </c>
      <c r="S396" s="14" t="n">
        <f aca="false">I396*R396</f>
        <v>18410</v>
      </c>
      <c r="T396" s="19" t="n">
        <f aca="false">IF(F396&gt;72,1,0)</f>
        <v>0</v>
      </c>
      <c r="U396" s="19" t="n">
        <f aca="false">IF(J396&gt;1.25,1,0)</f>
        <v>0</v>
      </c>
    </row>
    <row r="397" customFormat="false" ht="15" hidden="false" customHeight="false" outlineLevel="0" collapsed="false">
      <c r="B397" s="13" t="s">
        <v>617</v>
      </c>
      <c r="C397" s="13" t="s">
        <v>223</v>
      </c>
      <c r="D397" s="19" t="n">
        <v>556</v>
      </c>
      <c r="E397" s="23" t="n">
        <v>0.2421</v>
      </c>
      <c r="F397" s="19" t="n">
        <v>60</v>
      </c>
      <c r="G397" s="19" t="n">
        <v>8</v>
      </c>
      <c r="H397" s="14" t="n">
        <v>21810</v>
      </c>
      <c r="I397" s="14" t="n">
        <v>20177.59</v>
      </c>
      <c r="J397" s="24" t="n">
        <v>1.123</v>
      </c>
      <c r="K397" s="19" t="n">
        <v>75</v>
      </c>
      <c r="L397" s="13" t="str">
        <f aca="false">IF(D397&gt;=Inputs!$C$14,"Near-prime","Non-prime")</f>
        <v>Non-prime</v>
      </c>
      <c r="M397" s="19" t="n">
        <f aca="false">IF(K397&lt;=Inputs!$C$19,1,0)</f>
        <v>0</v>
      </c>
      <c r="N397" s="19" t="n">
        <f aca="false">IF(F397&lt;=Inputs!$C$20,1,0)</f>
        <v>1</v>
      </c>
      <c r="O397" s="19" t="n">
        <f aca="false">IF(J397&lt;=Inputs!$C$21,1,0)</f>
        <v>1</v>
      </c>
      <c r="P397" s="19" t="n">
        <f aca="false">IF(D397&gt;=Inputs!$C$22,1,0)</f>
        <v>1</v>
      </c>
      <c r="Q397" s="19" t="n">
        <f aca="false">IF(I397&lt;=Inputs!$C$23,1,0)</f>
        <v>1</v>
      </c>
      <c r="R397" s="19" t="n">
        <f aca="false">M397*N397*O397*P397*Q397</f>
        <v>0</v>
      </c>
      <c r="S397" s="14" t="n">
        <f aca="false">I397*R397</f>
        <v>0</v>
      </c>
      <c r="T397" s="19" t="n">
        <f aca="false">IF(F397&gt;72,1,0)</f>
        <v>0</v>
      </c>
      <c r="U397" s="19" t="n">
        <f aca="false">IF(J397&gt;1.25,1,0)</f>
        <v>0</v>
      </c>
    </row>
    <row r="398" customFormat="false" ht="15" hidden="false" customHeight="false" outlineLevel="0" collapsed="false">
      <c r="B398" s="13" t="s">
        <v>618</v>
      </c>
      <c r="C398" s="13" t="s">
        <v>252</v>
      </c>
      <c r="D398" s="19" t="n">
        <v>624</v>
      </c>
      <c r="E398" s="23" t="n">
        <v>0.2185</v>
      </c>
      <c r="F398" s="19" t="n">
        <v>60</v>
      </c>
      <c r="G398" s="19" t="n">
        <v>4</v>
      </c>
      <c r="H398" s="14" t="n">
        <v>32000</v>
      </c>
      <c r="I398" s="14" t="n">
        <v>30773.35</v>
      </c>
      <c r="J398" s="24" t="n">
        <v>0.779</v>
      </c>
      <c r="K398" s="19" t="n">
        <v>0</v>
      </c>
      <c r="L398" s="13" t="str">
        <f aca="false">IF(D398&gt;=Inputs!$C$14,"Near-prime","Non-prime")</f>
        <v>Near-prime</v>
      </c>
      <c r="M398" s="19" t="n">
        <f aca="false">IF(K398&lt;=Inputs!$C$19,1,0)</f>
        <v>1</v>
      </c>
      <c r="N398" s="19" t="n">
        <f aca="false">IF(F398&lt;=Inputs!$C$20,1,0)</f>
        <v>1</v>
      </c>
      <c r="O398" s="19" t="n">
        <f aca="false">IF(J398&lt;=Inputs!$C$21,1,0)</f>
        <v>1</v>
      </c>
      <c r="P398" s="19" t="n">
        <f aca="false">IF(D398&gt;=Inputs!$C$22,1,0)</f>
        <v>1</v>
      </c>
      <c r="Q398" s="19" t="n">
        <f aca="false">IF(I398&lt;=Inputs!$C$23,1,0)</f>
        <v>1</v>
      </c>
      <c r="R398" s="19" t="n">
        <f aca="false">M398*N398*O398*P398*Q398</f>
        <v>1</v>
      </c>
      <c r="S398" s="14" t="n">
        <f aca="false">I398*R398</f>
        <v>30773.35</v>
      </c>
      <c r="T398" s="19" t="n">
        <f aca="false">IF(F398&gt;72,1,0)</f>
        <v>0</v>
      </c>
      <c r="U398" s="19" t="n">
        <f aca="false">IF(J398&gt;1.25,1,0)</f>
        <v>0</v>
      </c>
    </row>
    <row r="399" customFormat="false" ht="15" hidden="false" customHeight="false" outlineLevel="0" collapsed="false">
      <c r="B399" s="13" t="s">
        <v>619</v>
      </c>
      <c r="C399" s="13" t="s">
        <v>223</v>
      </c>
      <c r="D399" s="19" t="n">
        <v>701</v>
      </c>
      <c r="E399" s="23" t="n">
        <v>0.1778</v>
      </c>
      <c r="F399" s="19" t="n">
        <v>72</v>
      </c>
      <c r="G399" s="19" t="n">
        <v>3</v>
      </c>
      <c r="H399" s="14" t="n">
        <v>24450</v>
      </c>
      <c r="I399" s="14" t="n">
        <v>23864.37</v>
      </c>
      <c r="J399" s="24" t="n">
        <v>1.19</v>
      </c>
      <c r="K399" s="19" t="n">
        <v>0</v>
      </c>
      <c r="L399" s="13" t="str">
        <f aca="false">IF(D399&gt;=Inputs!$C$14,"Near-prime","Non-prime")</f>
        <v>Near-prime</v>
      </c>
      <c r="M399" s="19" t="n">
        <f aca="false">IF(K399&lt;=Inputs!$C$19,1,0)</f>
        <v>1</v>
      </c>
      <c r="N399" s="19" t="n">
        <f aca="false">IF(F399&lt;=Inputs!$C$20,1,0)</f>
        <v>1</v>
      </c>
      <c r="O399" s="19" t="n">
        <f aca="false">IF(J399&lt;=Inputs!$C$21,1,0)</f>
        <v>1</v>
      </c>
      <c r="P399" s="19" t="n">
        <f aca="false">IF(D399&gt;=Inputs!$C$22,1,0)</f>
        <v>1</v>
      </c>
      <c r="Q399" s="19" t="n">
        <f aca="false">IF(I399&lt;=Inputs!$C$23,1,0)</f>
        <v>1</v>
      </c>
      <c r="R399" s="19" t="n">
        <f aca="false">M399*N399*O399*P399*Q399</f>
        <v>1</v>
      </c>
      <c r="S399" s="14" t="n">
        <f aca="false">I399*R399</f>
        <v>23864.37</v>
      </c>
      <c r="T399" s="19" t="n">
        <f aca="false">IF(F399&gt;72,1,0)</f>
        <v>0</v>
      </c>
      <c r="U399" s="19" t="n">
        <f aca="false">IF(J399&gt;1.25,1,0)</f>
        <v>0</v>
      </c>
    </row>
    <row r="400" customFormat="false" ht="15" hidden="false" customHeight="false" outlineLevel="0" collapsed="false">
      <c r="B400" s="13" t="s">
        <v>620</v>
      </c>
      <c r="C400" s="13" t="s">
        <v>219</v>
      </c>
      <c r="D400" s="19" t="n">
        <v>624</v>
      </c>
      <c r="E400" s="23" t="n">
        <v>0.2279</v>
      </c>
      <c r="F400" s="19" t="n">
        <v>66</v>
      </c>
      <c r="G400" s="19" t="n">
        <v>0</v>
      </c>
      <c r="H400" s="14" t="n">
        <v>31700</v>
      </c>
      <c r="I400" s="14" t="n">
        <v>31700</v>
      </c>
      <c r="J400" s="24" t="n">
        <v>1.043</v>
      </c>
      <c r="K400" s="19" t="n">
        <v>0</v>
      </c>
      <c r="L400" s="13" t="str">
        <f aca="false">IF(D400&gt;=Inputs!$C$14,"Near-prime","Non-prime")</f>
        <v>Near-prime</v>
      </c>
      <c r="M400" s="19" t="n">
        <f aca="false">IF(K400&lt;=Inputs!$C$19,1,0)</f>
        <v>1</v>
      </c>
      <c r="N400" s="19" t="n">
        <f aca="false">IF(F400&lt;=Inputs!$C$20,1,0)</f>
        <v>1</v>
      </c>
      <c r="O400" s="19" t="n">
        <f aca="false">IF(J400&lt;=Inputs!$C$21,1,0)</f>
        <v>1</v>
      </c>
      <c r="P400" s="19" t="n">
        <f aca="false">IF(D400&gt;=Inputs!$C$22,1,0)</f>
        <v>1</v>
      </c>
      <c r="Q400" s="19" t="n">
        <f aca="false">IF(I400&lt;=Inputs!$C$23,1,0)</f>
        <v>1</v>
      </c>
      <c r="R400" s="19" t="n">
        <f aca="false">M400*N400*O400*P400*Q400</f>
        <v>1</v>
      </c>
      <c r="S400" s="14" t="n">
        <f aca="false">I400*R400</f>
        <v>31700</v>
      </c>
      <c r="T400" s="19" t="n">
        <f aca="false">IF(F400&gt;72,1,0)</f>
        <v>0</v>
      </c>
      <c r="U400" s="19" t="n">
        <f aca="false">IF(J400&gt;1.25,1,0)</f>
        <v>0</v>
      </c>
    </row>
    <row r="401" customFormat="false" ht="15" hidden="false" customHeight="false" outlineLevel="0" collapsed="false">
      <c r="B401" s="13" t="s">
        <v>621</v>
      </c>
      <c r="C401" s="13" t="s">
        <v>219</v>
      </c>
      <c r="D401" s="19" t="n">
        <v>687</v>
      </c>
      <c r="E401" s="23" t="n">
        <v>0.1934</v>
      </c>
      <c r="F401" s="19" t="n">
        <v>60</v>
      </c>
      <c r="G401" s="19" t="n">
        <v>0</v>
      </c>
      <c r="H401" s="14" t="n">
        <v>21860</v>
      </c>
      <c r="I401" s="14" t="n">
        <v>21860</v>
      </c>
      <c r="J401" s="24" t="n">
        <v>0.934</v>
      </c>
      <c r="K401" s="19" t="n">
        <v>0</v>
      </c>
      <c r="L401" s="13" t="str">
        <f aca="false">IF(D401&gt;=Inputs!$C$14,"Near-prime","Non-prime")</f>
        <v>Near-prime</v>
      </c>
      <c r="M401" s="19" t="n">
        <f aca="false">IF(K401&lt;=Inputs!$C$19,1,0)</f>
        <v>1</v>
      </c>
      <c r="N401" s="19" t="n">
        <f aca="false">IF(F401&lt;=Inputs!$C$20,1,0)</f>
        <v>1</v>
      </c>
      <c r="O401" s="19" t="n">
        <f aca="false">IF(J401&lt;=Inputs!$C$21,1,0)</f>
        <v>1</v>
      </c>
      <c r="P401" s="19" t="n">
        <f aca="false">IF(D401&gt;=Inputs!$C$22,1,0)</f>
        <v>1</v>
      </c>
      <c r="Q401" s="19" t="n">
        <f aca="false">IF(I401&lt;=Inputs!$C$23,1,0)</f>
        <v>1</v>
      </c>
      <c r="R401" s="19" t="n">
        <f aca="false">M401*N401*O401*P401*Q401</f>
        <v>1</v>
      </c>
      <c r="S401" s="14" t="n">
        <f aca="false">I401*R401</f>
        <v>21860</v>
      </c>
      <c r="T401" s="19" t="n">
        <f aca="false">IF(F401&gt;72,1,0)</f>
        <v>0</v>
      </c>
      <c r="U401" s="19" t="n">
        <f aca="false">IF(J401&gt;1.25,1,0)</f>
        <v>0</v>
      </c>
    </row>
    <row r="402" customFormat="false" ht="15" hidden="false" customHeight="false" outlineLevel="0" collapsed="false">
      <c r="B402" s="13" t="s">
        <v>622</v>
      </c>
      <c r="C402" s="13" t="s">
        <v>223</v>
      </c>
      <c r="D402" s="19" t="n">
        <v>664</v>
      </c>
      <c r="E402" s="23" t="n">
        <v>0.2179</v>
      </c>
      <c r="F402" s="19" t="n">
        <v>66</v>
      </c>
      <c r="G402" s="19" t="n">
        <v>10</v>
      </c>
      <c r="H402" s="14" t="n">
        <v>24250</v>
      </c>
      <c r="I402" s="14" t="n">
        <v>22152.55</v>
      </c>
      <c r="J402" s="24" t="n">
        <v>1.344</v>
      </c>
      <c r="K402" s="19" t="n">
        <v>0</v>
      </c>
      <c r="L402" s="13" t="str">
        <f aca="false">IF(D402&gt;=Inputs!$C$14,"Near-prime","Non-prime")</f>
        <v>Near-prime</v>
      </c>
      <c r="M402" s="19" t="n">
        <f aca="false">IF(K402&lt;=Inputs!$C$19,1,0)</f>
        <v>1</v>
      </c>
      <c r="N402" s="19" t="n">
        <f aca="false">IF(F402&lt;=Inputs!$C$20,1,0)</f>
        <v>1</v>
      </c>
      <c r="O402" s="19" t="n">
        <f aca="false">IF(J402&lt;=Inputs!$C$21,1,0)</f>
        <v>1</v>
      </c>
      <c r="P402" s="19" t="n">
        <f aca="false">IF(D402&gt;=Inputs!$C$22,1,0)</f>
        <v>1</v>
      </c>
      <c r="Q402" s="19" t="n">
        <f aca="false">IF(I402&lt;=Inputs!$C$23,1,0)</f>
        <v>1</v>
      </c>
      <c r="R402" s="19" t="n">
        <f aca="false">M402*N402*O402*P402*Q402</f>
        <v>1</v>
      </c>
      <c r="S402" s="14" t="n">
        <f aca="false">I402*R402</f>
        <v>22152.55</v>
      </c>
      <c r="T402" s="19" t="n">
        <f aca="false">IF(F402&gt;72,1,0)</f>
        <v>0</v>
      </c>
      <c r="U402" s="19" t="n">
        <f aca="false">IF(J402&gt;1.25,1,0)</f>
        <v>1</v>
      </c>
    </row>
    <row r="403" customFormat="false" ht="15" hidden="false" customHeight="false" outlineLevel="0" collapsed="false">
      <c r="B403" s="13" t="s">
        <v>623</v>
      </c>
      <c r="C403" s="13" t="s">
        <v>257</v>
      </c>
      <c r="D403" s="19" t="n">
        <v>578</v>
      </c>
      <c r="E403" s="23" t="n">
        <v>0.2171</v>
      </c>
      <c r="F403" s="19" t="n">
        <v>75</v>
      </c>
      <c r="G403" s="19" t="n">
        <v>4</v>
      </c>
      <c r="H403" s="14" t="n">
        <v>13560</v>
      </c>
      <c r="I403" s="14" t="n">
        <v>13204.64</v>
      </c>
      <c r="J403" s="24" t="n">
        <v>0.76</v>
      </c>
      <c r="K403" s="19" t="n">
        <v>0</v>
      </c>
      <c r="L403" s="13" t="str">
        <f aca="false">IF(D403&gt;=Inputs!$C$14,"Near-prime","Non-prime")</f>
        <v>Non-prime</v>
      </c>
      <c r="M403" s="19" t="n">
        <f aca="false">IF(K403&lt;=Inputs!$C$19,1,0)</f>
        <v>1</v>
      </c>
      <c r="N403" s="19" t="n">
        <f aca="false">IF(F403&lt;=Inputs!$C$20,1,0)</f>
        <v>1</v>
      </c>
      <c r="O403" s="19" t="n">
        <f aca="false">IF(J403&lt;=Inputs!$C$21,1,0)</f>
        <v>1</v>
      </c>
      <c r="P403" s="19" t="n">
        <f aca="false">IF(D403&gt;=Inputs!$C$22,1,0)</f>
        <v>1</v>
      </c>
      <c r="Q403" s="19" t="n">
        <f aca="false">IF(I403&lt;=Inputs!$C$23,1,0)</f>
        <v>1</v>
      </c>
      <c r="R403" s="19" t="n">
        <f aca="false">M403*N403*O403*P403*Q403</f>
        <v>1</v>
      </c>
      <c r="S403" s="14" t="n">
        <f aca="false">I403*R403</f>
        <v>13204.64</v>
      </c>
      <c r="T403" s="19" t="n">
        <f aca="false">IF(F403&gt;72,1,0)</f>
        <v>1</v>
      </c>
      <c r="U403" s="19" t="n">
        <f aca="false">IF(J403&gt;1.25,1,0)</f>
        <v>0</v>
      </c>
    </row>
    <row r="404" customFormat="false" ht="15" hidden="false" customHeight="false" outlineLevel="0" collapsed="false">
      <c r="B404" s="13" t="s">
        <v>624</v>
      </c>
      <c r="C404" s="13" t="s">
        <v>252</v>
      </c>
      <c r="D404" s="19" t="n">
        <v>671</v>
      </c>
      <c r="E404" s="23" t="n">
        <v>0.2159</v>
      </c>
      <c r="F404" s="19" t="n">
        <v>60</v>
      </c>
      <c r="G404" s="19" t="n">
        <v>4</v>
      </c>
      <c r="H404" s="14" t="n">
        <v>27290</v>
      </c>
      <c r="I404" s="14" t="n">
        <v>26236.47</v>
      </c>
      <c r="J404" s="24" t="n">
        <v>1.323</v>
      </c>
      <c r="K404" s="19" t="n">
        <v>30</v>
      </c>
      <c r="L404" s="13" t="str">
        <f aca="false">IF(D404&gt;=Inputs!$C$14,"Near-prime","Non-prime")</f>
        <v>Near-prime</v>
      </c>
      <c r="M404" s="19" t="n">
        <f aca="false">IF(K404&lt;=Inputs!$C$19,1,0)</f>
        <v>1</v>
      </c>
      <c r="N404" s="19" t="n">
        <f aca="false">IF(F404&lt;=Inputs!$C$20,1,0)</f>
        <v>1</v>
      </c>
      <c r="O404" s="19" t="n">
        <f aca="false">IF(J404&lt;=Inputs!$C$21,1,0)</f>
        <v>1</v>
      </c>
      <c r="P404" s="19" t="n">
        <f aca="false">IF(D404&gt;=Inputs!$C$22,1,0)</f>
        <v>1</v>
      </c>
      <c r="Q404" s="19" t="n">
        <f aca="false">IF(I404&lt;=Inputs!$C$23,1,0)</f>
        <v>1</v>
      </c>
      <c r="R404" s="19" t="n">
        <f aca="false">M404*N404*O404*P404*Q404</f>
        <v>1</v>
      </c>
      <c r="S404" s="14" t="n">
        <f aca="false">I404*R404</f>
        <v>26236.47</v>
      </c>
      <c r="T404" s="19" t="n">
        <f aca="false">IF(F404&gt;72,1,0)</f>
        <v>0</v>
      </c>
      <c r="U404" s="19" t="n">
        <f aca="false">IF(J404&gt;1.25,1,0)</f>
        <v>1</v>
      </c>
    </row>
    <row r="405" customFormat="false" ht="15" hidden="false" customHeight="false" outlineLevel="0" collapsed="false">
      <c r="B405" s="13" t="s">
        <v>625</v>
      </c>
      <c r="C405" s="13" t="s">
        <v>252</v>
      </c>
      <c r="D405" s="19" t="n">
        <v>648</v>
      </c>
      <c r="E405" s="23" t="n">
        <v>0.2164</v>
      </c>
      <c r="F405" s="19" t="n">
        <v>72</v>
      </c>
      <c r="G405" s="19" t="n">
        <v>6</v>
      </c>
      <c r="H405" s="14" t="n">
        <v>32050</v>
      </c>
      <c r="I405" s="14" t="n">
        <v>30665.97</v>
      </c>
      <c r="J405" s="24" t="n">
        <v>1.224</v>
      </c>
      <c r="K405" s="19" t="n">
        <v>0</v>
      </c>
      <c r="L405" s="13" t="str">
        <f aca="false">IF(D405&gt;=Inputs!$C$14,"Near-prime","Non-prime")</f>
        <v>Near-prime</v>
      </c>
      <c r="M405" s="19" t="n">
        <f aca="false">IF(K405&lt;=Inputs!$C$19,1,0)</f>
        <v>1</v>
      </c>
      <c r="N405" s="19" t="n">
        <f aca="false">IF(F405&lt;=Inputs!$C$20,1,0)</f>
        <v>1</v>
      </c>
      <c r="O405" s="19" t="n">
        <f aca="false">IF(J405&lt;=Inputs!$C$21,1,0)</f>
        <v>1</v>
      </c>
      <c r="P405" s="19" t="n">
        <f aca="false">IF(D405&gt;=Inputs!$C$22,1,0)</f>
        <v>1</v>
      </c>
      <c r="Q405" s="19" t="n">
        <f aca="false">IF(I405&lt;=Inputs!$C$23,1,0)</f>
        <v>1</v>
      </c>
      <c r="R405" s="19" t="n">
        <f aca="false">M405*N405*O405*P405*Q405</f>
        <v>1</v>
      </c>
      <c r="S405" s="14" t="n">
        <f aca="false">I405*R405</f>
        <v>30665.97</v>
      </c>
      <c r="T405" s="19" t="n">
        <f aca="false">IF(F405&gt;72,1,0)</f>
        <v>0</v>
      </c>
      <c r="U405" s="19" t="n">
        <f aca="false">IF(J405&gt;1.25,1,0)</f>
        <v>0</v>
      </c>
    </row>
    <row r="406" customFormat="false" ht="15" hidden="false" customHeight="false" outlineLevel="0" collapsed="false">
      <c r="B406" s="13" t="s">
        <v>626</v>
      </c>
      <c r="C406" s="13" t="s">
        <v>217</v>
      </c>
      <c r="D406" s="19" t="n">
        <v>619</v>
      </c>
      <c r="E406" s="23" t="n">
        <v>0.208</v>
      </c>
      <c r="F406" s="19" t="n">
        <v>72</v>
      </c>
      <c r="G406" s="19" t="n">
        <v>4</v>
      </c>
      <c r="H406" s="14" t="n">
        <v>24140</v>
      </c>
      <c r="I406" s="14" t="n">
        <v>23437.83</v>
      </c>
      <c r="J406" s="24" t="n">
        <v>0.879</v>
      </c>
      <c r="K406" s="19" t="n">
        <v>15</v>
      </c>
      <c r="L406" s="13" t="str">
        <f aca="false">IF(D406&gt;=Inputs!$C$14,"Near-prime","Non-prime")</f>
        <v>Non-prime</v>
      </c>
      <c r="M406" s="19" t="n">
        <f aca="false">IF(K406&lt;=Inputs!$C$19,1,0)</f>
        <v>1</v>
      </c>
      <c r="N406" s="19" t="n">
        <f aca="false">IF(F406&lt;=Inputs!$C$20,1,0)</f>
        <v>1</v>
      </c>
      <c r="O406" s="19" t="n">
        <f aca="false">IF(J406&lt;=Inputs!$C$21,1,0)</f>
        <v>1</v>
      </c>
      <c r="P406" s="19" t="n">
        <f aca="false">IF(D406&gt;=Inputs!$C$22,1,0)</f>
        <v>1</v>
      </c>
      <c r="Q406" s="19" t="n">
        <f aca="false">IF(I406&lt;=Inputs!$C$23,1,0)</f>
        <v>1</v>
      </c>
      <c r="R406" s="19" t="n">
        <f aca="false">M406*N406*O406*P406*Q406</f>
        <v>1</v>
      </c>
      <c r="S406" s="14" t="n">
        <f aca="false">I406*R406</f>
        <v>23437.83</v>
      </c>
      <c r="T406" s="19" t="n">
        <f aca="false">IF(F406&gt;72,1,0)</f>
        <v>0</v>
      </c>
      <c r="U406" s="19" t="n">
        <f aca="false">IF(J406&gt;1.25,1,0)</f>
        <v>0</v>
      </c>
    </row>
    <row r="407" customFormat="false" ht="15" hidden="false" customHeight="false" outlineLevel="0" collapsed="false">
      <c r="B407" s="13" t="s">
        <v>627</v>
      </c>
      <c r="C407" s="13" t="s">
        <v>223</v>
      </c>
      <c r="D407" s="19" t="n">
        <v>574</v>
      </c>
      <c r="E407" s="23" t="n">
        <v>0.2177</v>
      </c>
      <c r="F407" s="19" t="n">
        <v>66</v>
      </c>
      <c r="G407" s="19" t="n">
        <v>0</v>
      </c>
      <c r="H407" s="14" t="n">
        <v>33680</v>
      </c>
      <c r="I407" s="14" t="n">
        <v>33680</v>
      </c>
      <c r="J407" s="24" t="n">
        <v>1.031</v>
      </c>
      <c r="K407" s="19" t="n">
        <v>0</v>
      </c>
      <c r="L407" s="13" t="str">
        <f aca="false">IF(D407&gt;=Inputs!$C$14,"Near-prime","Non-prime")</f>
        <v>Non-prime</v>
      </c>
      <c r="M407" s="19" t="n">
        <f aca="false">IF(K407&lt;=Inputs!$C$19,1,0)</f>
        <v>1</v>
      </c>
      <c r="N407" s="19" t="n">
        <f aca="false">IF(F407&lt;=Inputs!$C$20,1,0)</f>
        <v>1</v>
      </c>
      <c r="O407" s="19" t="n">
        <f aca="false">IF(J407&lt;=Inputs!$C$21,1,0)</f>
        <v>1</v>
      </c>
      <c r="P407" s="19" t="n">
        <f aca="false">IF(D407&gt;=Inputs!$C$22,1,0)</f>
        <v>1</v>
      </c>
      <c r="Q407" s="19" t="n">
        <f aca="false">IF(I407&lt;=Inputs!$C$23,1,0)</f>
        <v>1</v>
      </c>
      <c r="R407" s="19" t="n">
        <f aca="false">M407*N407*O407*P407*Q407</f>
        <v>1</v>
      </c>
      <c r="S407" s="14" t="n">
        <f aca="false">I407*R407</f>
        <v>33680</v>
      </c>
      <c r="T407" s="19" t="n">
        <f aca="false">IF(F407&gt;72,1,0)</f>
        <v>0</v>
      </c>
      <c r="U407" s="19" t="n">
        <f aca="false">IF(J407&gt;1.25,1,0)</f>
        <v>0</v>
      </c>
    </row>
    <row r="408" customFormat="false" ht="15" hidden="false" customHeight="false" outlineLevel="0" collapsed="false">
      <c r="B408" s="13" t="s">
        <v>628</v>
      </c>
      <c r="C408" s="13" t="s">
        <v>223</v>
      </c>
      <c r="D408" s="19" t="n">
        <v>731</v>
      </c>
      <c r="E408" s="23" t="n">
        <v>0.205</v>
      </c>
      <c r="F408" s="19" t="n">
        <v>72</v>
      </c>
      <c r="G408" s="19" t="n">
        <v>8</v>
      </c>
      <c r="H408" s="14" t="n">
        <v>35490</v>
      </c>
      <c r="I408" s="14" t="n">
        <v>33331.28</v>
      </c>
      <c r="J408" s="24" t="n">
        <v>0.878</v>
      </c>
      <c r="K408" s="19" t="n">
        <v>0</v>
      </c>
      <c r="L408" s="13" t="str">
        <f aca="false">IF(D408&gt;=Inputs!$C$14,"Near-prime","Non-prime")</f>
        <v>Near-prime</v>
      </c>
      <c r="M408" s="19" t="n">
        <f aca="false">IF(K408&lt;=Inputs!$C$19,1,0)</f>
        <v>1</v>
      </c>
      <c r="N408" s="19" t="n">
        <f aca="false">IF(F408&lt;=Inputs!$C$20,1,0)</f>
        <v>1</v>
      </c>
      <c r="O408" s="19" t="n">
        <f aca="false">IF(J408&lt;=Inputs!$C$21,1,0)</f>
        <v>1</v>
      </c>
      <c r="P408" s="19" t="n">
        <f aca="false">IF(D408&gt;=Inputs!$C$22,1,0)</f>
        <v>1</v>
      </c>
      <c r="Q408" s="19" t="n">
        <f aca="false">IF(I408&lt;=Inputs!$C$23,1,0)</f>
        <v>1</v>
      </c>
      <c r="R408" s="19" t="n">
        <f aca="false">M408*N408*O408*P408*Q408</f>
        <v>1</v>
      </c>
      <c r="S408" s="14" t="n">
        <f aca="false">I408*R408</f>
        <v>33331.28</v>
      </c>
      <c r="T408" s="19" t="n">
        <f aca="false">IF(F408&gt;72,1,0)</f>
        <v>0</v>
      </c>
      <c r="U408" s="19" t="n">
        <f aca="false">IF(J408&gt;1.25,1,0)</f>
        <v>0</v>
      </c>
    </row>
    <row r="409" customFormat="false" ht="15" hidden="false" customHeight="false" outlineLevel="0" collapsed="false">
      <c r="B409" s="13" t="s">
        <v>629</v>
      </c>
      <c r="C409" s="13" t="s">
        <v>217</v>
      </c>
      <c r="D409" s="19" t="n">
        <v>601</v>
      </c>
      <c r="E409" s="23" t="n">
        <v>0.2217</v>
      </c>
      <c r="F409" s="19" t="n">
        <v>66</v>
      </c>
      <c r="G409" s="19" t="n">
        <v>1</v>
      </c>
      <c r="H409" s="14" t="n">
        <v>24840</v>
      </c>
      <c r="I409" s="14" t="n">
        <v>24644.51</v>
      </c>
      <c r="J409" s="24" t="n">
        <v>0.892</v>
      </c>
      <c r="K409" s="19" t="n">
        <v>0</v>
      </c>
      <c r="L409" s="13" t="str">
        <f aca="false">IF(D409&gt;=Inputs!$C$14,"Near-prime","Non-prime")</f>
        <v>Non-prime</v>
      </c>
      <c r="M409" s="19" t="n">
        <f aca="false">IF(K409&lt;=Inputs!$C$19,1,0)</f>
        <v>1</v>
      </c>
      <c r="N409" s="19" t="n">
        <f aca="false">IF(F409&lt;=Inputs!$C$20,1,0)</f>
        <v>1</v>
      </c>
      <c r="O409" s="19" t="n">
        <f aca="false">IF(J409&lt;=Inputs!$C$21,1,0)</f>
        <v>1</v>
      </c>
      <c r="P409" s="19" t="n">
        <f aca="false">IF(D409&gt;=Inputs!$C$22,1,0)</f>
        <v>1</v>
      </c>
      <c r="Q409" s="19" t="n">
        <f aca="false">IF(I409&lt;=Inputs!$C$23,1,0)</f>
        <v>1</v>
      </c>
      <c r="R409" s="19" t="n">
        <f aca="false">M409*N409*O409*P409*Q409</f>
        <v>1</v>
      </c>
      <c r="S409" s="14" t="n">
        <f aca="false">I409*R409</f>
        <v>24644.51</v>
      </c>
      <c r="T409" s="19" t="n">
        <f aca="false">IF(F409&gt;72,1,0)</f>
        <v>0</v>
      </c>
      <c r="U409" s="19" t="n">
        <f aca="false">IF(J409&gt;1.25,1,0)</f>
        <v>0</v>
      </c>
    </row>
    <row r="410" customFormat="false" ht="15" hidden="false" customHeight="false" outlineLevel="0" collapsed="false">
      <c r="B410" s="13" t="s">
        <v>630</v>
      </c>
      <c r="C410" s="13" t="s">
        <v>217</v>
      </c>
      <c r="D410" s="19" t="n">
        <v>542</v>
      </c>
      <c r="E410" s="23" t="n">
        <v>0.2172</v>
      </c>
      <c r="F410" s="19" t="n">
        <v>72</v>
      </c>
      <c r="G410" s="19" t="n">
        <v>6</v>
      </c>
      <c r="H410" s="14" t="n">
        <v>27720</v>
      </c>
      <c r="I410" s="14" t="n">
        <v>26526.12</v>
      </c>
      <c r="J410" s="24" t="n">
        <v>1.465</v>
      </c>
      <c r="K410" s="19" t="n">
        <v>0</v>
      </c>
      <c r="L410" s="13" t="str">
        <f aca="false">IF(D410&gt;=Inputs!$C$14,"Near-prime","Non-prime")</f>
        <v>Non-prime</v>
      </c>
      <c r="M410" s="19" t="n">
        <f aca="false">IF(K410&lt;=Inputs!$C$19,1,0)</f>
        <v>1</v>
      </c>
      <c r="N410" s="19" t="n">
        <f aca="false">IF(F410&lt;=Inputs!$C$20,1,0)</f>
        <v>1</v>
      </c>
      <c r="O410" s="19" t="n">
        <f aca="false">IF(J410&lt;=Inputs!$C$21,1,0)</f>
        <v>1</v>
      </c>
      <c r="P410" s="19" t="n">
        <f aca="false">IF(D410&gt;=Inputs!$C$22,1,0)</f>
        <v>1</v>
      </c>
      <c r="Q410" s="19" t="n">
        <f aca="false">IF(I410&lt;=Inputs!$C$23,1,0)</f>
        <v>1</v>
      </c>
      <c r="R410" s="19" t="n">
        <f aca="false">M410*N410*O410*P410*Q410</f>
        <v>1</v>
      </c>
      <c r="S410" s="14" t="n">
        <f aca="false">I410*R410</f>
        <v>26526.12</v>
      </c>
      <c r="T410" s="19" t="n">
        <f aca="false">IF(F410&gt;72,1,0)</f>
        <v>0</v>
      </c>
      <c r="U410" s="19" t="n">
        <f aca="false">IF(J410&gt;1.25,1,0)</f>
        <v>1</v>
      </c>
    </row>
    <row r="411" customFormat="false" ht="15" hidden="false" customHeight="false" outlineLevel="0" collapsed="false">
      <c r="B411" s="13" t="s">
        <v>631</v>
      </c>
      <c r="C411" s="13" t="s">
        <v>219</v>
      </c>
      <c r="D411" s="19" t="n">
        <v>691</v>
      </c>
      <c r="E411" s="23" t="n">
        <v>0.1858</v>
      </c>
      <c r="F411" s="19" t="n">
        <v>60</v>
      </c>
      <c r="G411" s="19" t="n">
        <v>6</v>
      </c>
      <c r="H411" s="14" t="n">
        <v>46370</v>
      </c>
      <c r="I411" s="14" t="n">
        <v>43412.3</v>
      </c>
      <c r="J411" s="24" t="n">
        <v>0.932</v>
      </c>
      <c r="K411" s="19" t="n">
        <v>0</v>
      </c>
      <c r="L411" s="13" t="str">
        <f aca="false">IF(D411&gt;=Inputs!$C$14,"Near-prime","Non-prime")</f>
        <v>Near-prime</v>
      </c>
      <c r="M411" s="19" t="n">
        <f aca="false">IF(K411&lt;=Inputs!$C$19,1,0)</f>
        <v>1</v>
      </c>
      <c r="N411" s="19" t="n">
        <f aca="false">IF(F411&lt;=Inputs!$C$20,1,0)</f>
        <v>1</v>
      </c>
      <c r="O411" s="19" t="n">
        <f aca="false">IF(J411&lt;=Inputs!$C$21,1,0)</f>
        <v>1</v>
      </c>
      <c r="P411" s="19" t="n">
        <f aca="false">IF(D411&gt;=Inputs!$C$22,1,0)</f>
        <v>1</v>
      </c>
      <c r="Q411" s="19" t="n">
        <f aca="false">IF(I411&lt;=Inputs!$C$23,1,0)</f>
        <v>1</v>
      </c>
      <c r="R411" s="19" t="n">
        <f aca="false">M411*N411*O411*P411*Q411</f>
        <v>1</v>
      </c>
      <c r="S411" s="14" t="n">
        <f aca="false">I411*R411</f>
        <v>43412.3</v>
      </c>
      <c r="T411" s="19" t="n">
        <f aca="false">IF(F411&gt;72,1,0)</f>
        <v>0</v>
      </c>
      <c r="U411" s="19" t="n">
        <f aca="false">IF(J411&gt;1.25,1,0)</f>
        <v>0</v>
      </c>
    </row>
    <row r="412" customFormat="false" ht="15" hidden="false" customHeight="false" outlineLevel="0" collapsed="false">
      <c r="B412" s="13" t="s">
        <v>632</v>
      </c>
      <c r="C412" s="13" t="s">
        <v>223</v>
      </c>
      <c r="D412" s="19" t="n">
        <v>625</v>
      </c>
      <c r="E412" s="23" t="n">
        <v>0.2061</v>
      </c>
      <c r="F412" s="19" t="n">
        <v>66</v>
      </c>
      <c r="G412" s="19" t="n">
        <v>1</v>
      </c>
      <c r="H412" s="14" t="n">
        <v>18060</v>
      </c>
      <c r="I412" s="14" t="n">
        <v>17910.65</v>
      </c>
      <c r="J412" s="24" t="n">
        <v>1.095</v>
      </c>
      <c r="K412" s="19" t="n">
        <v>0</v>
      </c>
      <c r="L412" s="13" t="str">
        <f aca="false">IF(D412&gt;=Inputs!$C$14,"Near-prime","Non-prime")</f>
        <v>Near-prime</v>
      </c>
      <c r="M412" s="19" t="n">
        <f aca="false">IF(K412&lt;=Inputs!$C$19,1,0)</f>
        <v>1</v>
      </c>
      <c r="N412" s="19" t="n">
        <f aca="false">IF(F412&lt;=Inputs!$C$20,1,0)</f>
        <v>1</v>
      </c>
      <c r="O412" s="19" t="n">
        <f aca="false">IF(J412&lt;=Inputs!$C$21,1,0)</f>
        <v>1</v>
      </c>
      <c r="P412" s="19" t="n">
        <f aca="false">IF(D412&gt;=Inputs!$C$22,1,0)</f>
        <v>1</v>
      </c>
      <c r="Q412" s="19" t="n">
        <f aca="false">IF(I412&lt;=Inputs!$C$23,1,0)</f>
        <v>1</v>
      </c>
      <c r="R412" s="19" t="n">
        <f aca="false">M412*N412*O412*P412*Q412</f>
        <v>1</v>
      </c>
      <c r="S412" s="14" t="n">
        <f aca="false">I412*R412</f>
        <v>17910.65</v>
      </c>
      <c r="T412" s="19" t="n">
        <f aca="false">IF(F412&gt;72,1,0)</f>
        <v>0</v>
      </c>
      <c r="U412" s="19" t="n">
        <f aca="false">IF(J412&gt;1.25,1,0)</f>
        <v>0</v>
      </c>
    </row>
    <row r="413" customFormat="false" ht="15" hidden="false" customHeight="false" outlineLevel="0" collapsed="false">
      <c r="B413" s="13" t="s">
        <v>633</v>
      </c>
      <c r="C413" s="13" t="s">
        <v>237</v>
      </c>
      <c r="D413" s="19" t="n">
        <v>709</v>
      </c>
      <c r="E413" s="23" t="n">
        <v>0.1914</v>
      </c>
      <c r="F413" s="19" t="n">
        <v>60</v>
      </c>
      <c r="G413" s="19" t="n">
        <v>6</v>
      </c>
      <c r="H413" s="14" t="n">
        <v>27060</v>
      </c>
      <c r="I413" s="14" t="n">
        <v>25358.84</v>
      </c>
      <c r="J413" s="24" t="n">
        <v>1.225</v>
      </c>
      <c r="K413" s="19" t="n">
        <v>0</v>
      </c>
      <c r="L413" s="13" t="str">
        <f aca="false">IF(D413&gt;=Inputs!$C$14,"Near-prime","Non-prime")</f>
        <v>Near-prime</v>
      </c>
      <c r="M413" s="19" t="n">
        <f aca="false">IF(K413&lt;=Inputs!$C$19,1,0)</f>
        <v>1</v>
      </c>
      <c r="N413" s="19" t="n">
        <f aca="false">IF(F413&lt;=Inputs!$C$20,1,0)</f>
        <v>1</v>
      </c>
      <c r="O413" s="19" t="n">
        <f aca="false">IF(J413&lt;=Inputs!$C$21,1,0)</f>
        <v>1</v>
      </c>
      <c r="P413" s="19" t="n">
        <f aca="false">IF(D413&gt;=Inputs!$C$22,1,0)</f>
        <v>1</v>
      </c>
      <c r="Q413" s="19" t="n">
        <f aca="false">IF(I413&lt;=Inputs!$C$23,1,0)</f>
        <v>1</v>
      </c>
      <c r="R413" s="19" t="n">
        <f aca="false">M413*N413*O413*P413*Q413</f>
        <v>1</v>
      </c>
      <c r="S413" s="14" t="n">
        <f aca="false">I413*R413</f>
        <v>25358.84</v>
      </c>
      <c r="T413" s="19" t="n">
        <f aca="false">IF(F413&gt;72,1,0)</f>
        <v>0</v>
      </c>
      <c r="U413" s="19" t="n">
        <f aca="false">IF(J413&gt;1.25,1,0)</f>
        <v>0</v>
      </c>
    </row>
    <row r="414" customFormat="false" ht="15" hidden="false" customHeight="false" outlineLevel="0" collapsed="false">
      <c r="B414" s="13" t="s">
        <v>634</v>
      </c>
      <c r="C414" s="13" t="s">
        <v>217</v>
      </c>
      <c r="D414" s="19" t="n">
        <v>642</v>
      </c>
      <c r="E414" s="23" t="n">
        <v>0.1936</v>
      </c>
      <c r="F414" s="19" t="n">
        <v>60</v>
      </c>
      <c r="G414" s="19" t="n">
        <v>2</v>
      </c>
      <c r="H414" s="14" t="n">
        <v>44600</v>
      </c>
      <c r="I414" s="14" t="n">
        <v>43700.29</v>
      </c>
      <c r="J414" s="24" t="n">
        <v>1.023</v>
      </c>
      <c r="K414" s="19" t="n">
        <v>0</v>
      </c>
      <c r="L414" s="13" t="str">
        <f aca="false">IF(D414&gt;=Inputs!$C$14,"Near-prime","Non-prime")</f>
        <v>Near-prime</v>
      </c>
      <c r="M414" s="19" t="n">
        <f aca="false">IF(K414&lt;=Inputs!$C$19,1,0)</f>
        <v>1</v>
      </c>
      <c r="N414" s="19" t="n">
        <f aca="false">IF(F414&lt;=Inputs!$C$20,1,0)</f>
        <v>1</v>
      </c>
      <c r="O414" s="19" t="n">
        <f aca="false">IF(J414&lt;=Inputs!$C$21,1,0)</f>
        <v>1</v>
      </c>
      <c r="P414" s="19" t="n">
        <f aca="false">IF(D414&gt;=Inputs!$C$22,1,0)</f>
        <v>1</v>
      </c>
      <c r="Q414" s="19" t="n">
        <f aca="false">IF(I414&lt;=Inputs!$C$23,1,0)</f>
        <v>1</v>
      </c>
      <c r="R414" s="19" t="n">
        <f aca="false">M414*N414*O414*P414*Q414</f>
        <v>1</v>
      </c>
      <c r="S414" s="14" t="n">
        <f aca="false">I414*R414</f>
        <v>43700.29</v>
      </c>
      <c r="T414" s="19" t="n">
        <f aca="false">IF(F414&gt;72,1,0)</f>
        <v>0</v>
      </c>
      <c r="U414" s="19" t="n">
        <f aca="false">IF(J414&gt;1.25,1,0)</f>
        <v>0</v>
      </c>
    </row>
    <row r="415" customFormat="false" ht="15" hidden="false" customHeight="false" outlineLevel="0" collapsed="false">
      <c r="B415" s="13" t="s">
        <v>635</v>
      </c>
      <c r="C415" s="13" t="s">
        <v>237</v>
      </c>
      <c r="D415" s="19" t="n">
        <v>647</v>
      </c>
      <c r="E415" s="23" t="n">
        <v>0.2278</v>
      </c>
      <c r="F415" s="19" t="n">
        <v>84</v>
      </c>
      <c r="G415" s="19" t="n">
        <v>7</v>
      </c>
      <c r="H415" s="14" t="n">
        <v>19080</v>
      </c>
      <c r="I415" s="14" t="n">
        <v>18383.33</v>
      </c>
      <c r="J415" s="24" t="n">
        <v>0.964</v>
      </c>
      <c r="K415" s="19" t="n">
        <v>0</v>
      </c>
      <c r="L415" s="13" t="str">
        <f aca="false">IF(D415&gt;=Inputs!$C$14,"Near-prime","Non-prime")</f>
        <v>Near-prime</v>
      </c>
      <c r="M415" s="19" t="n">
        <f aca="false">IF(K415&lt;=Inputs!$C$19,1,0)</f>
        <v>1</v>
      </c>
      <c r="N415" s="19" t="n">
        <f aca="false">IF(F415&lt;=Inputs!$C$20,1,0)</f>
        <v>0</v>
      </c>
      <c r="O415" s="19" t="n">
        <f aca="false">IF(J415&lt;=Inputs!$C$21,1,0)</f>
        <v>1</v>
      </c>
      <c r="P415" s="19" t="n">
        <f aca="false">IF(D415&gt;=Inputs!$C$22,1,0)</f>
        <v>1</v>
      </c>
      <c r="Q415" s="19" t="n">
        <f aca="false">IF(I415&lt;=Inputs!$C$23,1,0)</f>
        <v>1</v>
      </c>
      <c r="R415" s="19" t="n">
        <f aca="false">M415*N415*O415*P415*Q415</f>
        <v>0</v>
      </c>
      <c r="S415" s="14" t="n">
        <f aca="false">I415*R415</f>
        <v>0</v>
      </c>
      <c r="T415" s="19" t="n">
        <f aca="false">IF(F415&gt;72,1,0)</f>
        <v>1</v>
      </c>
      <c r="U415" s="19" t="n">
        <f aca="false">IF(J415&gt;1.25,1,0)</f>
        <v>0</v>
      </c>
    </row>
    <row r="416" customFormat="false" ht="15" hidden="false" customHeight="false" outlineLevel="0" collapsed="false">
      <c r="B416" s="13" t="s">
        <v>636</v>
      </c>
      <c r="C416" s="13" t="s">
        <v>217</v>
      </c>
      <c r="D416" s="19" t="n">
        <v>678</v>
      </c>
      <c r="E416" s="23" t="n">
        <v>0.1889</v>
      </c>
      <c r="F416" s="19" t="n">
        <v>72</v>
      </c>
      <c r="G416" s="19" t="n">
        <v>7</v>
      </c>
      <c r="H416" s="14" t="n">
        <v>45590</v>
      </c>
      <c r="I416" s="14" t="n">
        <v>43056.35</v>
      </c>
      <c r="J416" s="24" t="n">
        <v>1.1</v>
      </c>
      <c r="K416" s="19" t="n">
        <v>0</v>
      </c>
      <c r="L416" s="13" t="str">
        <f aca="false">IF(D416&gt;=Inputs!$C$14,"Near-prime","Non-prime")</f>
        <v>Near-prime</v>
      </c>
      <c r="M416" s="19" t="n">
        <f aca="false">IF(K416&lt;=Inputs!$C$19,1,0)</f>
        <v>1</v>
      </c>
      <c r="N416" s="19" t="n">
        <f aca="false">IF(F416&lt;=Inputs!$C$20,1,0)</f>
        <v>1</v>
      </c>
      <c r="O416" s="19" t="n">
        <f aca="false">IF(J416&lt;=Inputs!$C$21,1,0)</f>
        <v>1</v>
      </c>
      <c r="P416" s="19" t="n">
        <f aca="false">IF(D416&gt;=Inputs!$C$22,1,0)</f>
        <v>1</v>
      </c>
      <c r="Q416" s="19" t="n">
        <f aca="false">IF(I416&lt;=Inputs!$C$23,1,0)</f>
        <v>1</v>
      </c>
      <c r="R416" s="19" t="n">
        <f aca="false">M416*N416*O416*P416*Q416</f>
        <v>1</v>
      </c>
      <c r="S416" s="14" t="n">
        <f aca="false">I416*R416</f>
        <v>43056.35</v>
      </c>
      <c r="T416" s="19" t="n">
        <f aca="false">IF(F416&gt;72,1,0)</f>
        <v>0</v>
      </c>
      <c r="U416" s="19" t="n">
        <f aca="false">IF(J416&gt;1.25,1,0)</f>
        <v>0</v>
      </c>
    </row>
    <row r="417" customFormat="false" ht="15" hidden="false" customHeight="false" outlineLevel="0" collapsed="false">
      <c r="B417" s="13" t="s">
        <v>637</v>
      </c>
      <c r="C417" s="13" t="s">
        <v>257</v>
      </c>
      <c r="D417" s="19" t="n">
        <v>654</v>
      </c>
      <c r="E417" s="23" t="n">
        <v>0.193</v>
      </c>
      <c r="F417" s="19" t="n">
        <v>72</v>
      </c>
      <c r="G417" s="19" t="n">
        <v>3</v>
      </c>
      <c r="H417" s="14" t="n">
        <v>24900</v>
      </c>
      <c r="I417" s="14" t="n">
        <v>24333.31</v>
      </c>
      <c r="J417" s="24" t="n">
        <v>1.072</v>
      </c>
      <c r="K417" s="19" t="n">
        <v>0</v>
      </c>
      <c r="L417" s="13" t="str">
        <f aca="false">IF(D417&gt;=Inputs!$C$14,"Near-prime","Non-prime")</f>
        <v>Near-prime</v>
      </c>
      <c r="M417" s="19" t="n">
        <f aca="false">IF(K417&lt;=Inputs!$C$19,1,0)</f>
        <v>1</v>
      </c>
      <c r="N417" s="19" t="n">
        <f aca="false">IF(F417&lt;=Inputs!$C$20,1,0)</f>
        <v>1</v>
      </c>
      <c r="O417" s="19" t="n">
        <f aca="false">IF(J417&lt;=Inputs!$C$21,1,0)</f>
        <v>1</v>
      </c>
      <c r="P417" s="19" t="n">
        <f aca="false">IF(D417&gt;=Inputs!$C$22,1,0)</f>
        <v>1</v>
      </c>
      <c r="Q417" s="19" t="n">
        <f aca="false">IF(I417&lt;=Inputs!$C$23,1,0)</f>
        <v>1</v>
      </c>
      <c r="R417" s="19" t="n">
        <f aca="false">M417*N417*O417*P417*Q417</f>
        <v>1</v>
      </c>
      <c r="S417" s="14" t="n">
        <f aca="false">I417*R417</f>
        <v>24333.31</v>
      </c>
      <c r="T417" s="19" t="n">
        <f aca="false">IF(F417&gt;72,1,0)</f>
        <v>0</v>
      </c>
      <c r="U417" s="19" t="n">
        <f aca="false">IF(J417&gt;1.25,1,0)</f>
        <v>0</v>
      </c>
    </row>
    <row r="418" customFormat="false" ht="15" hidden="false" customHeight="false" outlineLevel="0" collapsed="false">
      <c r="B418" s="13" t="s">
        <v>638</v>
      </c>
      <c r="C418" s="13" t="s">
        <v>228</v>
      </c>
      <c r="D418" s="19" t="n">
        <v>654</v>
      </c>
      <c r="E418" s="23" t="n">
        <v>0.1833</v>
      </c>
      <c r="F418" s="19" t="n">
        <v>60</v>
      </c>
      <c r="G418" s="19" t="n">
        <v>7</v>
      </c>
      <c r="H418" s="14" t="n">
        <v>18950</v>
      </c>
      <c r="I418" s="14" t="n">
        <v>17519.71</v>
      </c>
      <c r="J418" s="24" t="n">
        <v>0.916</v>
      </c>
      <c r="K418" s="19" t="n">
        <v>45</v>
      </c>
      <c r="L418" s="13" t="str">
        <f aca="false">IF(D418&gt;=Inputs!$C$14,"Near-prime","Non-prime")</f>
        <v>Near-prime</v>
      </c>
      <c r="M418" s="19" t="n">
        <f aca="false">IF(K418&lt;=Inputs!$C$19,1,0)</f>
        <v>1</v>
      </c>
      <c r="N418" s="19" t="n">
        <f aca="false">IF(F418&lt;=Inputs!$C$20,1,0)</f>
        <v>1</v>
      </c>
      <c r="O418" s="19" t="n">
        <f aca="false">IF(J418&lt;=Inputs!$C$21,1,0)</f>
        <v>1</v>
      </c>
      <c r="P418" s="19" t="n">
        <f aca="false">IF(D418&gt;=Inputs!$C$22,1,0)</f>
        <v>1</v>
      </c>
      <c r="Q418" s="19" t="n">
        <f aca="false">IF(I418&lt;=Inputs!$C$23,1,0)</f>
        <v>1</v>
      </c>
      <c r="R418" s="19" t="n">
        <f aca="false">M418*N418*O418*P418*Q418</f>
        <v>1</v>
      </c>
      <c r="S418" s="14" t="n">
        <f aca="false">I418*R418</f>
        <v>17519.71</v>
      </c>
      <c r="T418" s="19" t="n">
        <f aca="false">IF(F418&gt;72,1,0)</f>
        <v>0</v>
      </c>
      <c r="U418" s="19" t="n">
        <f aca="false">IF(J418&gt;1.25,1,0)</f>
        <v>0</v>
      </c>
    </row>
    <row r="419" customFormat="false" ht="15" hidden="false" customHeight="false" outlineLevel="0" collapsed="false">
      <c r="B419" s="13" t="s">
        <v>639</v>
      </c>
      <c r="C419" s="13" t="s">
        <v>219</v>
      </c>
      <c r="D419" s="19" t="n">
        <v>704</v>
      </c>
      <c r="E419" s="23" t="n">
        <v>0.1925</v>
      </c>
      <c r="F419" s="19" t="n">
        <v>72</v>
      </c>
      <c r="G419" s="19" t="n">
        <v>5</v>
      </c>
      <c r="H419" s="14" t="n">
        <v>29320</v>
      </c>
      <c r="I419" s="14" t="n">
        <v>28187.92</v>
      </c>
      <c r="J419" s="24" t="n">
        <v>1.09</v>
      </c>
      <c r="K419" s="19" t="n">
        <v>15</v>
      </c>
      <c r="L419" s="13" t="str">
        <f aca="false">IF(D419&gt;=Inputs!$C$14,"Near-prime","Non-prime")</f>
        <v>Near-prime</v>
      </c>
      <c r="M419" s="19" t="n">
        <f aca="false">IF(K419&lt;=Inputs!$C$19,1,0)</f>
        <v>1</v>
      </c>
      <c r="N419" s="19" t="n">
        <f aca="false">IF(F419&lt;=Inputs!$C$20,1,0)</f>
        <v>1</v>
      </c>
      <c r="O419" s="19" t="n">
        <f aca="false">IF(J419&lt;=Inputs!$C$21,1,0)</f>
        <v>1</v>
      </c>
      <c r="P419" s="19" t="n">
        <f aca="false">IF(D419&gt;=Inputs!$C$22,1,0)</f>
        <v>1</v>
      </c>
      <c r="Q419" s="19" t="n">
        <f aca="false">IF(I419&lt;=Inputs!$C$23,1,0)</f>
        <v>1</v>
      </c>
      <c r="R419" s="19" t="n">
        <f aca="false">M419*N419*O419*P419*Q419</f>
        <v>1</v>
      </c>
      <c r="S419" s="14" t="n">
        <f aca="false">I419*R419</f>
        <v>28187.92</v>
      </c>
      <c r="T419" s="19" t="n">
        <f aca="false">IF(F419&gt;72,1,0)</f>
        <v>0</v>
      </c>
      <c r="U419" s="19" t="n">
        <f aca="false">IF(J419&gt;1.25,1,0)</f>
        <v>0</v>
      </c>
    </row>
    <row r="420" customFormat="false" ht="15" hidden="false" customHeight="false" outlineLevel="0" collapsed="false">
      <c r="B420" s="13" t="s">
        <v>640</v>
      </c>
      <c r="C420" s="13" t="s">
        <v>223</v>
      </c>
      <c r="D420" s="19" t="n">
        <v>601</v>
      </c>
      <c r="E420" s="23" t="n">
        <v>0.2135</v>
      </c>
      <c r="F420" s="19" t="n">
        <v>60</v>
      </c>
      <c r="G420" s="19" t="n">
        <v>3</v>
      </c>
      <c r="H420" s="14" t="n">
        <v>31540</v>
      </c>
      <c r="I420" s="14" t="n">
        <v>30628.98</v>
      </c>
      <c r="J420" s="24" t="n">
        <v>0.906</v>
      </c>
      <c r="K420" s="19" t="n">
        <v>0</v>
      </c>
      <c r="L420" s="13" t="str">
        <f aca="false">IF(D420&gt;=Inputs!$C$14,"Near-prime","Non-prime")</f>
        <v>Non-prime</v>
      </c>
      <c r="M420" s="19" t="n">
        <f aca="false">IF(K420&lt;=Inputs!$C$19,1,0)</f>
        <v>1</v>
      </c>
      <c r="N420" s="19" t="n">
        <f aca="false">IF(F420&lt;=Inputs!$C$20,1,0)</f>
        <v>1</v>
      </c>
      <c r="O420" s="19" t="n">
        <f aca="false">IF(J420&lt;=Inputs!$C$21,1,0)</f>
        <v>1</v>
      </c>
      <c r="P420" s="19" t="n">
        <f aca="false">IF(D420&gt;=Inputs!$C$22,1,0)</f>
        <v>1</v>
      </c>
      <c r="Q420" s="19" t="n">
        <f aca="false">IF(I420&lt;=Inputs!$C$23,1,0)</f>
        <v>1</v>
      </c>
      <c r="R420" s="19" t="n">
        <f aca="false">M420*N420*O420*P420*Q420</f>
        <v>1</v>
      </c>
      <c r="S420" s="14" t="n">
        <f aca="false">I420*R420</f>
        <v>30628.98</v>
      </c>
      <c r="T420" s="19" t="n">
        <f aca="false">IF(F420&gt;72,1,0)</f>
        <v>0</v>
      </c>
      <c r="U420" s="19" t="n">
        <f aca="false">IF(J420&gt;1.25,1,0)</f>
        <v>0</v>
      </c>
    </row>
    <row r="421" customFormat="false" ht="15" hidden="false" customHeight="false" outlineLevel="0" collapsed="false">
      <c r="B421" s="13" t="s">
        <v>641</v>
      </c>
      <c r="C421" s="13" t="s">
        <v>217</v>
      </c>
      <c r="D421" s="19" t="n">
        <v>677</v>
      </c>
      <c r="E421" s="23" t="n">
        <v>0.2093</v>
      </c>
      <c r="F421" s="19" t="n">
        <v>60</v>
      </c>
      <c r="G421" s="19" t="n">
        <v>7</v>
      </c>
      <c r="H421" s="14" t="n">
        <v>20420</v>
      </c>
      <c r="I421" s="14" t="n">
        <v>18978.02</v>
      </c>
      <c r="J421" s="24" t="n">
        <v>1.014</v>
      </c>
      <c r="K421" s="19" t="n">
        <v>0</v>
      </c>
      <c r="L421" s="13" t="str">
        <f aca="false">IF(D421&gt;=Inputs!$C$14,"Near-prime","Non-prime")</f>
        <v>Near-prime</v>
      </c>
      <c r="M421" s="19" t="n">
        <f aca="false">IF(K421&lt;=Inputs!$C$19,1,0)</f>
        <v>1</v>
      </c>
      <c r="N421" s="19" t="n">
        <f aca="false">IF(F421&lt;=Inputs!$C$20,1,0)</f>
        <v>1</v>
      </c>
      <c r="O421" s="19" t="n">
        <f aca="false">IF(J421&lt;=Inputs!$C$21,1,0)</f>
        <v>1</v>
      </c>
      <c r="P421" s="19" t="n">
        <f aca="false">IF(D421&gt;=Inputs!$C$22,1,0)</f>
        <v>1</v>
      </c>
      <c r="Q421" s="19" t="n">
        <f aca="false">IF(I421&lt;=Inputs!$C$23,1,0)</f>
        <v>1</v>
      </c>
      <c r="R421" s="19" t="n">
        <f aca="false">M421*N421*O421*P421*Q421</f>
        <v>1</v>
      </c>
      <c r="S421" s="14" t="n">
        <f aca="false">I421*R421</f>
        <v>18978.02</v>
      </c>
      <c r="T421" s="19" t="n">
        <f aca="false">IF(F421&gt;72,1,0)</f>
        <v>0</v>
      </c>
      <c r="U421" s="19" t="n">
        <f aca="false">IF(J421&gt;1.25,1,0)</f>
        <v>0</v>
      </c>
    </row>
    <row r="422" customFormat="false" ht="15" hidden="false" customHeight="false" outlineLevel="0" collapsed="false">
      <c r="B422" s="13" t="s">
        <v>642</v>
      </c>
      <c r="C422" s="13" t="s">
        <v>237</v>
      </c>
      <c r="D422" s="19" t="n">
        <v>663</v>
      </c>
      <c r="E422" s="23" t="n">
        <v>0.1977</v>
      </c>
      <c r="F422" s="19" t="n">
        <v>84</v>
      </c>
      <c r="G422" s="19" t="n">
        <v>0</v>
      </c>
      <c r="H422" s="14" t="n">
        <v>25870</v>
      </c>
      <c r="I422" s="14" t="n">
        <v>25870</v>
      </c>
      <c r="J422" s="24" t="n">
        <v>1.107</v>
      </c>
      <c r="K422" s="19" t="n">
        <v>0</v>
      </c>
      <c r="L422" s="13" t="str">
        <f aca="false">IF(D422&gt;=Inputs!$C$14,"Near-prime","Non-prime")</f>
        <v>Near-prime</v>
      </c>
      <c r="M422" s="19" t="n">
        <f aca="false">IF(K422&lt;=Inputs!$C$19,1,0)</f>
        <v>1</v>
      </c>
      <c r="N422" s="19" t="n">
        <f aca="false">IF(F422&lt;=Inputs!$C$20,1,0)</f>
        <v>0</v>
      </c>
      <c r="O422" s="19" t="n">
        <f aca="false">IF(J422&lt;=Inputs!$C$21,1,0)</f>
        <v>1</v>
      </c>
      <c r="P422" s="19" t="n">
        <f aca="false">IF(D422&gt;=Inputs!$C$22,1,0)</f>
        <v>1</v>
      </c>
      <c r="Q422" s="19" t="n">
        <f aca="false">IF(I422&lt;=Inputs!$C$23,1,0)</f>
        <v>1</v>
      </c>
      <c r="R422" s="19" t="n">
        <f aca="false">M422*N422*O422*P422*Q422</f>
        <v>0</v>
      </c>
      <c r="S422" s="14" t="n">
        <f aca="false">I422*R422</f>
        <v>0</v>
      </c>
      <c r="T422" s="19" t="n">
        <f aca="false">IF(F422&gt;72,1,0)</f>
        <v>1</v>
      </c>
      <c r="U422" s="19" t="n">
        <f aca="false">IF(J422&gt;1.25,1,0)</f>
        <v>0</v>
      </c>
    </row>
    <row r="423" customFormat="false" ht="15" hidden="false" customHeight="false" outlineLevel="0" collapsed="false">
      <c r="B423" s="13" t="s">
        <v>643</v>
      </c>
      <c r="C423" s="13" t="s">
        <v>252</v>
      </c>
      <c r="D423" s="19" t="n">
        <v>565</v>
      </c>
      <c r="E423" s="23" t="n">
        <v>0.2245</v>
      </c>
      <c r="F423" s="19" t="n">
        <v>72</v>
      </c>
      <c r="G423" s="19" t="n">
        <v>6</v>
      </c>
      <c r="H423" s="14" t="n">
        <v>21200</v>
      </c>
      <c r="I423" s="14" t="n">
        <v>20308.81</v>
      </c>
      <c r="J423" s="24" t="n">
        <v>1.248</v>
      </c>
      <c r="K423" s="19" t="n">
        <v>0</v>
      </c>
      <c r="L423" s="13" t="str">
        <f aca="false">IF(D423&gt;=Inputs!$C$14,"Near-prime","Non-prime")</f>
        <v>Non-prime</v>
      </c>
      <c r="M423" s="19" t="n">
        <f aca="false">IF(K423&lt;=Inputs!$C$19,1,0)</f>
        <v>1</v>
      </c>
      <c r="N423" s="19" t="n">
        <f aca="false">IF(F423&lt;=Inputs!$C$20,1,0)</f>
        <v>1</v>
      </c>
      <c r="O423" s="19" t="n">
        <f aca="false">IF(J423&lt;=Inputs!$C$21,1,0)</f>
        <v>1</v>
      </c>
      <c r="P423" s="19" t="n">
        <f aca="false">IF(D423&gt;=Inputs!$C$22,1,0)</f>
        <v>1</v>
      </c>
      <c r="Q423" s="19" t="n">
        <f aca="false">IF(I423&lt;=Inputs!$C$23,1,0)</f>
        <v>1</v>
      </c>
      <c r="R423" s="19" t="n">
        <f aca="false">M423*N423*O423*P423*Q423</f>
        <v>1</v>
      </c>
      <c r="S423" s="14" t="n">
        <f aca="false">I423*R423</f>
        <v>20308.81</v>
      </c>
      <c r="T423" s="19" t="n">
        <f aca="false">IF(F423&gt;72,1,0)</f>
        <v>0</v>
      </c>
      <c r="U423" s="19" t="n">
        <f aca="false">IF(J423&gt;1.25,1,0)</f>
        <v>0</v>
      </c>
    </row>
    <row r="424" customFormat="false" ht="15" hidden="false" customHeight="false" outlineLevel="0" collapsed="false">
      <c r="B424" s="13" t="s">
        <v>644</v>
      </c>
      <c r="C424" s="13" t="s">
        <v>217</v>
      </c>
      <c r="D424" s="19" t="n">
        <v>705</v>
      </c>
      <c r="E424" s="23" t="n">
        <v>0.1924</v>
      </c>
      <c r="F424" s="19" t="n">
        <v>66</v>
      </c>
      <c r="G424" s="19" t="n">
        <v>3</v>
      </c>
      <c r="H424" s="14" t="n">
        <v>19780</v>
      </c>
      <c r="I424" s="14" t="n">
        <v>19259.43</v>
      </c>
      <c r="J424" s="24" t="n">
        <v>0.984</v>
      </c>
      <c r="K424" s="19" t="n">
        <v>0</v>
      </c>
      <c r="L424" s="13" t="str">
        <f aca="false">IF(D424&gt;=Inputs!$C$14,"Near-prime","Non-prime")</f>
        <v>Near-prime</v>
      </c>
      <c r="M424" s="19" t="n">
        <f aca="false">IF(K424&lt;=Inputs!$C$19,1,0)</f>
        <v>1</v>
      </c>
      <c r="N424" s="19" t="n">
        <f aca="false">IF(F424&lt;=Inputs!$C$20,1,0)</f>
        <v>1</v>
      </c>
      <c r="O424" s="19" t="n">
        <f aca="false">IF(J424&lt;=Inputs!$C$21,1,0)</f>
        <v>1</v>
      </c>
      <c r="P424" s="19" t="n">
        <f aca="false">IF(D424&gt;=Inputs!$C$22,1,0)</f>
        <v>1</v>
      </c>
      <c r="Q424" s="19" t="n">
        <f aca="false">IF(I424&lt;=Inputs!$C$23,1,0)</f>
        <v>1</v>
      </c>
      <c r="R424" s="19" t="n">
        <f aca="false">M424*N424*O424*P424*Q424</f>
        <v>1</v>
      </c>
      <c r="S424" s="14" t="n">
        <f aca="false">I424*R424</f>
        <v>19259.43</v>
      </c>
      <c r="T424" s="19" t="n">
        <f aca="false">IF(F424&gt;72,1,0)</f>
        <v>0</v>
      </c>
      <c r="U424" s="19" t="n">
        <f aca="false">IF(J424&gt;1.25,1,0)</f>
        <v>0</v>
      </c>
    </row>
    <row r="425" customFormat="false" ht="15" hidden="false" customHeight="false" outlineLevel="0" collapsed="false">
      <c r="B425" s="13" t="s">
        <v>645</v>
      </c>
      <c r="C425" s="13" t="s">
        <v>252</v>
      </c>
      <c r="D425" s="19" t="n">
        <v>688</v>
      </c>
      <c r="E425" s="23" t="n">
        <v>0.198</v>
      </c>
      <c r="F425" s="19" t="n">
        <v>72</v>
      </c>
      <c r="G425" s="19" t="n">
        <v>8</v>
      </c>
      <c r="H425" s="14" t="n">
        <v>27510</v>
      </c>
      <c r="I425" s="14" t="n">
        <v>25798.87</v>
      </c>
      <c r="J425" s="24" t="n">
        <v>0.867</v>
      </c>
      <c r="K425" s="19" t="n">
        <v>0</v>
      </c>
      <c r="L425" s="13" t="str">
        <f aca="false">IF(D425&gt;=Inputs!$C$14,"Near-prime","Non-prime")</f>
        <v>Near-prime</v>
      </c>
      <c r="M425" s="19" t="n">
        <f aca="false">IF(K425&lt;=Inputs!$C$19,1,0)</f>
        <v>1</v>
      </c>
      <c r="N425" s="19" t="n">
        <f aca="false">IF(F425&lt;=Inputs!$C$20,1,0)</f>
        <v>1</v>
      </c>
      <c r="O425" s="19" t="n">
        <f aca="false">IF(J425&lt;=Inputs!$C$21,1,0)</f>
        <v>1</v>
      </c>
      <c r="P425" s="19" t="n">
        <f aca="false">IF(D425&gt;=Inputs!$C$22,1,0)</f>
        <v>1</v>
      </c>
      <c r="Q425" s="19" t="n">
        <f aca="false">IF(I425&lt;=Inputs!$C$23,1,0)</f>
        <v>1</v>
      </c>
      <c r="R425" s="19" t="n">
        <f aca="false">M425*N425*O425*P425*Q425</f>
        <v>1</v>
      </c>
      <c r="S425" s="14" t="n">
        <f aca="false">I425*R425</f>
        <v>25798.87</v>
      </c>
      <c r="T425" s="19" t="n">
        <f aca="false">IF(F425&gt;72,1,0)</f>
        <v>0</v>
      </c>
      <c r="U425" s="19" t="n">
        <f aca="false">IF(J425&gt;1.25,1,0)</f>
        <v>0</v>
      </c>
    </row>
    <row r="426" customFormat="false" ht="15" hidden="false" customHeight="false" outlineLevel="0" collapsed="false">
      <c r="B426" s="13" t="s">
        <v>646</v>
      </c>
      <c r="C426" s="13" t="s">
        <v>217</v>
      </c>
      <c r="D426" s="19" t="n">
        <v>728</v>
      </c>
      <c r="E426" s="23" t="n">
        <v>0.1844</v>
      </c>
      <c r="F426" s="19" t="n">
        <v>60</v>
      </c>
      <c r="G426" s="19" t="n">
        <v>2</v>
      </c>
      <c r="H426" s="14" t="n">
        <v>33720</v>
      </c>
      <c r="I426" s="14" t="n">
        <v>33022.29</v>
      </c>
      <c r="J426" s="24" t="n">
        <v>1.059</v>
      </c>
      <c r="K426" s="19" t="n">
        <v>0</v>
      </c>
      <c r="L426" s="13" t="str">
        <f aca="false">IF(D426&gt;=Inputs!$C$14,"Near-prime","Non-prime")</f>
        <v>Near-prime</v>
      </c>
      <c r="M426" s="19" t="n">
        <f aca="false">IF(K426&lt;=Inputs!$C$19,1,0)</f>
        <v>1</v>
      </c>
      <c r="N426" s="19" t="n">
        <f aca="false">IF(F426&lt;=Inputs!$C$20,1,0)</f>
        <v>1</v>
      </c>
      <c r="O426" s="19" t="n">
        <f aca="false">IF(J426&lt;=Inputs!$C$21,1,0)</f>
        <v>1</v>
      </c>
      <c r="P426" s="19" t="n">
        <f aca="false">IF(D426&gt;=Inputs!$C$22,1,0)</f>
        <v>1</v>
      </c>
      <c r="Q426" s="19" t="n">
        <f aca="false">IF(I426&lt;=Inputs!$C$23,1,0)</f>
        <v>1</v>
      </c>
      <c r="R426" s="19" t="n">
        <f aca="false">M426*N426*O426*P426*Q426</f>
        <v>1</v>
      </c>
      <c r="S426" s="14" t="n">
        <f aca="false">I426*R426</f>
        <v>33022.29</v>
      </c>
      <c r="T426" s="19" t="n">
        <f aca="false">IF(F426&gt;72,1,0)</f>
        <v>0</v>
      </c>
      <c r="U426" s="19" t="n">
        <f aca="false">IF(J426&gt;1.25,1,0)</f>
        <v>0</v>
      </c>
    </row>
    <row r="427" customFormat="false" ht="15" hidden="false" customHeight="false" outlineLevel="0" collapsed="false">
      <c r="B427" s="13" t="s">
        <v>647</v>
      </c>
      <c r="C427" s="13" t="s">
        <v>221</v>
      </c>
      <c r="D427" s="19" t="n">
        <v>625</v>
      </c>
      <c r="E427" s="23" t="n">
        <v>0.2039</v>
      </c>
      <c r="F427" s="19" t="n">
        <v>72</v>
      </c>
      <c r="G427" s="19" t="n">
        <v>0</v>
      </c>
      <c r="H427" s="14" t="n">
        <v>18190</v>
      </c>
      <c r="I427" s="14" t="n">
        <v>18190</v>
      </c>
      <c r="J427" s="24" t="n">
        <v>1.142</v>
      </c>
      <c r="K427" s="19" t="n">
        <v>0</v>
      </c>
      <c r="L427" s="13" t="str">
        <f aca="false">IF(D427&gt;=Inputs!$C$14,"Near-prime","Non-prime")</f>
        <v>Near-prime</v>
      </c>
      <c r="M427" s="19" t="n">
        <f aca="false">IF(K427&lt;=Inputs!$C$19,1,0)</f>
        <v>1</v>
      </c>
      <c r="N427" s="19" t="n">
        <f aca="false">IF(F427&lt;=Inputs!$C$20,1,0)</f>
        <v>1</v>
      </c>
      <c r="O427" s="19" t="n">
        <f aca="false">IF(J427&lt;=Inputs!$C$21,1,0)</f>
        <v>1</v>
      </c>
      <c r="P427" s="19" t="n">
        <f aca="false">IF(D427&gt;=Inputs!$C$22,1,0)</f>
        <v>1</v>
      </c>
      <c r="Q427" s="19" t="n">
        <f aca="false">IF(I427&lt;=Inputs!$C$23,1,0)</f>
        <v>1</v>
      </c>
      <c r="R427" s="19" t="n">
        <f aca="false">M427*N427*O427*P427*Q427</f>
        <v>1</v>
      </c>
      <c r="S427" s="14" t="n">
        <f aca="false">I427*R427</f>
        <v>18190</v>
      </c>
      <c r="T427" s="19" t="n">
        <f aca="false">IF(F427&gt;72,1,0)</f>
        <v>0</v>
      </c>
      <c r="U427" s="19" t="n">
        <f aca="false">IF(J427&gt;1.25,1,0)</f>
        <v>0</v>
      </c>
    </row>
    <row r="428" customFormat="false" ht="15" hidden="false" customHeight="false" outlineLevel="0" collapsed="false">
      <c r="B428" s="13" t="s">
        <v>648</v>
      </c>
      <c r="C428" s="13" t="s">
        <v>252</v>
      </c>
      <c r="D428" s="19" t="n">
        <v>591</v>
      </c>
      <c r="E428" s="23" t="n">
        <v>0.2216</v>
      </c>
      <c r="F428" s="19" t="n">
        <v>60</v>
      </c>
      <c r="G428" s="19" t="n">
        <v>10</v>
      </c>
      <c r="H428" s="14" t="n">
        <v>22750</v>
      </c>
      <c r="I428" s="14" t="n">
        <v>20463.51</v>
      </c>
      <c r="J428" s="24" t="n">
        <v>1.227</v>
      </c>
      <c r="K428" s="19" t="n">
        <v>0</v>
      </c>
      <c r="L428" s="13" t="str">
        <f aca="false">IF(D428&gt;=Inputs!$C$14,"Near-prime","Non-prime")</f>
        <v>Non-prime</v>
      </c>
      <c r="M428" s="19" t="n">
        <f aca="false">IF(K428&lt;=Inputs!$C$19,1,0)</f>
        <v>1</v>
      </c>
      <c r="N428" s="19" t="n">
        <f aca="false">IF(F428&lt;=Inputs!$C$20,1,0)</f>
        <v>1</v>
      </c>
      <c r="O428" s="19" t="n">
        <f aca="false">IF(J428&lt;=Inputs!$C$21,1,0)</f>
        <v>1</v>
      </c>
      <c r="P428" s="19" t="n">
        <f aca="false">IF(D428&gt;=Inputs!$C$22,1,0)</f>
        <v>1</v>
      </c>
      <c r="Q428" s="19" t="n">
        <f aca="false">IF(I428&lt;=Inputs!$C$23,1,0)</f>
        <v>1</v>
      </c>
      <c r="R428" s="19" t="n">
        <f aca="false">M428*N428*O428*P428*Q428</f>
        <v>1</v>
      </c>
      <c r="S428" s="14" t="n">
        <f aca="false">I428*R428</f>
        <v>20463.51</v>
      </c>
      <c r="T428" s="19" t="n">
        <f aca="false">IF(F428&gt;72,1,0)</f>
        <v>0</v>
      </c>
      <c r="U428" s="19" t="n">
        <f aca="false">IF(J428&gt;1.25,1,0)</f>
        <v>0</v>
      </c>
    </row>
    <row r="429" customFormat="false" ht="15" hidden="false" customHeight="false" outlineLevel="0" collapsed="false">
      <c r="B429" s="13" t="s">
        <v>649</v>
      </c>
      <c r="C429" s="13" t="s">
        <v>226</v>
      </c>
      <c r="D429" s="19" t="n">
        <v>800</v>
      </c>
      <c r="E429" s="23" t="n">
        <v>0.1867</v>
      </c>
      <c r="F429" s="19" t="n">
        <v>72</v>
      </c>
      <c r="G429" s="19" t="n">
        <v>7</v>
      </c>
      <c r="H429" s="14" t="n">
        <v>48460</v>
      </c>
      <c r="I429" s="14" t="n">
        <v>45747.82</v>
      </c>
      <c r="J429" s="24" t="n">
        <v>1.07</v>
      </c>
      <c r="K429" s="19" t="n">
        <v>0</v>
      </c>
      <c r="L429" s="13" t="str">
        <f aca="false">IF(D429&gt;=Inputs!$C$14,"Near-prime","Non-prime")</f>
        <v>Near-prime</v>
      </c>
      <c r="M429" s="19" t="n">
        <f aca="false">IF(K429&lt;=Inputs!$C$19,1,0)</f>
        <v>1</v>
      </c>
      <c r="N429" s="19" t="n">
        <f aca="false">IF(F429&lt;=Inputs!$C$20,1,0)</f>
        <v>1</v>
      </c>
      <c r="O429" s="19" t="n">
        <f aca="false">IF(J429&lt;=Inputs!$C$21,1,0)</f>
        <v>1</v>
      </c>
      <c r="P429" s="19" t="n">
        <f aca="false">IF(D429&gt;=Inputs!$C$22,1,0)</f>
        <v>1</v>
      </c>
      <c r="Q429" s="19" t="n">
        <f aca="false">IF(I429&lt;=Inputs!$C$23,1,0)</f>
        <v>1</v>
      </c>
      <c r="R429" s="19" t="n">
        <f aca="false">M429*N429*O429*P429*Q429</f>
        <v>1</v>
      </c>
      <c r="S429" s="14" t="n">
        <f aca="false">I429*R429</f>
        <v>45747.82</v>
      </c>
      <c r="T429" s="19" t="n">
        <f aca="false">IF(F429&gt;72,1,0)</f>
        <v>0</v>
      </c>
      <c r="U429" s="19" t="n">
        <f aca="false">IF(J429&gt;1.25,1,0)</f>
        <v>0</v>
      </c>
    </row>
    <row r="430" customFormat="false" ht="15" hidden="false" customHeight="false" outlineLevel="0" collapsed="false">
      <c r="B430" s="13" t="s">
        <v>650</v>
      </c>
      <c r="C430" s="13" t="s">
        <v>223</v>
      </c>
      <c r="D430" s="19" t="n">
        <v>595</v>
      </c>
      <c r="E430" s="23" t="n">
        <v>0.249</v>
      </c>
      <c r="F430" s="19" t="n">
        <v>75</v>
      </c>
      <c r="G430" s="19" t="n">
        <v>7</v>
      </c>
      <c r="H430" s="14" t="n">
        <v>29400</v>
      </c>
      <c r="I430" s="14" t="n">
        <v>28160.11</v>
      </c>
      <c r="J430" s="24" t="n">
        <v>0.907</v>
      </c>
      <c r="K430" s="19" t="n">
        <v>0</v>
      </c>
      <c r="L430" s="13" t="str">
        <f aca="false">IF(D430&gt;=Inputs!$C$14,"Near-prime","Non-prime")</f>
        <v>Non-prime</v>
      </c>
      <c r="M430" s="19" t="n">
        <f aca="false">IF(K430&lt;=Inputs!$C$19,1,0)</f>
        <v>1</v>
      </c>
      <c r="N430" s="19" t="n">
        <f aca="false">IF(F430&lt;=Inputs!$C$20,1,0)</f>
        <v>1</v>
      </c>
      <c r="O430" s="19" t="n">
        <f aca="false">IF(J430&lt;=Inputs!$C$21,1,0)</f>
        <v>1</v>
      </c>
      <c r="P430" s="19" t="n">
        <f aca="false">IF(D430&gt;=Inputs!$C$22,1,0)</f>
        <v>1</v>
      </c>
      <c r="Q430" s="19" t="n">
        <f aca="false">IF(I430&lt;=Inputs!$C$23,1,0)</f>
        <v>1</v>
      </c>
      <c r="R430" s="19" t="n">
        <f aca="false">M430*N430*O430*P430*Q430</f>
        <v>1</v>
      </c>
      <c r="S430" s="14" t="n">
        <f aca="false">I430*R430</f>
        <v>28160.11</v>
      </c>
      <c r="T430" s="19" t="n">
        <f aca="false">IF(F430&gt;72,1,0)</f>
        <v>1</v>
      </c>
      <c r="U430" s="19" t="n">
        <f aca="false">IF(J430&gt;1.25,1,0)</f>
        <v>0</v>
      </c>
    </row>
    <row r="431" customFormat="false" ht="15" hidden="false" customHeight="false" outlineLevel="0" collapsed="false">
      <c r="B431" s="13" t="s">
        <v>651</v>
      </c>
      <c r="C431" s="13" t="s">
        <v>217</v>
      </c>
      <c r="D431" s="19" t="n">
        <v>607</v>
      </c>
      <c r="E431" s="23" t="n">
        <v>0.2029</v>
      </c>
      <c r="F431" s="19" t="n">
        <v>72</v>
      </c>
      <c r="G431" s="19" t="n">
        <v>2</v>
      </c>
      <c r="H431" s="14" t="n">
        <v>14470</v>
      </c>
      <c r="I431" s="14" t="n">
        <v>14259.49</v>
      </c>
      <c r="J431" s="24" t="n">
        <v>0.901</v>
      </c>
      <c r="K431" s="19" t="n">
        <v>0</v>
      </c>
      <c r="L431" s="13" t="str">
        <f aca="false">IF(D431&gt;=Inputs!$C$14,"Near-prime","Non-prime")</f>
        <v>Non-prime</v>
      </c>
      <c r="M431" s="19" t="n">
        <f aca="false">IF(K431&lt;=Inputs!$C$19,1,0)</f>
        <v>1</v>
      </c>
      <c r="N431" s="19" t="n">
        <f aca="false">IF(F431&lt;=Inputs!$C$20,1,0)</f>
        <v>1</v>
      </c>
      <c r="O431" s="19" t="n">
        <f aca="false">IF(J431&lt;=Inputs!$C$21,1,0)</f>
        <v>1</v>
      </c>
      <c r="P431" s="19" t="n">
        <f aca="false">IF(D431&gt;=Inputs!$C$22,1,0)</f>
        <v>1</v>
      </c>
      <c r="Q431" s="19" t="n">
        <f aca="false">IF(I431&lt;=Inputs!$C$23,1,0)</f>
        <v>1</v>
      </c>
      <c r="R431" s="19" t="n">
        <f aca="false">M431*N431*O431*P431*Q431</f>
        <v>1</v>
      </c>
      <c r="S431" s="14" t="n">
        <f aca="false">I431*R431</f>
        <v>14259.49</v>
      </c>
      <c r="T431" s="19" t="n">
        <f aca="false">IF(F431&gt;72,1,0)</f>
        <v>0</v>
      </c>
      <c r="U431" s="19" t="n">
        <f aca="false">IF(J431&gt;1.25,1,0)</f>
        <v>0</v>
      </c>
    </row>
    <row r="432" customFormat="false" ht="15" hidden="false" customHeight="false" outlineLevel="0" collapsed="false">
      <c r="B432" s="13" t="s">
        <v>652</v>
      </c>
      <c r="C432" s="13" t="s">
        <v>223</v>
      </c>
      <c r="D432" s="19" t="n">
        <v>677</v>
      </c>
      <c r="E432" s="23" t="n">
        <v>0.1895</v>
      </c>
      <c r="F432" s="19" t="n">
        <v>60</v>
      </c>
      <c r="G432" s="19" t="n">
        <v>5</v>
      </c>
      <c r="H432" s="14" t="n">
        <v>31350</v>
      </c>
      <c r="I432" s="14" t="n">
        <v>29712.57</v>
      </c>
      <c r="J432" s="24" t="n">
        <v>0.854</v>
      </c>
      <c r="K432" s="19" t="n">
        <v>45</v>
      </c>
      <c r="L432" s="13" t="str">
        <f aca="false">IF(D432&gt;=Inputs!$C$14,"Near-prime","Non-prime")</f>
        <v>Near-prime</v>
      </c>
      <c r="M432" s="19" t="n">
        <f aca="false">IF(K432&lt;=Inputs!$C$19,1,0)</f>
        <v>1</v>
      </c>
      <c r="N432" s="19" t="n">
        <f aca="false">IF(F432&lt;=Inputs!$C$20,1,0)</f>
        <v>1</v>
      </c>
      <c r="O432" s="19" t="n">
        <f aca="false">IF(J432&lt;=Inputs!$C$21,1,0)</f>
        <v>1</v>
      </c>
      <c r="P432" s="19" t="n">
        <f aca="false">IF(D432&gt;=Inputs!$C$22,1,0)</f>
        <v>1</v>
      </c>
      <c r="Q432" s="19" t="n">
        <f aca="false">IF(I432&lt;=Inputs!$C$23,1,0)</f>
        <v>1</v>
      </c>
      <c r="R432" s="19" t="n">
        <f aca="false">M432*N432*O432*P432*Q432</f>
        <v>1</v>
      </c>
      <c r="S432" s="14" t="n">
        <f aca="false">I432*R432</f>
        <v>29712.57</v>
      </c>
      <c r="T432" s="19" t="n">
        <f aca="false">IF(F432&gt;72,1,0)</f>
        <v>0</v>
      </c>
      <c r="U432" s="19" t="n">
        <f aca="false">IF(J432&gt;1.25,1,0)</f>
        <v>0</v>
      </c>
    </row>
    <row r="433" customFormat="false" ht="15" hidden="false" customHeight="false" outlineLevel="0" collapsed="false">
      <c r="B433" s="13" t="s">
        <v>653</v>
      </c>
      <c r="C433" s="13" t="s">
        <v>217</v>
      </c>
      <c r="D433" s="19" t="n">
        <v>626</v>
      </c>
      <c r="E433" s="23" t="n">
        <v>0.2101</v>
      </c>
      <c r="F433" s="19" t="n">
        <v>66</v>
      </c>
      <c r="G433" s="19" t="n">
        <v>4</v>
      </c>
      <c r="H433" s="14" t="n">
        <v>16040</v>
      </c>
      <c r="I433" s="14" t="n">
        <v>15502.18</v>
      </c>
      <c r="J433" s="24" t="n">
        <v>1.073</v>
      </c>
      <c r="K433" s="19" t="n">
        <v>0</v>
      </c>
      <c r="L433" s="13" t="str">
        <f aca="false">IF(D433&gt;=Inputs!$C$14,"Near-prime","Non-prime")</f>
        <v>Near-prime</v>
      </c>
      <c r="M433" s="19" t="n">
        <f aca="false">IF(K433&lt;=Inputs!$C$19,1,0)</f>
        <v>1</v>
      </c>
      <c r="N433" s="19" t="n">
        <f aca="false">IF(F433&lt;=Inputs!$C$20,1,0)</f>
        <v>1</v>
      </c>
      <c r="O433" s="19" t="n">
        <f aca="false">IF(J433&lt;=Inputs!$C$21,1,0)</f>
        <v>1</v>
      </c>
      <c r="P433" s="19" t="n">
        <f aca="false">IF(D433&gt;=Inputs!$C$22,1,0)</f>
        <v>1</v>
      </c>
      <c r="Q433" s="19" t="n">
        <f aca="false">IF(I433&lt;=Inputs!$C$23,1,0)</f>
        <v>1</v>
      </c>
      <c r="R433" s="19" t="n">
        <f aca="false">M433*N433*O433*P433*Q433</f>
        <v>1</v>
      </c>
      <c r="S433" s="14" t="n">
        <f aca="false">I433*R433</f>
        <v>15502.18</v>
      </c>
      <c r="T433" s="19" t="n">
        <f aca="false">IF(F433&gt;72,1,0)</f>
        <v>0</v>
      </c>
      <c r="U433" s="19" t="n">
        <f aca="false">IF(J433&gt;1.25,1,0)</f>
        <v>0</v>
      </c>
    </row>
    <row r="434" customFormat="false" ht="15" hidden="false" customHeight="false" outlineLevel="0" collapsed="false">
      <c r="B434" s="13" t="s">
        <v>654</v>
      </c>
      <c r="C434" s="13" t="s">
        <v>228</v>
      </c>
      <c r="D434" s="19" t="n">
        <v>669</v>
      </c>
      <c r="E434" s="23" t="n">
        <v>0.2127</v>
      </c>
      <c r="F434" s="19" t="n">
        <v>60</v>
      </c>
      <c r="G434" s="19" t="n">
        <v>1</v>
      </c>
      <c r="H434" s="14" t="n">
        <v>14200</v>
      </c>
      <c r="I434" s="14" t="n">
        <v>14065.38</v>
      </c>
      <c r="J434" s="24" t="n">
        <v>0.9</v>
      </c>
      <c r="K434" s="19" t="n">
        <v>30</v>
      </c>
      <c r="L434" s="13" t="str">
        <f aca="false">IF(D434&gt;=Inputs!$C$14,"Near-prime","Non-prime")</f>
        <v>Near-prime</v>
      </c>
      <c r="M434" s="19" t="n">
        <f aca="false">IF(K434&lt;=Inputs!$C$19,1,0)</f>
        <v>1</v>
      </c>
      <c r="N434" s="19" t="n">
        <f aca="false">IF(F434&lt;=Inputs!$C$20,1,0)</f>
        <v>1</v>
      </c>
      <c r="O434" s="19" t="n">
        <f aca="false">IF(J434&lt;=Inputs!$C$21,1,0)</f>
        <v>1</v>
      </c>
      <c r="P434" s="19" t="n">
        <f aca="false">IF(D434&gt;=Inputs!$C$22,1,0)</f>
        <v>1</v>
      </c>
      <c r="Q434" s="19" t="n">
        <f aca="false">IF(I434&lt;=Inputs!$C$23,1,0)</f>
        <v>1</v>
      </c>
      <c r="R434" s="19" t="n">
        <f aca="false">M434*N434*O434*P434*Q434</f>
        <v>1</v>
      </c>
      <c r="S434" s="14" t="n">
        <f aca="false">I434*R434</f>
        <v>14065.38</v>
      </c>
      <c r="T434" s="19" t="n">
        <f aca="false">IF(F434&gt;72,1,0)</f>
        <v>0</v>
      </c>
      <c r="U434" s="19" t="n">
        <f aca="false">IF(J434&gt;1.25,1,0)</f>
        <v>0</v>
      </c>
    </row>
    <row r="435" customFormat="false" ht="15" hidden="false" customHeight="false" outlineLevel="0" collapsed="false">
      <c r="B435" s="13" t="s">
        <v>655</v>
      </c>
      <c r="C435" s="13" t="s">
        <v>257</v>
      </c>
      <c r="D435" s="19" t="n">
        <v>579</v>
      </c>
      <c r="E435" s="23" t="n">
        <v>0.225</v>
      </c>
      <c r="F435" s="19" t="n">
        <v>60</v>
      </c>
      <c r="G435" s="19" t="n">
        <v>5</v>
      </c>
      <c r="H435" s="14" t="n">
        <v>23510</v>
      </c>
      <c r="I435" s="14" t="n">
        <v>22392.84</v>
      </c>
      <c r="J435" s="24" t="n">
        <v>0.995</v>
      </c>
      <c r="K435" s="19" t="n">
        <v>0</v>
      </c>
      <c r="L435" s="13" t="str">
        <f aca="false">IF(D435&gt;=Inputs!$C$14,"Near-prime","Non-prime")</f>
        <v>Non-prime</v>
      </c>
      <c r="M435" s="19" t="n">
        <f aca="false">IF(K435&lt;=Inputs!$C$19,1,0)</f>
        <v>1</v>
      </c>
      <c r="N435" s="19" t="n">
        <f aca="false">IF(F435&lt;=Inputs!$C$20,1,0)</f>
        <v>1</v>
      </c>
      <c r="O435" s="19" t="n">
        <f aca="false">IF(J435&lt;=Inputs!$C$21,1,0)</f>
        <v>1</v>
      </c>
      <c r="P435" s="19" t="n">
        <f aca="false">IF(D435&gt;=Inputs!$C$22,1,0)</f>
        <v>1</v>
      </c>
      <c r="Q435" s="19" t="n">
        <f aca="false">IF(I435&lt;=Inputs!$C$23,1,0)</f>
        <v>1</v>
      </c>
      <c r="R435" s="19" t="n">
        <f aca="false">M435*N435*O435*P435*Q435</f>
        <v>1</v>
      </c>
      <c r="S435" s="14" t="n">
        <f aca="false">I435*R435</f>
        <v>22392.84</v>
      </c>
      <c r="T435" s="19" t="n">
        <f aca="false">IF(F435&gt;72,1,0)</f>
        <v>0</v>
      </c>
      <c r="U435" s="19" t="n">
        <f aca="false">IF(J435&gt;1.25,1,0)</f>
        <v>0</v>
      </c>
    </row>
    <row r="436" customFormat="false" ht="15" hidden="false" customHeight="false" outlineLevel="0" collapsed="false">
      <c r="B436" s="13" t="s">
        <v>656</v>
      </c>
      <c r="C436" s="13" t="s">
        <v>252</v>
      </c>
      <c r="D436" s="19" t="n">
        <v>560</v>
      </c>
      <c r="E436" s="23" t="n">
        <v>0.2188</v>
      </c>
      <c r="F436" s="19" t="n">
        <v>60</v>
      </c>
      <c r="G436" s="19" t="n">
        <v>4</v>
      </c>
      <c r="H436" s="14" t="n">
        <v>38680</v>
      </c>
      <c r="I436" s="14" t="n">
        <v>37198.5</v>
      </c>
      <c r="J436" s="24" t="n">
        <v>1.206</v>
      </c>
      <c r="K436" s="19" t="n">
        <v>0</v>
      </c>
      <c r="L436" s="13" t="str">
        <f aca="false">IF(D436&gt;=Inputs!$C$14,"Near-prime","Non-prime")</f>
        <v>Non-prime</v>
      </c>
      <c r="M436" s="19" t="n">
        <f aca="false">IF(K436&lt;=Inputs!$C$19,1,0)</f>
        <v>1</v>
      </c>
      <c r="N436" s="19" t="n">
        <f aca="false">IF(F436&lt;=Inputs!$C$20,1,0)</f>
        <v>1</v>
      </c>
      <c r="O436" s="19" t="n">
        <f aca="false">IF(J436&lt;=Inputs!$C$21,1,0)</f>
        <v>1</v>
      </c>
      <c r="P436" s="19" t="n">
        <f aca="false">IF(D436&gt;=Inputs!$C$22,1,0)</f>
        <v>1</v>
      </c>
      <c r="Q436" s="19" t="n">
        <f aca="false">IF(I436&lt;=Inputs!$C$23,1,0)</f>
        <v>1</v>
      </c>
      <c r="R436" s="19" t="n">
        <f aca="false">M436*N436*O436*P436*Q436</f>
        <v>1</v>
      </c>
      <c r="S436" s="14" t="n">
        <f aca="false">I436*R436</f>
        <v>37198.5</v>
      </c>
      <c r="T436" s="19" t="n">
        <f aca="false">IF(F436&gt;72,1,0)</f>
        <v>0</v>
      </c>
      <c r="U436" s="19" t="n">
        <f aca="false">IF(J436&gt;1.25,1,0)</f>
        <v>0</v>
      </c>
    </row>
    <row r="437" customFormat="false" ht="15" hidden="false" customHeight="false" outlineLevel="0" collapsed="false">
      <c r="B437" s="13" t="s">
        <v>657</v>
      </c>
      <c r="C437" s="13" t="s">
        <v>217</v>
      </c>
      <c r="D437" s="19" t="n">
        <v>620</v>
      </c>
      <c r="E437" s="23" t="n">
        <v>0.2232</v>
      </c>
      <c r="F437" s="19" t="n">
        <v>72</v>
      </c>
      <c r="G437" s="19" t="n">
        <v>1</v>
      </c>
      <c r="H437" s="14" t="n">
        <v>33250</v>
      </c>
      <c r="I437" s="14" t="n">
        <v>33026.68</v>
      </c>
      <c r="J437" s="24" t="n">
        <v>0.997</v>
      </c>
      <c r="K437" s="19" t="n">
        <v>0</v>
      </c>
      <c r="L437" s="13" t="str">
        <f aca="false">IF(D437&gt;=Inputs!$C$14,"Near-prime","Non-prime")</f>
        <v>Near-prime</v>
      </c>
      <c r="M437" s="19" t="n">
        <f aca="false">IF(K437&lt;=Inputs!$C$19,1,0)</f>
        <v>1</v>
      </c>
      <c r="N437" s="19" t="n">
        <f aca="false">IF(F437&lt;=Inputs!$C$20,1,0)</f>
        <v>1</v>
      </c>
      <c r="O437" s="19" t="n">
        <f aca="false">IF(J437&lt;=Inputs!$C$21,1,0)</f>
        <v>1</v>
      </c>
      <c r="P437" s="19" t="n">
        <f aca="false">IF(D437&gt;=Inputs!$C$22,1,0)</f>
        <v>1</v>
      </c>
      <c r="Q437" s="19" t="n">
        <f aca="false">IF(I437&lt;=Inputs!$C$23,1,0)</f>
        <v>1</v>
      </c>
      <c r="R437" s="19" t="n">
        <f aca="false">M437*N437*O437*P437*Q437</f>
        <v>1</v>
      </c>
      <c r="S437" s="14" t="n">
        <f aca="false">I437*R437</f>
        <v>33026.68</v>
      </c>
      <c r="T437" s="19" t="n">
        <f aca="false">IF(F437&gt;72,1,0)</f>
        <v>0</v>
      </c>
      <c r="U437" s="19" t="n">
        <f aca="false">IF(J437&gt;1.25,1,0)</f>
        <v>0</v>
      </c>
    </row>
    <row r="438" customFormat="false" ht="15" hidden="false" customHeight="false" outlineLevel="0" collapsed="false">
      <c r="B438" s="13" t="s">
        <v>658</v>
      </c>
      <c r="C438" s="13" t="s">
        <v>217</v>
      </c>
      <c r="D438" s="19" t="n">
        <v>683</v>
      </c>
      <c r="E438" s="23" t="n">
        <v>0.183</v>
      </c>
      <c r="F438" s="19" t="n">
        <v>60</v>
      </c>
      <c r="G438" s="19" t="n">
        <v>9</v>
      </c>
      <c r="H438" s="14" t="n">
        <v>39360</v>
      </c>
      <c r="I438" s="14" t="n">
        <v>35478.05</v>
      </c>
      <c r="J438" s="24" t="n">
        <v>1.08</v>
      </c>
      <c r="K438" s="19" t="n">
        <v>0</v>
      </c>
      <c r="L438" s="13" t="str">
        <f aca="false">IF(D438&gt;=Inputs!$C$14,"Near-prime","Non-prime")</f>
        <v>Near-prime</v>
      </c>
      <c r="M438" s="19" t="n">
        <f aca="false">IF(K438&lt;=Inputs!$C$19,1,0)</f>
        <v>1</v>
      </c>
      <c r="N438" s="19" t="n">
        <f aca="false">IF(F438&lt;=Inputs!$C$20,1,0)</f>
        <v>1</v>
      </c>
      <c r="O438" s="19" t="n">
        <f aca="false">IF(J438&lt;=Inputs!$C$21,1,0)</f>
        <v>1</v>
      </c>
      <c r="P438" s="19" t="n">
        <f aca="false">IF(D438&gt;=Inputs!$C$22,1,0)</f>
        <v>1</v>
      </c>
      <c r="Q438" s="19" t="n">
        <f aca="false">IF(I438&lt;=Inputs!$C$23,1,0)</f>
        <v>1</v>
      </c>
      <c r="R438" s="19" t="n">
        <f aca="false">M438*N438*O438*P438*Q438</f>
        <v>1</v>
      </c>
      <c r="S438" s="14" t="n">
        <f aca="false">I438*R438</f>
        <v>35478.05</v>
      </c>
      <c r="T438" s="19" t="n">
        <f aca="false">IF(F438&gt;72,1,0)</f>
        <v>0</v>
      </c>
      <c r="U438" s="19" t="n">
        <f aca="false">IF(J438&gt;1.25,1,0)</f>
        <v>0</v>
      </c>
    </row>
    <row r="439" customFormat="false" ht="15" hidden="false" customHeight="false" outlineLevel="0" collapsed="false">
      <c r="B439" s="13" t="s">
        <v>659</v>
      </c>
      <c r="C439" s="13" t="s">
        <v>228</v>
      </c>
      <c r="D439" s="19" t="n">
        <v>646</v>
      </c>
      <c r="E439" s="23" t="n">
        <v>0.2028</v>
      </c>
      <c r="F439" s="19" t="n">
        <v>60</v>
      </c>
      <c r="G439" s="19" t="n">
        <v>1</v>
      </c>
      <c r="H439" s="14" t="n">
        <v>31950</v>
      </c>
      <c r="I439" s="14" t="n">
        <v>31638.49</v>
      </c>
      <c r="J439" s="24" t="n">
        <v>1.094</v>
      </c>
      <c r="K439" s="19" t="n">
        <v>0</v>
      </c>
      <c r="L439" s="13" t="str">
        <f aca="false">IF(D439&gt;=Inputs!$C$14,"Near-prime","Non-prime")</f>
        <v>Near-prime</v>
      </c>
      <c r="M439" s="19" t="n">
        <f aca="false">IF(K439&lt;=Inputs!$C$19,1,0)</f>
        <v>1</v>
      </c>
      <c r="N439" s="19" t="n">
        <f aca="false">IF(F439&lt;=Inputs!$C$20,1,0)</f>
        <v>1</v>
      </c>
      <c r="O439" s="19" t="n">
        <f aca="false">IF(J439&lt;=Inputs!$C$21,1,0)</f>
        <v>1</v>
      </c>
      <c r="P439" s="19" t="n">
        <f aca="false">IF(D439&gt;=Inputs!$C$22,1,0)</f>
        <v>1</v>
      </c>
      <c r="Q439" s="19" t="n">
        <f aca="false">IF(I439&lt;=Inputs!$C$23,1,0)</f>
        <v>1</v>
      </c>
      <c r="R439" s="19" t="n">
        <f aca="false">M439*N439*O439*P439*Q439</f>
        <v>1</v>
      </c>
      <c r="S439" s="14" t="n">
        <f aca="false">I439*R439</f>
        <v>31638.49</v>
      </c>
      <c r="T439" s="19" t="n">
        <f aca="false">IF(F439&gt;72,1,0)</f>
        <v>0</v>
      </c>
      <c r="U439" s="19" t="n">
        <f aca="false">IF(J439&gt;1.25,1,0)</f>
        <v>0</v>
      </c>
    </row>
    <row r="440" customFormat="false" ht="15" hidden="false" customHeight="false" outlineLevel="0" collapsed="false">
      <c r="B440" s="13" t="s">
        <v>660</v>
      </c>
      <c r="C440" s="13" t="s">
        <v>217</v>
      </c>
      <c r="D440" s="19" t="n">
        <v>710</v>
      </c>
      <c r="E440" s="23" t="n">
        <v>0.1832</v>
      </c>
      <c r="F440" s="19" t="n">
        <v>75</v>
      </c>
      <c r="G440" s="19" t="n">
        <v>5</v>
      </c>
      <c r="H440" s="14" t="n">
        <v>21380</v>
      </c>
      <c r="I440" s="14" t="n">
        <v>20584.58</v>
      </c>
      <c r="J440" s="24" t="n">
        <v>0.912</v>
      </c>
      <c r="K440" s="19" t="n">
        <v>0</v>
      </c>
      <c r="L440" s="13" t="str">
        <f aca="false">IF(D440&gt;=Inputs!$C$14,"Near-prime","Non-prime")</f>
        <v>Near-prime</v>
      </c>
      <c r="M440" s="19" t="n">
        <f aca="false">IF(K440&lt;=Inputs!$C$19,1,0)</f>
        <v>1</v>
      </c>
      <c r="N440" s="19" t="n">
        <f aca="false">IF(F440&lt;=Inputs!$C$20,1,0)</f>
        <v>1</v>
      </c>
      <c r="O440" s="19" t="n">
        <f aca="false">IF(J440&lt;=Inputs!$C$21,1,0)</f>
        <v>1</v>
      </c>
      <c r="P440" s="19" t="n">
        <f aca="false">IF(D440&gt;=Inputs!$C$22,1,0)</f>
        <v>1</v>
      </c>
      <c r="Q440" s="19" t="n">
        <f aca="false">IF(I440&lt;=Inputs!$C$23,1,0)</f>
        <v>1</v>
      </c>
      <c r="R440" s="19" t="n">
        <f aca="false">M440*N440*O440*P440*Q440</f>
        <v>1</v>
      </c>
      <c r="S440" s="14" t="n">
        <f aca="false">I440*R440</f>
        <v>20584.58</v>
      </c>
      <c r="T440" s="19" t="n">
        <f aca="false">IF(F440&gt;72,1,0)</f>
        <v>1</v>
      </c>
      <c r="U440" s="19" t="n">
        <f aca="false">IF(J440&gt;1.25,1,0)</f>
        <v>0</v>
      </c>
    </row>
    <row r="441" customFormat="false" ht="15" hidden="false" customHeight="false" outlineLevel="0" collapsed="false">
      <c r="B441" s="13" t="s">
        <v>661</v>
      </c>
      <c r="C441" s="13" t="s">
        <v>217</v>
      </c>
      <c r="D441" s="19" t="n">
        <v>634</v>
      </c>
      <c r="E441" s="23" t="n">
        <v>0.1978</v>
      </c>
      <c r="F441" s="19" t="n">
        <v>48</v>
      </c>
      <c r="G441" s="19" t="n">
        <v>1</v>
      </c>
      <c r="H441" s="14" t="n">
        <v>28740</v>
      </c>
      <c r="I441" s="14" t="n">
        <v>28342.53</v>
      </c>
      <c r="J441" s="24" t="n">
        <v>0.979</v>
      </c>
      <c r="K441" s="19" t="n">
        <v>0</v>
      </c>
      <c r="L441" s="13" t="str">
        <f aca="false">IF(D441&gt;=Inputs!$C$14,"Near-prime","Non-prime")</f>
        <v>Near-prime</v>
      </c>
      <c r="M441" s="19" t="n">
        <f aca="false">IF(K441&lt;=Inputs!$C$19,1,0)</f>
        <v>1</v>
      </c>
      <c r="N441" s="19" t="n">
        <f aca="false">IF(F441&lt;=Inputs!$C$20,1,0)</f>
        <v>1</v>
      </c>
      <c r="O441" s="19" t="n">
        <f aca="false">IF(J441&lt;=Inputs!$C$21,1,0)</f>
        <v>1</v>
      </c>
      <c r="P441" s="19" t="n">
        <f aca="false">IF(D441&gt;=Inputs!$C$22,1,0)</f>
        <v>1</v>
      </c>
      <c r="Q441" s="19" t="n">
        <f aca="false">IF(I441&lt;=Inputs!$C$23,1,0)</f>
        <v>1</v>
      </c>
      <c r="R441" s="19" t="n">
        <f aca="false">M441*N441*O441*P441*Q441</f>
        <v>1</v>
      </c>
      <c r="S441" s="14" t="n">
        <f aca="false">I441*R441</f>
        <v>28342.53</v>
      </c>
      <c r="T441" s="19" t="n">
        <f aca="false">IF(F441&gt;72,1,0)</f>
        <v>0</v>
      </c>
      <c r="U441" s="19" t="n">
        <f aca="false">IF(J441&gt;1.25,1,0)</f>
        <v>0</v>
      </c>
    </row>
    <row r="442" customFormat="false" ht="15" hidden="false" customHeight="false" outlineLevel="0" collapsed="false">
      <c r="B442" s="13" t="s">
        <v>662</v>
      </c>
      <c r="C442" s="13" t="s">
        <v>226</v>
      </c>
      <c r="D442" s="19" t="n">
        <v>658</v>
      </c>
      <c r="E442" s="23" t="n">
        <v>0.1886</v>
      </c>
      <c r="F442" s="19" t="n">
        <v>84</v>
      </c>
      <c r="G442" s="19" t="n">
        <v>10</v>
      </c>
      <c r="H442" s="14" t="n">
        <v>44300</v>
      </c>
      <c r="I442" s="14" t="n">
        <v>41537.13</v>
      </c>
      <c r="J442" s="24" t="n">
        <v>1.165</v>
      </c>
      <c r="K442" s="19" t="n">
        <v>0</v>
      </c>
      <c r="L442" s="13" t="str">
        <f aca="false">IF(D442&gt;=Inputs!$C$14,"Near-prime","Non-prime")</f>
        <v>Near-prime</v>
      </c>
      <c r="M442" s="19" t="n">
        <f aca="false">IF(K442&lt;=Inputs!$C$19,1,0)</f>
        <v>1</v>
      </c>
      <c r="N442" s="19" t="n">
        <f aca="false">IF(F442&lt;=Inputs!$C$20,1,0)</f>
        <v>0</v>
      </c>
      <c r="O442" s="19" t="n">
        <f aca="false">IF(J442&lt;=Inputs!$C$21,1,0)</f>
        <v>1</v>
      </c>
      <c r="P442" s="19" t="n">
        <f aca="false">IF(D442&gt;=Inputs!$C$22,1,0)</f>
        <v>1</v>
      </c>
      <c r="Q442" s="19" t="n">
        <f aca="false">IF(I442&lt;=Inputs!$C$23,1,0)</f>
        <v>1</v>
      </c>
      <c r="R442" s="19" t="n">
        <f aca="false">M442*N442*O442*P442*Q442</f>
        <v>0</v>
      </c>
      <c r="S442" s="14" t="n">
        <f aca="false">I442*R442</f>
        <v>0</v>
      </c>
      <c r="T442" s="19" t="n">
        <f aca="false">IF(F442&gt;72,1,0)</f>
        <v>1</v>
      </c>
      <c r="U442" s="19" t="n">
        <f aca="false">IF(J442&gt;1.25,1,0)</f>
        <v>0</v>
      </c>
    </row>
    <row r="443" customFormat="false" ht="15" hidden="false" customHeight="false" outlineLevel="0" collapsed="false">
      <c r="B443" s="13" t="s">
        <v>663</v>
      </c>
      <c r="C443" s="13" t="s">
        <v>223</v>
      </c>
      <c r="D443" s="19" t="n">
        <v>601</v>
      </c>
      <c r="E443" s="23" t="n">
        <v>0.2092</v>
      </c>
      <c r="F443" s="19" t="n">
        <v>60</v>
      </c>
      <c r="G443" s="19" t="n">
        <v>2</v>
      </c>
      <c r="H443" s="14" t="n">
        <v>48430</v>
      </c>
      <c r="I443" s="14" t="n">
        <v>47494.48</v>
      </c>
      <c r="J443" s="24" t="n">
        <v>0.88</v>
      </c>
      <c r="K443" s="19" t="n">
        <v>0</v>
      </c>
      <c r="L443" s="13" t="str">
        <f aca="false">IF(D443&gt;=Inputs!$C$14,"Near-prime","Non-prime")</f>
        <v>Non-prime</v>
      </c>
      <c r="M443" s="19" t="n">
        <f aca="false">IF(K443&lt;=Inputs!$C$19,1,0)</f>
        <v>1</v>
      </c>
      <c r="N443" s="19" t="n">
        <f aca="false">IF(F443&lt;=Inputs!$C$20,1,0)</f>
        <v>1</v>
      </c>
      <c r="O443" s="19" t="n">
        <f aca="false">IF(J443&lt;=Inputs!$C$21,1,0)</f>
        <v>1</v>
      </c>
      <c r="P443" s="19" t="n">
        <f aca="false">IF(D443&gt;=Inputs!$C$22,1,0)</f>
        <v>1</v>
      </c>
      <c r="Q443" s="19" t="n">
        <f aca="false">IF(I443&lt;=Inputs!$C$23,1,0)</f>
        <v>1</v>
      </c>
      <c r="R443" s="19" t="n">
        <f aca="false">M443*N443*O443*P443*Q443</f>
        <v>1</v>
      </c>
      <c r="S443" s="14" t="n">
        <f aca="false">I443*R443</f>
        <v>47494.48</v>
      </c>
      <c r="T443" s="19" t="n">
        <f aca="false">IF(F443&gt;72,1,0)</f>
        <v>0</v>
      </c>
      <c r="U443" s="19" t="n">
        <f aca="false">IF(J443&gt;1.25,1,0)</f>
        <v>0</v>
      </c>
    </row>
    <row r="444" customFormat="false" ht="15" hidden="false" customHeight="false" outlineLevel="0" collapsed="false">
      <c r="B444" s="13" t="s">
        <v>664</v>
      </c>
      <c r="C444" s="13" t="s">
        <v>221</v>
      </c>
      <c r="D444" s="19" t="n">
        <v>572</v>
      </c>
      <c r="E444" s="23" t="n">
        <v>0.2151</v>
      </c>
      <c r="F444" s="19" t="n">
        <v>66</v>
      </c>
      <c r="G444" s="19" t="n">
        <v>9</v>
      </c>
      <c r="H444" s="14" t="n">
        <v>13910</v>
      </c>
      <c r="I444" s="14" t="n">
        <v>12828.6</v>
      </c>
      <c r="J444" s="24" t="n">
        <v>1.274</v>
      </c>
      <c r="K444" s="19" t="n">
        <v>0</v>
      </c>
      <c r="L444" s="13" t="str">
        <f aca="false">IF(D444&gt;=Inputs!$C$14,"Near-prime","Non-prime")</f>
        <v>Non-prime</v>
      </c>
      <c r="M444" s="19" t="n">
        <f aca="false">IF(K444&lt;=Inputs!$C$19,1,0)</f>
        <v>1</v>
      </c>
      <c r="N444" s="19" t="n">
        <f aca="false">IF(F444&lt;=Inputs!$C$20,1,0)</f>
        <v>1</v>
      </c>
      <c r="O444" s="19" t="n">
        <f aca="false">IF(J444&lt;=Inputs!$C$21,1,0)</f>
        <v>1</v>
      </c>
      <c r="P444" s="19" t="n">
        <f aca="false">IF(D444&gt;=Inputs!$C$22,1,0)</f>
        <v>1</v>
      </c>
      <c r="Q444" s="19" t="n">
        <f aca="false">IF(I444&lt;=Inputs!$C$23,1,0)</f>
        <v>1</v>
      </c>
      <c r="R444" s="19" t="n">
        <f aca="false">M444*N444*O444*P444*Q444</f>
        <v>1</v>
      </c>
      <c r="S444" s="14" t="n">
        <f aca="false">I444*R444</f>
        <v>12828.6</v>
      </c>
      <c r="T444" s="19" t="n">
        <f aca="false">IF(F444&gt;72,1,0)</f>
        <v>0</v>
      </c>
      <c r="U444" s="19" t="n">
        <f aca="false">IF(J444&gt;1.25,1,0)</f>
        <v>1</v>
      </c>
    </row>
    <row r="445" customFormat="false" ht="15" hidden="false" customHeight="false" outlineLevel="0" collapsed="false">
      <c r="B445" s="13" t="s">
        <v>665</v>
      </c>
      <c r="C445" s="13" t="s">
        <v>221</v>
      </c>
      <c r="D445" s="19" t="n">
        <v>585</v>
      </c>
      <c r="E445" s="23" t="n">
        <v>0.2022</v>
      </c>
      <c r="F445" s="19" t="n">
        <v>66</v>
      </c>
      <c r="G445" s="19" t="n">
        <v>7</v>
      </c>
      <c r="H445" s="14" t="n">
        <v>26820</v>
      </c>
      <c r="I445" s="14" t="n">
        <v>25166.55</v>
      </c>
      <c r="J445" s="24" t="n">
        <v>1.162</v>
      </c>
      <c r="K445" s="19" t="n">
        <v>15</v>
      </c>
      <c r="L445" s="13" t="str">
        <f aca="false">IF(D445&gt;=Inputs!$C$14,"Near-prime","Non-prime")</f>
        <v>Non-prime</v>
      </c>
      <c r="M445" s="19" t="n">
        <f aca="false">IF(K445&lt;=Inputs!$C$19,1,0)</f>
        <v>1</v>
      </c>
      <c r="N445" s="19" t="n">
        <f aca="false">IF(F445&lt;=Inputs!$C$20,1,0)</f>
        <v>1</v>
      </c>
      <c r="O445" s="19" t="n">
        <f aca="false">IF(J445&lt;=Inputs!$C$21,1,0)</f>
        <v>1</v>
      </c>
      <c r="P445" s="19" t="n">
        <f aca="false">IF(D445&gt;=Inputs!$C$22,1,0)</f>
        <v>1</v>
      </c>
      <c r="Q445" s="19" t="n">
        <f aca="false">IF(I445&lt;=Inputs!$C$23,1,0)</f>
        <v>1</v>
      </c>
      <c r="R445" s="19" t="n">
        <f aca="false">M445*N445*O445*P445*Q445</f>
        <v>1</v>
      </c>
      <c r="S445" s="14" t="n">
        <f aca="false">I445*R445</f>
        <v>25166.55</v>
      </c>
      <c r="T445" s="19" t="n">
        <f aca="false">IF(F445&gt;72,1,0)</f>
        <v>0</v>
      </c>
      <c r="U445" s="19" t="n">
        <f aca="false">IF(J445&gt;1.25,1,0)</f>
        <v>0</v>
      </c>
    </row>
    <row r="446" customFormat="false" ht="15" hidden="false" customHeight="false" outlineLevel="0" collapsed="false">
      <c r="B446" s="13" t="s">
        <v>666</v>
      </c>
      <c r="C446" s="13" t="s">
        <v>237</v>
      </c>
      <c r="D446" s="19" t="n">
        <v>607</v>
      </c>
      <c r="E446" s="23" t="n">
        <v>0.1978</v>
      </c>
      <c r="F446" s="19" t="n">
        <v>72</v>
      </c>
      <c r="G446" s="19" t="n">
        <v>1</v>
      </c>
      <c r="H446" s="14" t="n">
        <v>19110</v>
      </c>
      <c r="I446" s="14" t="n">
        <v>18969.69</v>
      </c>
      <c r="J446" s="24" t="n">
        <v>1.188</v>
      </c>
      <c r="K446" s="19" t="n">
        <v>0</v>
      </c>
      <c r="L446" s="13" t="str">
        <f aca="false">IF(D446&gt;=Inputs!$C$14,"Near-prime","Non-prime")</f>
        <v>Non-prime</v>
      </c>
      <c r="M446" s="19" t="n">
        <f aca="false">IF(K446&lt;=Inputs!$C$19,1,0)</f>
        <v>1</v>
      </c>
      <c r="N446" s="19" t="n">
        <f aca="false">IF(F446&lt;=Inputs!$C$20,1,0)</f>
        <v>1</v>
      </c>
      <c r="O446" s="19" t="n">
        <f aca="false">IF(J446&lt;=Inputs!$C$21,1,0)</f>
        <v>1</v>
      </c>
      <c r="P446" s="19" t="n">
        <f aca="false">IF(D446&gt;=Inputs!$C$22,1,0)</f>
        <v>1</v>
      </c>
      <c r="Q446" s="19" t="n">
        <f aca="false">IF(I446&lt;=Inputs!$C$23,1,0)</f>
        <v>1</v>
      </c>
      <c r="R446" s="19" t="n">
        <f aca="false">M446*N446*O446*P446*Q446</f>
        <v>1</v>
      </c>
      <c r="S446" s="14" t="n">
        <f aca="false">I446*R446</f>
        <v>18969.69</v>
      </c>
      <c r="T446" s="19" t="n">
        <f aca="false">IF(F446&gt;72,1,0)</f>
        <v>0</v>
      </c>
      <c r="U446" s="19" t="n">
        <f aca="false">IF(J446&gt;1.25,1,0)</f>
        <v>0</v>
      </c>
    </row>
    <row r="447" customFormat="false" ht="15" hidden="false" customHeight="false" outlineLevel="0" collapsed="false">
      <c r="B447" s="13" t="s">
        <v>667</v>
      </c>
      <c r="C447" s="13" t="s">
        <v>221</v>
      </c>
      <c r="D447" s="19" t="n">
        <v>750</v>
      </c>
      <c r="E447" s="23" t="n">
        <v>0.1749</v>
      </c>
      <c r="F447" s="19" t="n">
        <v>75</v>
      </c>
      <c r="G447" s="19" t="n">
        <v>3</v>
      </c>
      <c r="H447" s="14" t="n">
        <v>33400</v>
      </c>
      <c r="I447" s="14" t="n">
        <v>32644.03</v>
      </c>
      <c r="J447" s="24" t="n">
        <v>1.002</v>
      </c>
      <c r="K447" s="19" t="n">
        <v>0</v>
      </c>
      <c r="L447" s="13" t="str">
        <f aca="false">IF(D447&gt;=Inputs!$C$14,"Near-prime","Non-prime")</f>
        <v>Near-prime</v>
      </c>
      <c r="M447" s="19" t="n">
        <f aca="false">IF(K447&lt;=Inputs!$C$19,1,0)</f>
        <v>1</v>
      </c>
      <c r="N447" s="19" t="n">
        <f aca="false">IF(F447&lt;=Inputs!$C$20,1,0)</f>
        <v>1</v>
      </c>
      <c r="O447" s="19" t="n">
        <f aca="false">IF(J447&lt;=Inputs!$C$21,1,0)</f>
        <v>1</v>
      </c>
      <c r="P447" s="19" t="n">
        <f aca="false">IF(D447&gt;=Inputs!$C$22,1,0)</f>
        <v>1</v>
      </c>
      <c r="Q447" s="19" t="n">
        <f aca="false">IF(I447&lt;=Inputs!$C$23,1,0)</f>
        <v>1</v>
      </c>
      <c r="R447" s="19" t="n">
        <f aca="false">M447*N447*O447*P447*Q447</f>
        <v>1</v>
      </c>
      <c r="S447" s="14" t="n">
        <f aca="false">I447*R447</f>
        <v>32644.03</v>
      </c>
      <c r="T447" s="19" t="n">
        <f aca="false">IF(F447&gt;72,1,0)</f>
        <v>1</v>
      </c>
      <c r="U447" s="19" t="n">
        <f aca="false">IF(J447&gt;1.25,1,0)</f>
        <v>0</v>
      </c>
    </row>
    <row r="448" customFormat="false" ht="15" hidden="false" customHeight="false" outlineLevel="0" collapsed="false">
      <c r="B448" s="13" t="s">
        <v>668</v>
      </c>
      <c r="C448" s="13" t="s">
        <v>226</v>
      </c>
      <c r="D448" s="19" t="n">
        <v>581</v>
      </c>
      <c r="E448" s="23" t="n">
        <v>0.2272</v>
      </c>
      <c r="F448" s="19" t="n">
        <v>66</v>
      </c>
      <c r="G448" s="19" t="n">
        <v>9</v>
      </c>
      <c r="H448" s="14" t="n">
        <v>30540</v>
      </c>
      <c r="I448" s="14" t="n">
        <v>28246.26</v>
      </c>
      <c r="J448" s="24" t="n">
        <v>0.941</v>
      </c>
      <c r="K448" s="19" t="n">
        <v>45</v>
      </c>
      <c r="L448" s="13" t="str">
        <f aca="false">IF(D448&gt;=Inputs!$C$14,"Near-prime","Non-prime")</f>
        <v>Non-prime</v>
      </c>
      <c r="M448" s="19" t="n">
        <f aca="false">IF(K448&lt;=Inputs!$C$19,1,0)</f>
        <v>1</v>
      </c>
      <c r="N448" s="19" t="n">
        <f aca="false">IF(F448&lt;=Inputs!$C$20,1,0)</f>
        <v>1</v>
      </c>
      <c r="O448" s="19" t="n">
        <f aca="false">IF(J448&lt;=Inputs!$C$21,1,0)</f>
        <v>1</v>
      </c>
      <c r="P448" s="19" t="n">
        <f aca="false">IF(D448&gt;=Inputs!$C$22,1,0)</f>
        <v>1</v>
      </c>
      <c r="Q448" s="19" t="n">
        <f aca="false">IF(I448&lt;=Inputs!$C$23,1,0)</f>
        <v>1</v>
      </c>
      <c r="R448" s="19" t="n">
        <f aca="false">M448*N448*O448*P448*Q448</f>
        <v>1</v>
      </c>
      <c r="S448" s="14" t="n">
        <f aca="false">I448*R448</f>
        <v>28246.26</v>
      </c>
      <c r="T448" s="19" t="n">
        <f aca="false">IF(F448&gt;72,1,0)</f>
        <v>0</v>
      </c>
      <c r="U448" s="19" t="n">
        <f aca="false">IF(J448&gt;1.25,1,0)</f>
        <v>0</v>
      </c>
    </row>
    <row r="449" customFormat="false" ht="15" hidden="false" customHeight="false" outlineLevel="0" collapsed="false">
      <c r="B449" s="13" t="s">
        <v>669</v>
      </c>
      <c r="C449" s="13" t="s">
        <v>221</v>
      </c>
      <c r="D449" s="19" t="n">
        <v>602</v>
      </c>
      <c r="E449" s="23" t="n">
        <v>0.2025</v>
      </c>
      <c r="F449" s="19" t="n">
        <v>72</v>
      </c>
      <c r="G449" s="19" t="n">
        <v>5</v>
      </c>
      <c r="H449" s="14" t="n">
        <v>24130</v>
      </c>
      <c r="I449" s="14" t="n">
        <v>23228.64</v>
      </c>
      <c r="J449" s="24" t="n">
        <v>1.159</v>
      </c>
      <c r="K449" s="19" t="n">
        <v>0</v>
      </c>
      <c r="L449" s="13" t="str">
        <f aca="false">IF(D449&gt;=Inputs!$C$14,"Near-prime","Non-prime")</f>
        <v>Non-prime</v>
      </c>
      <c r="M449" s="19" t="n">
        <f aca="false">IF(K449&lt;=Inputs!$C$19,1,0)</f>
        <v>1</v>
      </c>
      <c r="N449" s="19" t="n">
        <f aca="false">IF(F449&lt;=Inputs!$C$20,1,0)</f>
        <v>1</v>
      </c>
      <c r="O449" s="19" t="n">
        <f aca="false">IF(J449&lt;=Inputs!$C$21,1,0)</f>
        <v>1</v>
      </c>
      <c r="P449" s="19" t="n">
        <f aca="false">IF(D449&gt;=Inputs!$C$22,1,0)</f>
        <v>1</v>
      </c>
      <c r="Q449" s="19" t="n">
        <f aca="false">IF(I449&lt;=Inputs!$C$23,1,0)</f>
        <v>1</v>
      </c>
      <c r="R449" s="19" t="n">
        <f aca="false">M449*N449*O449*P449*Q449</f>
        <v>1</v>
      </c>
      <c r="S449" s="14" t="n">
        <f aca="false">I449*R449</f>
        <v>23228.64</v>
      </c>
      <c r="T449" s="19" t="n">
        <f aca="false">IF(F449&gt;72,1,0)</f>
        <v>0</v>
      </c>
      <c r="U449" s="19" t="n">
        <f aca="false">IF(J449&gt;1.25,1,0)</f>
        <v>0</v>
      </c>
    </row>
    <row r="450" customFormat="false" ht="15" hidden="false" customHeight="false" outlineLevel="0" collapsed="false">
      <c r="B450" s="13" t="s">
        <v>670</v>
      </c>
      <c r="C450" s="13" t="s">
        <v>223</v>
      </c>
      <c r="D450" s="19" t="n">
        <v>719</v>
      </c>
      <c r="E450" s="23" t="n">
        <v>0.1955</v>
      </c>
      <c r="F450" s="19" t="n">
        <v>48</v>
      </c>
      <c r="G450" s="19" t="n">
        <v>4</v>
      </c>
      <c r="H450" s="14" t="n">
        <v>18860</v>
      </c>
      <c r="I450" s="14" t="n">
        <v>17785.52</v>
      </c>
      <c r="J450" s="24" t="n">
        <v>1.411</v>
      </c>
      <c r="K450" s="19" t="n">
        <v>0</v>
      </c>
      <c r="L450" s="13" t="str">
        <f aca="false">IF(D450&gt;=Inputs!$C$14,"Near-prime","Non-prime")</f>
        <v>Near-prime</v>
      </c>
      <c r="M450" s="19" t="n">
        <f aca="false">IF(K450&lt;=Inputs!$C$19,1,0)</f>
        <v>1</v>
      </c>
      <c r="N450" s="19" t="n">
        <f aca="false">IF(F450&lt;=Inputs!$C$20,1,0)</f>
        <v>1</v>
      </c>
      <c r="O450" s="19" t="n">
        <f aca="false">IF(J450&lt;=Inputs!$C$21,1,0)</f>
        <v>1</v>
      </c>
      <c r="P450" s="19" t="n">
        <f aca="false">IF(D450&gt;=Inputs!$C$22,1,0)</f>
        <v>1</v>
      </c>
      <c r="Q450" s="19" t="n">
        <f aca="false">IF(I450&lt;=Inputs!$C$23,1,0)</f>
        <v>1</v>
      </c>
      <c r="R450" s="19" t="n">
        <f aca="false">M450*N450*O450*P450*Q450</f>
        <v>1</v>
      </c>
      <c r="S450" s="14" t="n">
        <f aca="false">I450*R450</f>
        <v>17785.52</v>
      </c>
      <c r="T450" s="19" t="n">
        <f aca="false">IF(F450&gt;72,1,0)</f>
        <v>0</v>
      </c>
      <c r="U450" s="19" t="n">
        <f aca="false">IF(J450&gt;1.25,1,0)</f>
        <v>1</v>
      </c>
    </row>
    <row r="451" customFormat="false" ht="15" hidden="false" customHeight="false" outlineLevel="0" collapsed="false">
      <c r="B451" s="13" t="s">
        <v>671</v>
      </c>
      <c r="C451" s="13" t="s">
        <v>217</v>
      </c>
      <c r="D451" s="19" t="n">
        <v>613</v>
      </c>
      <c r="E451" s="23" t="n">
        <v>0.2144</v>
      </c>
      <c r="F451" s="19" t="n">
        <v>48</v>
      </c>
      <c r="G451" s="19" t="n">
        <v>9</v>
      </c>
      <c r="H451" s="14" t="n">
        <v>27940</v>
      </c>
      <c r="I451" s="14" t="n">
        <v>24336.56</v>
      </c>
      <c r="J451" s="24" t="n">
        <v>1.206</v>
      </c>
      <c r="K451" s="19" t="n">
        <v>45</v>
      </c>
      <c r="L451" s="13" t="str">
        <f aca="false">IF(D451&gt;=Inputs!$C$14,"Near-prime","Non-prime")</f>
        <v>Non-prime</v>
      </c>
      <c r="M451" s="19" t="n">
        <f aca="false">IF(K451&lt;=Inputs!$C$19,1,0)</f>
        <v>1</v>
      </c>
      <c r="N451" s="19" t="n">
        <f aca="false">IF(F451&lt;=Inputs!$C$20,1,0)</f>
        <v>1</v>
      </c>
      <c r="O451" s="19" t="n">
        <f aca="false">IF(J451&lt;=Inputs!$C$21,1,0)</f>
        <v>1</v>
      </c>
      <c r="P451" s="19" t="n">
        <f aca="false">IF(D451&gt;=Inputs!$C$22,1,0)</f>
        <v>1</v>
      </c>
      <c r="Q451" s="19" t="n">
        <f aca="false">IF(I451&lt;=Inputs!$C$23,1,0)</f>
        <v>1</v>
      </c>
      <c r="R451" s="19" t="n">
        <f aca="false">M451*N451*O451*P451*Q451</f>
        <v>1</v>
      </c>
      <c r="S451" s="14" t="n">
        <f aca="false">I451*R451</f>
        <v>24336.56</v>
      </c>
      <c r="T451" s="19" t="n">
        <f aca="false">IF(F451&gt;72,1,0)</f>
        <v>0</v>
      </c>
      <c r="U451" s="19" t="n">
        <f aca="false">IF(J451&gt;1.25,1,0)</f>
        <v>0</v>
      </c>
    </row>
    <row r="452" customFormat="false" ht="15" hidden="false" customHeight="false" outlineLevel="0" collapsed="false">
      <c r="B452" s="13" t="s">
        <v>672</v>
      </c>
      <c r="C452" s="13" t="s">
        <v>237</v>
      </c>
      <c r="D452" s="19" t="n">
        <v>679</v>
      </c>
      <c r="E452" s="23" t="n">
        <v>0.2055</v>
      </c>
      <c r="F452" s="19" t="n">
        <v>60</v>
      </c>
      <c r="G452" s="19" t="n">
        <v>7</v>
      </c>
      <c r="H452" s="14" t="n">
        <v>23410</v>
      </c>
      <c r="I452" s="14" t="n">
        <v>21740.6</v>
      </c>
      <c r="J452" s="24" t="n">
        <v>0.966</v>
      </c>
      <c r="K452" s="19" t="n">
        <v>0</v>
      </c>
      <c r="L452" s="13" t="str">
        <f aca="false">IF(D452&gt;=Inputs!$C$14,"Near-prime","Non-prime")</f>
        <v>Near-prime</v>
      </c>
      <c r="M452" s="19" t="n">
        <f aca="false">IF(K452&lt;=Inputs!$C$19,1,0)</f>
        <v>1</v>
      </c>
      <c r="N452" s="19" t="n">
        <f aca="false">IF(F452&lt;=Inputs!$C$20,1,0)</f>
        <v>1</v>
      </c>
      <c r="O452" s="19" t="n">
        <f aca="false">IF(J452&lt;=Inputs!$C$21,1,0)</f>
        <v>1</v>
      </c>
      <c r="P452" s="19" t="n">
        <f aca="false">IF(D452&gt;=Inputs!$C$22,1,0)</f>
        <v>1</v>
      </c>
      <c r="Q452" s="19" t="n">
        <f aca="false">IF(I452&lt;=Inputs!$C$23,1,0)</f>
        <v>1</v>
      </c>
      <c r="R452" s="19" t="n">
        <f aca="false">M452*N452*O452*P452*Q452</f>
        <v>1</v>
      </c>
      <c r="S452" s="14" t="n">
        <f aca="false">I452*R452</f>
        <v>21740.6</v>
      </c>
      <c r="T452" s="19" t="n">
        <f aca="false">IF(F452&gt;72,1,0)</f>
        <v>0</v>
      </c>
      <c r="U452" s="19" t="n">
        <f aca="false">IF(J452&gt;1.25,1,0)</f>
        <v>0</v>
      </c>
    </row>
    <row r="453" customFormat="false" ht="15" hidden="false" customHeight="false" outlineLevel="0" collapsed="false">
      <c r="B453" s="13" t="s">
        <v>673</v>
      </c>
      <c r="C453" s="13" t="s">
        <v>217</v>
      </c>
      <c r="D453" s="19" t="n">
        <v>530</v>
      </c>
      <c r="E453" s="23" t="n">
        <v>0.2127</v>
      </c>
      <c r="F453" s="19" t="n">
        <v>66</v>
      </c>
      <c r="G453" s="19" t="n">
        <v>2</v>
      </c>
      <c r="H453" s="14" t="n">
        <v>25330</v>
      </c>
      <c r="I453" s="14" t="n">
        <v>24916.09</v>
      </c>
      <c r="J453" s="24" t="n">
        <v>0.775</v>
      </c>
      <c r="K453" s="19" t="n">
        <v>30</v>
      </c>
      <c r="L453" s="13" t="str">
        <f aca="false">IF(D453&gt;=Inputs!$C$14,"Near-prime","Non-prime")</f>
        <v>Non-prime</v>
      </c>
      <c r="M453" s="19" t="n">
        <f aca="false">IF(K453&lt;=Inputs!$C$19,1,0)</f>
        <v>1</v>
      </c>
      <c r="N453" s="19" t="n">
        <f aca="false">IF(F453&lt;=Inputs!$C$20,1,0)</f>
        <v>1</v>
      </c>
      <c r="O453" s="19" t="n">
        <f aca="false">IF(J453&lt;=Inputs!$C$21,1,0)</f>
        <v>1</v>
      </c>
      <c r="P453" s="19" t="n">
        <f aca="false">IF(D453&gt;=Inputs!$C$22,1,0)</f>
        <v>0</v>
      </c>
      <c r="Q453" s="19" t="n">
        <f aca="false">IF(I453&lt;=Inputs!$C$23,1,0)</f>
        <v>1</v>
      </c>
      <c r="R453" s="19" t="n">
        <f aca="false">M453*N453*O453*P453*Q453</f>
        <v>0</v>
      </c>
      <c r="S453" s="14" t="n">
        <f aca="false">I453*R453</f>
        <v>0</v>
      </c>
      <c r="T453" s="19" t="n">
        <f aca="false">IF(F453&gt;72,1,0)</f>
        <v>0</v>
      </c>
      <c r="U453" s="19" t="n">
        <f aca="false">IF(J453&gt;1.25,1,0)</f>
        <v>0</v>
      </c>
    </row>
    <row r="454" customFormat="false" ht="15" hidden="false" customHeight="false" outlineLevel="0" collapsed="false">
      <c r="B454" s="13" t="s">
        <v>674</v>
      </c>
      <c r="C454" s="13" t="s">
        <v>252</v>
      </c>
      <c r="D454" s="19" t="n">
        <v>598</v>
      </c>
      <c r="E454" s="23" t="n">
        <v>0.207</v>
      </c>
      <c r="F454" s="19" t="n">
        <v>66</v>
      </c>
      <c r="G454" s="19" t="n">
        <v>4</v>
      </c>
      <c r="H454" s="14" t="n">
        <v>22870</v>
      </c>
      <c r="I454" s="14" t="n">
        <v>22095.91</v>
      </c>
      <c r="J454" s="24" t="n">
        <v>1.019</v>
      </c>
      <c r="K454" s="19" t="n">
        <v>75</v>
      </c>
      <c r="L454" s="13" t="str">
        <f aca="false">IF(D454&gt;=Inputs!$C$14,"Near-prime","Non-prime")</f>
        <v>Non-prime</v>
      </c>
      <c r="M454" s="19" t="n">
        <f aca="false">IF(K454&lt;=Inputs!$C$19,1,0)</f>
        <v>0</v>
      </c>
      <c r="N454" s="19" t="n">
        <f aca="false">IF(F454&lt;=Inputs!$C$20,1,0)</f>
        <v>1</v>
      </c>
      <c r="O454" s="19" t="n">
        <f aca="false">IF(J454&lt;=Inputs!$C$21,1,0)</f>
        <v>1</v>
      </c>
      <c r="P454" s="19" t="n">
        <f aca="false">IF(D454&gt;=Inputs!$C$22,1,0)</f>
        <v>1</v>
      </c>
      <c r="Q454" s="19" t="n">
        <f aca="false">IF(I454&lt;=Inputs!$C$23,1,0)</f>
        <v>1</v>
      </c>
      <c r="R454" s="19" t="n">
        <f aca="false">M454*N454*O454*P454*Q454</f>
        <v>0</v>
      </c>
      <c r="S454" s="14" t="n">
        <f aca="false">I454*R454</f>
        <v>0</v>
      </c>
      <c r="T454" s="19" t="n">
        <f aca="false">IF(F454&gt;72,1,0)</f>
        <v>0</v>
      </c>
      <c r="U454" s="19" t="n">
        <f aca="false">IF(J454&gt;1.25,1,0)</f>
        <v>0</v>
      </c>
    </row>
    <row r="455" customFormat="false" ht="15" hidden="false" customHeight="false" outlineLevel="0" collapsed="false">
      <c r="B455" s="13" t="s">
        <v>675</v>
      </c>
      <c r="C455" s="13" t="s">
        <v>252</v>
      </c>
      <c r="D455" s="19" t="n">
        <v>675</v>
      </c>
      <c r="E455" s="23" t="n">
        <v>0.208</v>
      </c>
      <c r="F455" s="19" t="n">
        <v>66</v>
      </c>
      <c r="G455" s="19" t="n">
        <v>3</v>
      </c>
      <c r="H455" s="14" t="n">
        <v>26990</v>
      </c>
      <c r="I455" s="14" t="n">
        <v>26312.82</v>
      </c>
      <c r="J455" s="24" t="n">
        <v>0.991</v>
      </c>
      <c r="K455" s="19" t="n">
        <v>0</v>
      </c>
      <c r="L455" s="13" t="str">
        <f aca="false">IF(D455&gt;=Inputs!$C$14,"Near-prime","Non-prime")</f>
        <v>Near-prime</v>
      </c>
      <c r="M455" s="19" t="n">
        <f aca="false">IF(K455&lt;=Inputs!$C$19,1,0)</f>
        <v>1</v>
      </c>
      <c r="N455" s="19" t="n">
        <f aca="false">IF(F455&lt;=Inputs!$C$20,1,0)</f>
        <v>1</v>
      </c>
      <c r="O455" s="19" t="n">
        <f aca="false">IF(J455&lt;=Inputs!$C$21,1,0)</f>
        <v>1</v>
      </c>
      <c r="P455" s="19" t="n">
        <f aca="false">IF(D455&gt;=Inputs!$C$22,1,0)</f>
        <v>1</v>
      </c>
      <c r="Q455" s="19" t="n">
        <f aca="false">IF(I455&lt;=Inputs!$C$23,1,0)</f>
        <v>1</v>
      </c>
      <c r="R455" s="19" t="n">
        <f aca="false">M455*N455*O455*P455*Q455</f>
        <v>1</v>
      </c>
      <c r="S455" s="14" t="n">
        <f aca="false">I455*R455</f>
        <v>26312.82</v>
      </c>
      <c r="T455" s="19" t="n">
        <f aca="false">IF(F455&gt;72,1,0)</f>
        <v>0</v>
      </c>
      <c r="U455" s="19" t="n">
        <f aca="false">IF(J455&gt;1.25,1,0)</f>
        <v>0</v>
      </c>
    </row>
    <row r="456" customFormat="false" ht="15" hidden="false" customHeight="false" outlineLevel="0" collapsed="false">
      <c r="B456" s="13" t="s">
        <v>676</v>
      </c>
      <c r="C456" s="13" t="s">
        <v>233</v>
      </c>
      <c r="D456" s="19" t="n">
        <v>560</v>
      </c>
      <c r="E456" s="23" t="n">
        <v>0.2495</v>
      </c>
      <c r="F456" s="19" t="n">
        <v>72</v>
      </c>
      <c r="G456" s="19" t="n">
        <v>9</v>
      </c>
      <c r="H456" s="14" t="n">
        <v>24220</v>
      </c>
      <c r="I456" s="14" t="n">
        <v>22770.68</v>
      </c>
      <c r="J456" s="24" t="n">
        <v>0.889</v>
      </c>
      <c r="K456" s="19" t="n">
        <v>0</v>
      </c>
      <c r="L456" s="13" t="str">
        <f aca="false">IF(D456&gt;=Inputs!$C$14,"Near-prime","Non-prime")</f>
        <v>Non-prime</v>
      </c>
      <c r="M456" s="19" t="n">
        <f aca="false">IF(K456&lt;=Inputs!$C$19,1,0)</f>
        <v>1</v>
      </c>
      <c r="N456" s="19" t="n">
        <f aca="false">IF(F456&lt;=Inputs!$C$20,1,0)</f>
        <v>1</v>
      </c>
      <c r="O456" s="19" t="n">
        <f aca="false">IF(J456&lt;=Inputs!$C$21,1,0)</f>
        <v>1</v>
      </c>
      <c r="P456" s="19" t="n">
        <f aca="false">IF(D456&gt;=Inputs!$C$22,1,0)</f>
        <v>1</v>
      </c>
      <c r="Q456" s="19" t="n">
        <f aca="false">IF(I456&lt;=Inputs!$C$23,1,0)</f>
        <v>1</v>
      </c>
      <c r="R456" s="19" t="n">
        <f aca="false">M456*N456*O456*P456*Q456</f>
        <v>1</v>
      </c>
      <c r="S456" s="14" t="n">
        <f aca="false">I456*R456</f>
        <v>22770.68</v>
      </c>
      <c r="T456" s="19" t="n">
        <f aca="false">IF(F456&gt;72,1,0)</f>
        <v>0</v>
      </c>
      <c r="U456" s="19" t="n">
        <f aca="false">IF(J456&gt;1.25,1,0)</f>
        <v>0</v>
      </c>
    </row>
    <row r="457" customFormat="false" ht="15" hidden="false" customHeight="false" outlineLevel="0" collapsed="false">
      <c r="B457" s="13" t="s">
        <v>677</v>
      </c>
      <c r="C457" s="13" t="s">
        <v>217</v>
      </c>
      <c r="D457" s="19" t="n">
        <v>657</v>
      </c>
      <c r="E457" s="23" t="n">
        <v>0.1969</v>
      </c>
      <c r="F457" s="19" t="n">
        <v>60</v>
      </c>
      <c r="G457" s="19" t="n">
        <v>6</v>
      </c>
      <c r="H457" s="14" t="n">
        <v>32010</v>
      </c>
      <c r="I457" s="14" t="n">
        <v>30026.21</v>
      </c>
      <c r="J457" s="24" t="n">
        <v>0.963</v>
      </c>
      <c r="K457" s="19" t="n">
        <v>0</v>
      </c>
      <c r="L457" s="13" t="str">
        <f aca="false">IF(D457&gt;=Inputs!$C$14,"Near-prime","Non-prime")</f>
        <v>Near-prime</v>
      </c>
      <c r="M457" s="19" t="n">
        <f aca="false">IF(K457&lt;=Inputs!$C$19,1,0)</f>
        <v>1</v>
      </c>
      <c r="N457" s="19" t="n">
        <f aca="false">IF(F457&lt;=Inputs!$C$20,1,0)</f>
        <v>1</v>
      </c>
      <c r="O457" s="19" t="n">
        <f aca="false">IF(J457&lt;=Inputs!$C$21,1,0)</f>
        <v>1</v>
      </c>
      <c r="P457" s="19" t="n">
        <f aca="false">IF(D457&gt;=Inputs!$C$22,1,0)</f>
        <v>1</v>
      </c>
      <c r="Q457" s="19" t="n">
        <f aca="false">IF(I457&lt;=Inputs!$C$23,1,0)</f>
        <v>1</v>
      </c>
      <c r="R457" s="19" t="n">
        <f aca="false">M457*N457*O457*P457*Q457</f>
        <v>1</v>
      </c>
      <c r="S457" s="14" t="n">
        <f aca="false">I457*R457</f>
        <v>30026.21</v>
      </c>
      <c r="T457" s="19" t="n">
        <f aca="false">IF(F457&gt;72,1,0)</f>
        <v>0</v>
      </c>
      <c r="U457" s="19" t="n">
        <f aca="false">IF(J457&gt;1.25,1,0)</f>
        <v>0</v>
      </c>
    </row>
    <row r="458" customFormat="false" ht="15" hidden="false" customHeight="false" outlineLevel="0" collapsed="false">
      <c r="B458" s="13" t="s">
        <v>678</v>
      </c>
      <c r="C458" s="13" t="s">
        <v>217</v>
      </c>
      <c r="D458" s="19" t="n">
        <v>650</v>
      </c>
      <c r="E458" s="23" t="n">
        <v>0.1855</v>
      </c>
      <c r="F458" s="19" t="n">
        <v>66</v>
      </c>
      <c r="G458" s="19" t="n">
        <v>10</v>
      </c>
      <c r="H458" s="14" t="n">
        <v>9180</v>
      </c>
      <c r="I458" s="14" t="n">
        <v>8311.45</v>
      </c>
      <c r="J458" s="24" t="n">
        <v>1.284</v>
      </c>
      <c r="K458" s="19" t="n">
        <v>0</v>
      </c>
      <c r="L458" s="13" t="str">
        <f aca="false">IF(D458&gt;=Inputs!$C$14,"Near-prime","Non-prime")</f>
        <v>Near-prime</v>
      </c>
      <c r="M458" s="19" t="n">
        <f aca="false">IF(K458&lt;=Inputs!$C$19,1,0)</f>
        <v>1</v>
      </c>
      <c r="N458" s="19" t="n">
        <f aca="false">IF(F458&lt;=Inputs!$C$20,1,0)</f>
        <v>1</v>
      </c>
      <c r="O458" s="19" t="n">
        <f aca="false">IF(J458&lt;=Inputs!$C$21,1,0)</f>
        <v>1</v>
      </c>
      <c r="P458" s="19" t="n">
        <f aca="false">IF(D458&gt;=Inputs!$C$22,1,0)</f>
        <v>1</v>
      </c>
      <c r="Q458" s="19" t="n">
        <f aca="false">IF(I458&lt;=Inputs!$C$23,1,0)</f>
        <v>1</v>
      </c>
      <c r="R458" s="19" t="n">
        <f aca="false">M458*N458*O458*P458*Q458</f>
        <v>1</v>
      </c>
      <c r="S458" s="14" t="n">
        <f aca="false">I458*R458</f>
        <v>8311.45</v>
      </c>
      <c r="T458" s="19" t="n">
        <f aca="false">IF(F458&gt;72,1,0)</f>
        <v>0</v>
      </c>
      <c r="U458" s="19" t="n">
        <f aca="false">IF(J458&gt;1.25,1,0)</f>
        <v>1</v>
      </c>
    </row>
    <row r="459" customFormat="false" ht="15" hidden="false" customHeight="false" outlineLevel="0" collapsed="false">
      <c r="B459" s="13" t="s">
        <v>679</v>
      </c>
      <c r="C459" s="13" t="s">
        <v>219</v>
      </c>
      <c r="D459" s="19" t="n">
        <v>619</v>
      </c>
      <c r="E459" s="23" t="n">
        <v>0.2166</v>
      </c>
      <c r="F459" s="19" t="n">
        <v>60</v>
      </c>
      <c r="G459" s="19" t="n">
        <v>0</v>
      </c>
      <c r="H459" s="14" t="n">
        <v>22120</v>
      </c>
      <c r="I459" s="14" t="n">
        <v>22120</v>
      </c>
      <c r="J459" s="24" t="n">
        <v>0.955</v>
      </c>
      <c r="K459" s="19" t="n">
        <v>0</v>
      </c>
      <c r="L459" s="13" t="str">
        <f aca="false">IF(D459&gt;=Inputs!$C$14,"Near-prime","Non-prime")</f>
        <v>Non-prime</v>
      </c>
      <c r="M459" s="19" t="n">
        <f aca="false">IF(K459&lt;=Inputs!$C$19,1,0)</f>
        <v>1</v>
      </c>
      <c r="N459" s="19" t="n">
        <f aca="false">IF(F459&lt;=Inputs!$C$20,1,0)</f>
        <v>1</v>
      </c>
      <c r="O459" s="19" t="n">
        <f aca="false">IF(J459&lt;=Inputs!$C$21,1,0)</f>
        <v>1</v>
      </c>
      <c r="P459" s="19" t="n">
        <f aca="false">IF(D459&gt;=Inputs!$C$22,1,0)</f>
        <v>1</v>
      </c>
      <c r="Q459" s="19" t="n">
        <f aca="false">IF(I459&lt;=Inputs!$C$23,1,0)</f>
        <v>1</v>
      </c>
      <c r="R459" s="19" t="n">
        <f aca="false">M459*N459*O459*P459*Q459</f>
        <v>1</v>
      </c>
      <c r="S459" s="14" t="n">
        <f aca="false">I459*R459</f>
        <v>22120</v>
      </c>
      <c r="T459" s="19" t="n">
        <f aca="false">IF(F459&gt;72,1,0)</f>
        <v>0</v>
      </c>
      <c r="U459" s="19" t="n">
        <f aca="false">IF(J459&gt;1.25,1,0)</f>
        <v>0</v>
      </c>
    </row>
    <row r="460" customFormat="false" ht="15" hidden="false" customHeight="false" outlineLevel="0" collapsed="false">
      <c r="B460" s="13" t="s">
        <v>680</v>
      </c>
      <c r="C460" s="13" t="s">
        <v>223</v>
      </c>
      <c r="D460" s="19" t="n">
        <v>634</v>
      </c>
      <c r="E460" s="23" t="n">
        <v>0.2266</v>
      </c>
      <c r="F460" s="19" t="n">
        <v>84</v>
      </c>
      <c r="G460" s="19" t="n">
        <v>2</v>
      </c>
      <c r="H460" s="14" t="n">
        <v>20330</v>
      </c>
      <c r="I460" s="14" t="n">
        <v>20126.76</v>
      </c>
      <c r="J460" s="24" t="n">
        <v>1.108</v>
      </c>
      <c r="K460" s="19" t="n">
        <v>0</v>
      </c>
      <c r="L460" s="13" t="str">
        <f aca="false">IF(D460&gt;=Inputs!$C$14,"Near-prime","Non-prime")</f>
        <v>Near-prime</v>
      </c>
      <c r="M460" s="19" t="n">
        <f aca="false">IF(K460&lt;=Inputs!$C$19,1,0)</f>
        <v>1</v>
      </c>
      <c r="N460" s="19" t="n">
        <f aca="false">IF(F460&lt;=Inputs!$C$20,1,0)</f>
        <v>0</v>
      </c>
      <c r="O460" s="19" t="n">
        <f aca="false">IF(J460&lt;=Inputs!$C$21,1,0)</f>
        <v>1</v>
      </c>
      <c r="P460" s="19" t="n">
        <f aca="false">IF(D460&gt;=Inputs!$C$22,1,0)</f>
        <v>1</v>
      </c>
      <c r="Q460" s="19" t="n">
        <f aca="false">IF(I460&lt;=Inputs!$C$23,1,0)</f>
        <v>1</v>
      </c>
      <c r="R460" s="19" t="n">
        <f aca="false">M460*N460*O460*P460*Q460</f>
        <v>0</v>
      </c>
      <c r="S460" s="14" t="n">
        <f aca="false">I460*R460</f>
        <v>0</v>
      </c>
      <c r="T460" s="19" t="n">
        <f aca="false">IF(F460&gt;72,1,0)</f>
        <v>1</v>
      </c>
      <c r="U460" s="19" t="n">
        <f aca="false">IF(J460&gt;1.25,1,0)</f>
        <v>0</v>
      </c>
    </row>
    <row r="461" customFormat="false" ht="15" hidden="false" customHeight="false" outlineLevel="0" collapsed="false">
      <c r="B461" s="13" t="s">
        <v>681</v>
      </c>
      <c r="C461" s="13" t="s">
        <v>217</v>
      </c>
      <c r="D461" s="19" t="n">
        <v>684</v>
      </c>
      <c r="E461" s="23" t="n">
        <v>0.2008</v>
      </c>
      <c r="F461" s="19" t="n">
        <v>60</v>
      </c>
      <c r="G461" s="19" t="n">
        <v>6</v>
      </c>
      <c r="H461" s="14" t="n">
        <v>26930</v>
      </c>
      <c r="I461" s="14" t="n">
        <v>25277.92</v>
      </c>
      <c r="J461" s="24" t="n">
        <v>1.248</v>
      </c>
      <c r="K461" s="19" t="n">
        <v>0</v>
      </c>
      <c r="L461" s="13" t="str">
        <f aca="false">IF(D461&gt;=Inputs!$C$14,"Near-prime","Non-prime")</f>
        <v>Near-prime</v>
      </c>
      <c r="M461" s="19" t="n">
        <f aca="false">IF(K461&lt;=Inputs!$C$19,1,0)</f>
        <v>1</v>
      </c>
      <c r="N461" s="19" t="n">
        <f aca="false">IF(F461&lt;=Inputs!$C$20,1,0)</f>
        <v>1</v>
      </c>
      <c r="O461" s="19" t="n">
        <f aca="false">IF(J461&lt;=Inputs!$C$21,1,0)</f>
        <v>1</v>
      </c>
      <c r="P461" s="19" t="n">
        <f aca="false">IF(D461&gt;=Inputs!$C$22,1,0)</f>
        <v>1</v>
      </c>
      <c r="Q461" s="19" t="n">
        <f aca="false">IF(I461&lt;=Inputs!$C$23,1,0)</f>
        <v>1</v>
      </c>
      <c r="R461" s="19" t="n">
        <f aca="false">M461*N461*O461*P461*Q461</f>
        <v>1</v>
      </c>
      <c r="S461" s="14" t="n">
        <f aca="false">I461*R461</f>
        <v>25277.92</v>
      </c>
      <c r="T461" s="19" t="n">
        <f aca="false">IF(F461&gt;72,1,0)</f>
        <v>0</v>
      </c>
      <c r="U461" s="19" t="n">
        <f aca="false">IF(J461&gt;1.25,1,0)</f>
        <v>0</v>
      </c>
    </row>
    <row r="462" customFormat="false" ht="15" hidden="false" customHeight="false" outlineLevel="0" collapsed="false">
      <c r="B462" s="13" t="s">
        <v>682</v>
      </c>
      <c r="C462" s="13" t="s">
        <v>228</v>
      </c>
      <c r="D462" s="19" t="n">
        <v>645</v>
      </c>
      <c r="E462" s="23" t="n">
        <v>0.199</v>
      </c>
      <c r="F462" s="19" t="n">
        <v>48</v>
      </c>
      <c r="G462" s="19" t="n">
        <v>6</v>
      </c>
      <c r="H462" s="14" t="n">
        <v>32350</v>
      </c>
      <c r="I462" s="14" t="n">
        <v>29559.14</v>
      </c>
      <c r="J462" s="24" t="n">
        <v>1.224</v>
      </c>
      <c r="K462" s="19" t="n">
        <v>0</v>
      </c>
      <c r="L462" s="13" t="str">
        <f aca="false">IF(D462&gt;=Inputs!$C$14,"Near-prime","Non-prime")</f>
        <v>Near-prime</v>
      </c>
      <c r="M462" s="19" t="n">
        <f aca="false">IF(K462&lt;=Inputs!$C$19,1,0)</f>
        <v>1</v>
      </c>
      <c r="N462" s="19" t="n">
        <f aca="false">IF(F462&lt;=Inputs!$C$20,1,0)</f>
        <v>1</v>
      </c>
      <c r="O462" s="19" t="n">
        <f aca="false">IF(J462&lt;=Inputs!$C$21,1,0)</f>
        <v>1</v>
      </c>
      <c r="P462" s="19" t="n">
        <f aca="false">IF(D462&gt;=Inputs!$C$22,1,0)</f>
        <v>1</v>
      </c>
      <c r="Q462" s="19" t="n">
        <f aca="false">IF(I462&lt;=Inputs!$C$23,1,0)</f>
        <v>1</v>
      </c>
      <c r="R462" s="19" t="n">
        <f aca="false">M462*N462*O462*P462*Q462</f>
        <v>1</v>
      </c>
      <c r="S462" s="14" t="n">
        <f aca="false">I462*R462</f>
        <v>29559.14</v>
      </c>
      <c r="T462" s="19" t="n">
        <f aca="false">IF(F462&gt;72,1,0)</f>
        <v>0</v>
      </c>
      <c r="U462" s="19" t="n">
        <f aca="false">IF(J462&gt;1.25,1,0)</f>
        <v>0</v>
      </c>
    </row>
    <row r="463" customFormat="false" ht="15" hidden="false" customHeight="false" outlineLevel="0" collapsed="false">
      <c r="B463" s="13" t="s">
        <v>683</v>
      </c>
      <c r="C463" s="13" t="s">
        <v>237</v>
      </c>
      <c r="D463" s="19" t="n">
        <v>699</v>
      </c>
      <c r="E463" s="23" t="n">
        <v>0.1873</v>
      </c>
      <c r="F463" s="19" t="n">
        <v>60</v>
      </c>
      <c r="G463" s="19" t="n">
        <v>1</v>
      </c>
      <c r="H463" s="14" t="n">
        <v>25940</v>
      </c>
      <c r="I463" s="14" t="n">
        <v>25675.83</v>
      </c>
      <c r="J463" s="24" t="n">
        <v>1.198</v>
      </c>
      <c r="K463" s="19" t="n">
        <v>0</v>
      </c>
      <c r="L463" s="13" t="str">
        <f aca="false">IF(D463&gt;=Inputs!$C$14,"Near-prime","Non-prime")</f>
        <v>Near-prime</v>
      </c>
      <c r="M463" s="19" t="n">
        <f aca="false">IF(K463&lt;=Inputs!$C$19,1,0)</f>
        <v>1</v>
      </c>
      <c r="N463" s="19" t="n">
        <f aca="false">IF(F463&lt;=Inputs!$C$20,1,0)</f>
        <v>1</v>
      </c>
      <c r="O463" s="19" t="n">
        <f aca="false">IF(J463&lt;=Inputs!$C$21,1,0)</f>
        <v>1</v>
      </c>
      <c r="P463" s="19" t="n">
        <f aca="false">IF(D463&gt;=Inputs!$C$22,1,0)</f>
        <v>1</v>
      </c>
      <c r="Q463" s="19" t="n">
        <f aca="false">IF(I463&lt;=Inputs!$C$23,1,0)</f>
        <v>1</v>
      </c>
      <c r="R463" s="19" t="n">
        <f aca="false">M463*N463*O463*P463*Q463</f>
        <v>1</v>
      </c>
      <c r="S463" s="14" t="n">
        <f aca="false">I463*R463</f>
        <v>25675.83</v>
      </c>
      <c r="T463" s="19" t="n">
        <f aca="false">IF(F463&gt;72,1,0)</f>
        <v>0</v>
      </c>
      <c r="U463" s="19" t="n">
        <f aca="false">IF(J463&gt;1.25,1,0)</f>
        <v>0</v>
      </c>
    </row>
    <row r="464" customFormat="false" ht="15" hidden="false" customHeight="false" outlineLevel="0" collapsed="false">
      <c r="B464" s="13" t="s">
        <v>684</v>
      </c>
      <c r="C464" s="13" t="s">
        <v>217</v>
      </c>
      <c r="D464" s="19" t="n">
        <v>688</v>
      </c>
      <c r="E464" s="23" t="n">
        <v>0.2101</v>
      </c>
      <c r="F464" s="19" t="n">
        <v>72</v>
      </c>
      <c r="G464" s="19" t="n">
        <v>1</v>
      </c>
      <c r="H464" s="14" t="n">
        <v>24630</v>
      </c>
      <c r="I464" s="14" t="n">
        <v>24456.76</v>
      </c>
      <c r="J464" s="24" t="n">
        <v>0.907</v>
      </c>
      <c r="K464" s="19" t="n">
        <v>0</v>
      </c>
      <c r="L464" s="13" t="str">
        <f aca="false">IF(D464&gt;=Inputs!$C$14,"Near-prime","Non-prime")</f>
        <v>Near-prime</v>
      </c>
      <c r="M464" s="19" t="n">
        <f aca="false">IF(K464&lt;=Inputs!$C$19,1,0)</f>
        <v>1</v>
      </c>
      <c r="N464" s="19" t="n">
        <f aca="false">IF(F464&lt;=Inputs!$C$20,1,0)</f>
        <v>1</v>
      </c>
      <c r="O464" s="19" t="n">
        <f aca="false">IF(J464&lt;=Inputs!$C$21,1,0)</f>
        <v>1</v>
      </c>
      <c r="P464" s="19" t="n">
        <f aca="false">IF(D464&gt;=Inputs!$C$22,1,0)</f>
        <v>1</v>
      </c>
      <c r="Q464" s="19" t="n">
        <f aca="false">IF(I464&lt;=Inputs!$C$23,1,0)</f>
        <v>1</v>
      </c>
      <c r="R464" s="19" t="n">
        <f aca="false">M464*N464*O464*P464*Q464</f>
        <v>1</v>
      </c>
      <c r="S464" s="14" t="n">
        <f aca="false">I464*R464</f>
        <v>24456.76</v>
      </c>
      <c r="T464" s="19" t="n">
        <f aca="false">IF(F464&gt;72,1,0)</f>
        <v>0</v>
      </c>
      <c r="U464" s="19" t="n">
        <f aca="false">IF(J464&gt;1.25,1,0)</f>
        <v>0</v>
      </c>
    </row>
    <row r="465" customFormat="false" ht="15" hidden="false" customHeight="false" outlineLevel="0" collapsed="false">
      <c r="B465" s="13" t="s">
        <v>685</v>
      </c>
      <c r="C465" s="13" t="s">
        <v>217</v>
      </c>
      <c r="D465" s="19" t="n">
        <v>728</v>
      </c>
      <c r="E465" s="23" t="n">
        <v>0.2191</v>
      </c>
      <c r="F465" s="19" t="n">
        <v>60</v>
      </c>
      <c r="G465" s="19" t="n">
        <v>10</v>
      </c>
      <c r="H465" s="14" t="n">
        <v>20280</v>
      </c>
      <c r="I465" s="14" t="n">
        <v>18229.13</v>
      </c>
      <c r="J465" s="24" t="n">
        <v>1.157</v>
      </c>
      <c r="K465" s="19" t="n">
        <v>0</v>
      </c>
      <c r="L465" s="13" t="str">
        <f aca="false">IF(D465&gt;=Inputs!$C$14,"Near-prime","Non-prime")</f>
        <v>Near-prime</v>
      </c>
      <c r="M465" s="19" t="n">
        <f aca="false">IF(K465&lt;=Inputs!$C$19,1,0)</f>
        <v>1</v>
      </c>
      <c r="N465" s="19" t="n">
        <f aca="false">IF(F465&lt;=Inputs!$C$20,1,0)</f>
        <v>1</v>
      </c>
      <c r="O465" s="19" t="n">
        <f aca="false">IF(J465&lt;=Inputs!$C$21,1,0)</f>
        <v>1</v>
      </c>
      <c r="P465" s="19" t="n">
        <f aca="false">IF(D465&gt;=Inputs!$C$22,1,0)</f>
        <v>1</v>
      </c>
      <c r="Q465" s="19" t="n">
        <f aca="false">IF(I465&lt;=Inputs!$C$23,1,0)</f>
        <v>1</v>
      </c>
      <c r="R465" s="19" t="n">
        <f aca="false">M465*N465*O465*P465*Q465</f>
        <v>1</v>
      </c>
      <c r="S465" s="14" t="n">
        <f aca="false">I465*R465</f>
        <v>18229.13</v>
      </c>
      <c r="T465" s="19" t="n">
        <f aca="false">IF(F465&gt;72,1,0)</f>
        <v>0</v>
      </c>
      <c r="U465" s="19" t="n">
        <f aca="false">IF(J465&gt;1.25,1,0)</f>
        <v>0</v>
      </c>
    </row>
    <row r="466" customFormat="false" ht="15" hidden="false" customHeight="false" outlineLevel="0" collapsed="false">
      <c r="B466" s="13" t="s">
        <v>686</v>
      </c>
      <c r="C466" s="13" t="s">
        <v>257</v>
      </c>
      <c r="D466" s="19" t="n">
        <v>626</v>
      </c>
      <c r="E466" s="23" t="n">
        <v>0.2286</v>
      </c>
      <c r="F466" s="19" t="n">
        <v>72</v>
      </c>
      <c r="G466" s="19" t="n">
        <v>4</v>
      </c>
      <c r="H466" s="14" t="n">
        <v>31040</v>
      </c>
      <c r="I466" s="14" t="n">
        <v>30198.22</v>
      </c>
      <c r="J466" s="24" t="n">
        <v>0.723</v>
      </c>
      <c r="K466" s="19" t="n">
        <v>0</v>
      </c>
      <c r="L466" s="13" t="str">
        <f aca="false">IF(D466&gt;=Inputs!$C$14,"Near-prime","Non-prime")</f>
        <v>Near-prime</v>
      </c>
      <c r="M466" s="19" t="n">
        <f aca="false">IF(K466&lt;=Inputs!$C$19,1,0)</f>
        <v>1</v>
      </c>
      <c r="N466" s="19" t="n">
        <f aca="false">IF(F466&lt;=Inputs!$C$20,1,0)</f>
        <v>1</v>
      </c>
      <c r="O466" s="19" t="n">
        <f aca="false">IF(J466&lt;=Inputs!$C$21,1,0)</f>
        <v>1</v>
      </c>
      <c r="P466" s="19" t="n">
        <f aca="false">IF(D466&gt;=Inputs!$C$22,1,0)</f>
        <v>1</v>
      </c>
      <c r="Q466" s="19" t="n">
        <f aca="false">IF(I466&lt;=Inputs!$C$23,1,0)</f>
        <v>1</v>
      </c>
      <c r="R466" s="19" t="n">
        <f aca="false">M466*N466*O466*P466*Q466</f>
        <v>1</v>
      </c>
      <c r="S466" s="14" t="n">
        <f aca="false">I466*R466</f>
        <v>30198.22</v>
      </c>
      <c r="T466" s="19" t="n">
        <f aca="false">IF(F466&gt;72,1,0)</f>
        <v>0</v>
      </c>
      <c r="U466" s="19" t="n">
        <f aca="false">IF(J466&gt;1.25,1,0)</f>
        <v>0</v>
      </c>
    </row>
    <row r="467" customFormat="false" ht="15" hidden="false" customHeight="false" outlineLevel="0" collapsed="false">
      <c r="B467" s="13" t="s">
        <v>687</v>
      </c>
      <c r="C467" s="13" t="s">
        <v>252</v>
      </c>
      <c r="D467" s="19" t="n">
        <v>657</v>
      </c>
      <c r="E467" s="23" t="n">
        <v>0.2124</v>
      </c>
      <c r="F467" s="19" t="n">
        <v>72</v>
      </c>
      <c r="G467" s="19" t="n">
        <v>10</v>
      </c>
      <c r="H467" s="14" t="n">
        <v>45540</v>
      </c>
      <c r="I467" s="14" t="n">
        <v>42097.28</v>
      </c>
      <c r="J467" s="24" t="n">
        <v>0.867</v>
      </c>
      <c r="K467" s="19" t="n">
        <v>0</v>
      </c>
      <c r="L467" s="13" t="str">
        <f aca="false">IF(D467&gt;=Inputs!$C$14,"Near-prime","Non-prime")</f>
        <v>Near-prime</v>
      </c>
      <c r="M467" s="19" t="n">
        <f aca="false">IF(K467&lt;=Inputs!$C$19,1,0)</f>
        <v>1</v>
      </c>
      <c r="N467" s="19" t="n">
        <f aca="false">IF(F467&lt;=Inputs!$C$20,1,0)</f>
        <v>1</v>
      </c>
      <c r="O467" s="19" t="n">
        <f aca="false">IF(J467&lt;=Inputs!$C$21,1,0)</f>
        <v>1</v>
      </c>
      <c r="P467" s="19" t="n">
        <f aca="false">IF(D467&gt;=Inputs!$C$22,1,0)</f>
        <v>1</v>
      </c>
      <c r="Q467" s="19" t="n">
        <f aca="false">IF(I467&lt;=Inputs!$C$23,1,0)</f>
        <v>1</v>
      </c>
      <c r="R467" s="19" t="n">
        <f aca="false">M467*N467*O467*P467*Q467</f>
        <v>1</v>
      </c>
      <c r="S467" s="14" t="n">
        <f aca="false">I467*R467</f>
        <v>42097.28</v>
      </c>
      <c r="T467" s="19" t="n">
        <f aca="false">IF(F467&gt;72,1,0)</f>
        <v>0</v>
      </c>
      <c r="U467" s="19" t="n">
        <f aca="false">IF(J467&gt;1.25,1,0)</f>
        <v>0</v>
      </c>
    </row>
    <row r="468" customFormat="false" ht="15" hidden="false" customHeight="false" outlineLevel="0" collapsed="false">
      <c r="B468" s="13" t="s">
        <v>688</v>
      </c>
      <c r="C468" s="13" t="s">
        <v>228</v>
      </c>
      <c r="D468" s="19" t="n">
        <v>593</v>
      </c>
      <c r="E468" s="23" t="n">
        <v>0.2247</v>
      </c>
      <c r="F468" s="19" t="n">
        <v>60</v>
      </c>
      <c r="G468" s="19" t="n">
        <v>7</v>
      </c>
      <c r="H468" s="14" t="n">
        <v>27900</v>
      </c>
      <c r="I468" s="14" t="n">
        <v>26006.99</v>
      </c>
      <c r="J468" s="24" t="n">
        <v>1.173</v>
      </c>
      <c r="K468" s="19" t="n">
        <v>0</v>
      </c>
      <c r="L468" s="13" t="str">
        <f aca="false">IF(D468&gt;=Inputs!$C$14,"Near-prime","Non-prime")</f>
        <v>Non-prime</v>
      </c>
      <c r="M468" s="19" t="n">
        <f aca="false">IF(K468&lt;=Inputs!$C$19,1,0)</f>
        <v>1</v>
      </c>
      <c r="N468" s="19" t="n">
        <f aca="false">IF(F468&lt;=Inputs!$C$20,1,0)</f>
        <v>1</v>
      </c>
      <c r="O468" s="19" t="n">
        <f aca="false">IF(J468&lt;=Inputs!$C$21,1,0)</f>
        <v>1</v>
      </c>
      <c r="P468" s="19" t="n">
        <f aca="false">IF(D468&gt;=Inputs!$C$22,1,0)</f>
        <v>1</v>
      </c>
      <c r="Q468" s="19" t="n">
        <f aca="false">IF(I468&lt;=Inputs!$C$23,1,0)</f>
        <v>1</v>
      </c>
      <c r="R468" s="19" t="n">
        <f aca="false">M468*N468*O468*P468*Q468</f>
        <v>1</v>
      </c>
      <c r="S468" s="14" t="n">
        <f aca="false">I468*R468</f>
        <v>26006.99</v>
      </c>
      <c r="T468" s="19" t="n">
        <f aca="false">IF(F468&gt;72,1,0)</f>
        <v>0</v>
      </c>
      <c r="U468" s="19" t="n">
        <f aca="false">IF(J468&gt;1.25,1,0)</f>
        <v>0</v>
      </c>
    </row>
    <row r="469" customFormat="false" ht="15" hidden="false" customHeight="false" outlineLevel="0" collapsed="false">
      <c r="B469" s="13" t="s">
        <v>689</v>
      </c>
      <c r="C469" s="13" t="s">
        <v>221</v>
      </c>
      <c r="D469" s="19" t="n">
        <v>680</v>
      </c>
      <c r="E469" s="23" t="n">
        <v>0.1985</v>
      </c>
      <c r="F469" s="19" t="n">
        <v>72</v>
      </c>
      <c r="G469" s="19" t="n">
        <v>4</v>
      </c>
      <c r="H469" s="14" t="n">
        <v>26060</v>
      </c>
      <c r="I469" s="14" t="n">
        <v>25277.36</v>
      </c>
      <c r="J469" s="24" t="n">
        <v>1.208</v>
      </c>
      <c r="K469" s="19" t="n">
        <v>0</v>
      </c>
      <c r="L469" s="13" t="str">
        <f aca="false">IF(D469&gt;=Inputs!$C$14,"Near-prime","Non-prime")</f>
        <v>Near-prime</v>
      </c>
      <c r="M469" s="19" t="n">
        <f aca="false">IF(K469&lt;=Inputs!$C$19,1,0)</f>
        <v>1</v>
      </c>
      <c r="N469" s="19" t="n">
        <f aca="false">IF(F469&lt;=Inputs!$C$20,1,0)</f>
        <v>1</v>
      </c>
      <c r="O469" s="19" t="n">
        <f aca="false">IF(J469&lt;=Inputs!$C$21,1,0)</f>
        <v>1</v>
      </c>
      <c r="P469" s="19" t="n">
        <f aca="false">IF(D469&gt;=Inputs!$C$22,1,0)</f>
        <v>1</v>
      </c>
      <c r="Q469" s="19" t="n">
        <f aca="false">IF(I469&lt;=Inputs!$C$23,1,0)</f>
        <v>1</v>
      </c>
      <c r="R469" s="19" t="n">
        <f aca="false">M469*N469*O469*P469*Q469</f>
        <v>1</v>
      </c>
      <c r="S469" s="14" t="n">
        <f aca="false">I469*R469</f>
        <v>25277.36</v>
      </c>
      <c r="T469" s="19" t="n">
        <f aca="false">IF(F469&gt;72,1,0)</f>
        <v>0</v>
      </c>
      <c r="U469" s="19" t="n">
        <f aca="false">IF(J469&gt;1.25,1,0)</f>
        <v>0</v>
      </c>
    </row>
    <row r="470" customFormat="false" ht="15" hidden="false" customHeight="false" outlineLevel="0" collapsed="false">
      <c r="B470" s="13" t="s">
        <v>690</v>
      </c>
      <c r="C470" s="13" t="s">
        <v>217</v>
      </c>
      <c r="D470" s="19" t="n">
        <v>611</v>
      </c>
      <c r="E470" s="23" t="n">
        <v>0.2165</v>
      </c>
      <c r="F470" s="19" t="n">
        <v>75</v>
      </c>
      <c r="G470" s="19" t="n">
        <v>5</v>
      </c>
      <c r="H470" s="14" t="n">
        <v>27940</v>
      </c>
      <c r="I470" s="14" t="n">
        <v>27014.42</v>
      </c>
      <c r="J470" s="24" t="n">
        <v>1.218</v>
      </c>
      <c r="K470" s="19" t="n">
        <v>0</v>
      </c>
      <c r="L470" s="13" t="str">
        <f aca="false">IF(D470&gt;=Inputs!$C$14,"Near-prime","Non-prime")</f>
        <v>Non-prime</v>
      </c>
      <c r="M470" s="19" t="n">
        <f aca="false">IF(K470&lt;=Inputs!$C$19,1,0)</f>
        <v>1</v>
      </c>
      <c r="N470" s="19" t="n">
        <f aca="false">IF(F470&lt;=Inputs!$C$20,1,0)</f>
        <v>1</v>
      </c>
      <c r="O470" s="19" t="n">
        <f aca="false">IF(J470&lt;=Inputs!$C$21,1,0)</f>
        <v>1</v>
      </c>
      <c r="P470" s="19" t="n">
        <f aca="false">IF(D470&gt;=Inputs!$C$22,1,0)</f>
        <v>1</v>
      </c>
      <c r="Q470" s="19" t="n">
        <f aca="false">IF(I470&lt;=Inputs!$C$23,1,0)</f>
        <v>1</v>
      </c>
      <c r="R470" s="19" t="n">
        <f aca="false">M470*N470*O470*P470*Q470</f>
        <v>1</v>
      </c>
      <c r="S470" s="14" t="n">
        <f aca="false">I470*R470</f>
        <v>27014.42</v>
      </c>
      <c r="T470" s="19" t="n">
        <f aca="false">IF(F470&gt;72,1,0)</f>
        <v>1</v>
      </c>
      <c r="U470" s="19" t="n">
        <f aca="false">IF(J470&gt;1.25,1,0)</f>
        <v>0</v>
      </c>
    </row>
    <row r="471" customFormat="false" ht="15" hidden="false" customHeight="false" outlineLevel="0" collapsed="false">
      <c r="B471" s="13" t="s">
        <v>691</v>
      </c>
      <c r="C471" s="13" t="s">
        <v>217</v>
      </c>
      <c r="D471" s="19" t="n">
        <v>680</v>
      </c>
      <c r="E471" s="23" t="n">
        <v>0.1983</v>
      </c>
      <c r="F471" s="19" t="n">
        <v>60</v>
      </c>
      <c r="G471" s="19" t="n">
        <v>4</v>
      </c>
      <c r="H471" s="14" t="n">
        <v>19920</v>
      </c>
      <c r="I471" s="14" t="n">
        <v>19113.49</v>
      </c>
      <c r="J471" s="24" t="n">
        <v>1.103</v>
      </c>
      <c r="K471" s="19" t="n">
        <v>0</v>
      </c>
      <c r="L471" s="13" t="str">
        <f aca="false">IF(D471&gt;=Inputs!$C$14,"Near-prime","Non-prime")</f>
        <v>Near-prime</v>
      </c>
      <c r="M471" s="19" t="n">
        <f aca="false">IF(K471&lt;=Inputs!$C$19,1,0)</f>
        <v>1</v>
      </c>
      <c r="N471" s="19" t="n">
        <f aca="false">IF(F471&lt;=Inputs!$C$20,1,0)</f>
        <v>1</v>
      </c>
      <c r="O471" s="19" t="n">
        <f aca="false">IF(J471&lt;=Inputs!$C$21,1,0)</f>
        <v>1</v>
      </c>
      <c r="P471" s="19" t="n">
        <f aca="false">IF(D471&gt;=Inputs!$C$22,1,0)</f>
        <v>1</v>
      </c>
      <c r="Q471" s="19" t="n">
        <f aca="false">IF(I471&lt;=Inputs!$C$23,1,0)</f>
        <v>1</v>
      </c>
      <c r="R471" s="19" t="n">
        <f aca="false">M471*N471*O471*P471*Q471</f>
        <v>1</v>
      </c>
      <c r="S471" s="14" t="n">
        <f aca="false">I471*R471</f>
        <v>19113.49</v>
      </c>
      <c r="T471" s="19" t="n">
        <f aca="false">IF(F471&gt;72,1,0)</f>
        <v>0</v>
      </c>
      <c r="U471" s="19" t="n">
        <f aca="false">IF(J471&gt;1.25,1,0)</f>
        <v>0</v>
      </c>
    </row>
    <row r="472" customFormat="false" ht="15" hidden="false" customHeight="false" outlineLevel="0" collapsed="false">
      <c r="B472" s="13" t="s">
        <v>692</v>
      </c>
      <c r="C472" s="13" t="s">
        <v>221</v>
      </c>
      <c r="D472" s="19" t="n">
        <v>633</v>
      </c>
      <c r="E472" s="23" t="n">
        <v>0.1881</v>
      </c>
      <c r="F472" s="19" t="n">
        <v>60</v>
      </c>
      <c r="G472" s="19" t="n">
        <v>9</v>
      </c>
      <c r="H472" s="14" t="n">
        <v>18310</v>
      </c>
      <c r="I472" s="14" t="n">
        <v>16526.63</v>
      </c>
      <c r="J472" s="24" t="n">
        <v>1.183</v>
      </c>
      <c r="K472" s="19" t="n">
        <v>0</v>
      </c>
      <c r="L472" s="13" t="str">
        <f aca="false">IF(D472&gt;=Inputs!$C$14,"Near-prime","Non-prime")</f>
        <v>Near-prime</v>
      </c>
      <c r="M472" s="19" t="n">
        <f aca="false">IF(K472&lt;=Inputs!$C$19,1,0)</f>
        <v>1</v>
      </c>
      <c r="N472" s="19" t="n">
        <f aca="false">IF(F472&lt;=Inputs!$C$20,1,0)</f>
        <v>1</v>
      </c>
      <c r="O472" s="19" t="n">
        <f aca="false">IF(J472&lt;=Inputs!$C$21,1,0)</f>
        <v>1</v>
      </c>
      <c r="P472" s="19" t="n">
        <f aca="false">IF(D472&gt;=Inputs!$C$22,1,0)</f>
        <v>1</v>
      </c>
      <c r="Q472" s="19" t="n">
        <f aca="false">IF(I472&lt;=Inputs!$C$23,1,0)</f>
        <v>1</v>
      </c>
      <c r="R472" s="19" t="n">
        <f aca="false">M472*N472*O472*P472*Q472</f>
        <v>1</v>
      </c>
      <c r="S472" s="14" t="n">
        <f aca="false">I472*R472</f>
        <v>16526.63</v>
      </c>
      <c r="T472" s="19" t="n">
        <f aca="false">IF(F472&gt;72,1,0)</f>
        <v>0</v>
      </c>
      <c r="U472" s="19" t="n">
        <f aca="false">IF(J472&gt;1.25,1,0)</f>
        <v>0</v>
      </c>
    </row>
    <row r="473" customFormat="false" ht="15" hidden="false" customHeight="false" outlineLevel="0" collapsed="false">
      <c r="B473" s="13" t="s">
        <v>693</v>
      </c>
      <c r="C473" s="13" t="s">
        <v>219</v>
      </c>
      <c r="D473" s="19" t="n">
        <v>639</v>
      </c>
      <c r="E473" s="23" t="n">
        <v>0.1798</v>
      </c>
      <c r="F473" s="19" t="n">
        <v>66</v>
      </c>
      <c r="G473" s="19" t="n">
        <v>7</v>
      </c>
      <c r="H473" s="14" t="n">
        <v>17990</v>
      </c>
      <c r="I473" s="14" t="n">
        <v>16807.1</v>
      </c>
      <c r="J473" s="24" t="n">
        <v>1.013</v>
      </c>
      <c r="K473" s="19" t="n">
        <v>45</v>
      </c>
      <c r="L473" s="13" t="str">
        <f aca="false">IF(D473&gt;=Inputs!$C$14,"Near-prime","Non-prime")</f>
        <v>Near-prime</v>
      </c>
      <c r="M473" s="19" t="n">
        <f aca="false">IF(K473&lt;=Inputs!$C$19,1,0)</f>
        <v>1</v>
      </c>
      <c r="N473" s="19" t="n">
        <f aca="false">IF(F473&lt;=Inputs!$C$20,1,0)</f>
        <v>1</v>
      </c>
      <c r="O473" s="19" t="n">
        <f aca="false">IF(J473&lt;=Inputs!$C$21,1,0)</f>
        <v>1</v>
      </c>
      <c r="P473" s="19" t="n">
        <f aca="false">IF(D473&gt;=Inputs!$C$22,1,0)</f>
        <v>1</v>
      </c>
      <c r="Q473" s="19" t="n">
        <f aca="false">IF(I473&lt;=Inputs!$C$23,1,0)</f>
        <v>1</v>
      </c>
      <c r="R473" s="19" t="n">
        <f aca="false">M473*N473*O473*P473*Q473</f>
        <v>1</v>
      </c>
      <c r="S473" s="14" t="n">
        <f aca="false">I473*R473</f>
        <v>16807.1</v>
      </c>
      <c r="T473" s="19" t="n">
        <f aca="false">IF(F473&gt;72,1,0)</f>
        <v>0</v>
      </c>
      <c r="U473" s="19" t="n">
        <f aca="false">IF(J473&gt;1.25,1,0)</f>
        <v>0</v>
      </c>
    </row>
    <row r="474" customFormat="false" ht="15" hidden="false" customHeight="false" outlineLevel="0" collapsed="false">
      <c r="B474" s="13" t="s">
        <v>694</v>
      </c>
      <c r="C474" s="13" t="s">
        <v>217</v>
      </c>
      <c r="D474" s="19" t="n">
        <v>660</v>
      </c>
      <c r="E474" s="23" t="n">
        <v>0.2099</v>
      </c>
      <c r="F474" s="19" t="n">
        <v>60</v>
      </c>
      <c r="G474" s="19" t="n">
        <v>8</v>
      </c>
      <c r="H474" s="14" t="n">
        <v>25510</v>
      </c>
      <c r="I474" s="14" t="n">
        <v>23436.14</v>
      </c>
      <c r="J474" s="24" t="n">
        <v>0.882</v>
      </c>
      <c r="K474" s="19" t="n">
        <v>0</v>
      </c>
      <c r="L474" s="13" t="str">
        <f aca="false">IF(D474&gt;=Inputs!$C$14,"Near-prime","Non-prime")</f>
        <v>Near-prime</v>
      </c>
      <c r="M474" s="19" t="n">
        <f aca="false">IF(K474&lt;=Inputs!$C$19,1,0)</f>
        <v>1</v>
      </c>
      <c r="N474" s="19" t="n">
        <f aca="false">IF(F474&lt;=Inputs!$C$20,1,0)</f>
        <v>1</v>
      </c>
      <c r="O474" s="19" t="n">
        <f aca="false">IF(J474&lt;=Inputs!$C$21,1,0)</f>
        <v>1</v>
      </c>
      <c r="P474" s="19" t="n">
        <f aca="false">IF(D474&gt;=Inputs!$C$22,1,0)</f>
        <v>1</v>
      </c>
      <c r="Q474" s="19" t="n">
        <f aca="false">IF(I474&lt;=Inputs!$C$23,1,0)</f>
        <v>1</v>
      </c>
      <c r="R474" s="19" t="n">
        <f aca="false">M474*N474*O474*P474*Q474</f>
        <v>1</v>
      </c>
      <c r="S474" s="14" t="n">
        <f aca="false">I474*R474</f>
        <v>23436.14</v>
      </c>
      <c r="T474" s="19" t="n">
        <f aca="false">IF(F474&gt;72,1,0)</f>
        <v>0</v>
      </c>
      <c r="U474" s="19" t="n">
        <f aca="false">IF(J474&gt;1.25,1,0)</f>
        <v>0</v>
      </c>
    </row>
    <row r="475" customFormat="false" ht="15" hidden="false" customHeight="false" outlineLevel="0" collapsed="false">
      <c r="B475" s="13" t="s">
        <v>695</v>
      </c>
      <c r="C475" s="13" t="s">
        <v>223</v>
      </c>
      <c r="D475" s="19" t="n">
        <v>609</v>
      </c>
      <c r="E475" s="23" t="n">
        <v>0.2132</v>
      </c>
      <c r="F475" s="19" t="n">
        <v>75</v>
      </c>
      <c r="G475" s="19" t="n">
        <v>6</v>
      </c>
      <c r="H475" s="14" t="n">
        <v>30860</v>
      </c>
      <c r="I475" s="14" t="n">
        <v>29607.72</v>
      </c>
      <c r="J475" s="24" t="n">
        <v>1.111</v>
      </c>
      <c r="K475" s="19" t="n">
        <v>0</v>
      </c>
      <c r="L475" s="13" t="str">
        <f aca="false">IF(D475&gt;=Inputs!$C$14,"Near-prime","Non-prime")</f>
        <v>Non-prime</v>
      </c>
      <c r="M475" s="19" t="n">
        <f aca="false">IF(K475&lt;=Inputs!$C$19,1,0)</f>
        <v>1</v>
      </c>
      <c r="N475" s="19" t="n">
        <f aca="false">IF(F475&lt;=Inputs!$C$20,1,0)</f>
        <v>1</v>
      </c>
      <c r="O475" s="19" t="n">
        <f aca="false">IF(J475&lt;=Inputs!$C$21,1,0)</f>
        <v>1</v>
      </c>
      <c r="P475" s="19" t="n">
        <f aca="false">IF(D475&gt;=Inputs!$C$22,1,0)</f>
        <v>1</v>
      </c>
      <c r="Q475" s="19" t="n">
        <f aca="false">IF(I475&lt;=Inputs!$C$23,1,0)</f>
        <v>1</v>
      </c>
      <c r="R475" s="19" t="n">
        <f aca="false">M475*N475*O475*P475*Q475</f>
        <v>1</v>
      </c>
      <c r="S475" s="14" t="n">
        <f aca="false">I475*R475</f>
        <v>29607.72</v>
      </c>
      <c r="T475" s="19" t="n">
        <f aca="false">IF(F475&gt;72,1,0)</f>
        <v>1</v>
      </c>
      <c r="U475" s="19" t="n">
        <f aca="false">IF(J475&gt;1.25,1,0)</f>
        <v>0</v>
      </c>
    </row>
    <row r="476" customFormat="false" ht="15" hidden="false" customHeight="false" outlineLevel="0" collapsed="false">
      <c r="B476" s="13" t="s">
        <v>696</v>
      </c>
      <c r="C476" s="13" t="s">
        <v>221</v>
      </c>
      <c r="D476" s="19" t="n">
        <v>613</v>
      </c>
      <c r="E476" s="23" t="n">
        <v>0.2062</v>
      </c>
      <c r="F476" s="19" t="n">
        <v>84</v>
      </c>
      <c r="G476" s="19" t="n">
        <v>7</v>
      </c>
      <c r="H476" s="14" t="n">
        <v>26510</v>
      </c>
      <c r="I476" s="14" t="n">
        <v>25455.21</v>
      </c>
      <c r="J476" s="24" t="n">
        <v>1.287</v>
      </c>
      <c r="K476" s="19" t="n">
        <v>0</v>
      </c>
      <c r="L476" s="13" t="str">
        <f aca="false">IF(D476&gt;=Inputs!$C$14,"Near-prime","Non-prime")</f>
        <v>Non-prime</v>
      </c>
      <c r="M476" s="19" t="n">
        <f aca="false">IF(K476&lt;=Inputs!$C$19,1,0)</f>
        <v>1</v>
      </c>
      <c r="N476" s="19" t="n">
        <f aca="false">IF(F476&lt;=Inputs!$C$20,1,0)</f>
        <v>0</v>
      </c>
      <c r="O476" s="19" t="n">
        <f aca="false">IF(J476&lt;=Inputs!$C$21,1,0)</f>
        <v>1</v>
      </c>
      <c r="P476" s="19" t="n">
        <f aca="false">IF(D476&gt;=Inputs!$C$22,1,0)</f>
        <v>1</v>
      </c>
      <c r="Q476" s="19" t="n">
        <f aca="false">IF(I476&lt;=Inputs!$C$23,1,0)</f>
        <v>1</v>
      </c>
      <c r="R476" s="19" t="n">
        <f aca="false">M476*N476*O476*P476*Q476</f>
        <v>0</v>
      </c>
      <c r="S476" s="14" t="n">
        <f aca="false">I476*R476</f>
        <v>0</v>
      </c>
      <c r="T476" s="19" t="n">
        <f aca="false">IF(F476&gt;72,1,0)</f>
        <v>1</v>
      </c>
      <c r="U476" s="19" t="n">
        <f aca="false">IF(J476&gt;1.25,1,0)</f>
        <v>1</v>
      </c>
    </row>
    <row r="477" customFormat="false" ht="15" hidden="false" customHeight="false" outlineLevel="0" collapsed="false">
      <c r="B477" s="13" t="s">
        <v>697</v>
      </c>
      <c r="C477" s="13" t="s">
        <v>219</v>
      </c>
      <c r="D477" s="19" t="n">
        <v>615</v>
      </c>
      <c r="E477" s="23" t="n">
        <v>0.2161</v>
      </c>
      <c r="F477" s="19" t="n">
        <v>66</v>
      </c>
      <c r="G477" s="19" t="n">
        <v>10</v>
      </c>
      <c r="H477" s="14" t="n">
        <v>21440</v>
      </c>
      <c r="I477" s="14" t="n">
        <v>19576.22</v>
      </c>
      <c r="J477" s="24" t="n">
        <v>1.348</v>
      </c>
      <c r="K477" s="19" t="n">
        <v>0</v>
      </c>
      <c r="L477" s="13" t="str">
        <f aca="false">IF(D477&gt;=Inputs!$C$14,"Near-prime","Non-prime")</f>
        <v>Non-prime</v>
      </c>
      <c r="M477" s="19" t="n">
        <f aca="false">IF(K477&lt;=Inputs!$C$19,1,0)</f>
        <v>1</v>
      </c>
      <c r="N477" s="19" t="n">
        <f aca="false">IF(F477&lt;=Inputs!$C$20,1,0)</f>
        <v>1</v>
      </c>
      <c r="O477" s="19" t="n">
        <f aca="false">IF(J477&lt;=Inputs!$C$21,1,0)</f>
        <v>1</v>
      </c>
      <c r="P477" s="19" t="n">
        <f aca="false">IF(D477&gt;=Inputs!$C$22,1,0)</f>
        <v>1</v>
      </c>
      <c r="Q477" s="19" t="n">
        <f aca="false">IF(I477&lt;=Inputs!$C$23,1,0)</f>
        <v>1</v>
      </c>
      <c r="R477" s="19" t="n">
        <f aca="false">M477*N477*O477*P477*Q477</f>
        <v>1</v>
      </c>
      <c r="S477" s="14" t="n">
        <f aca="false">I477*R477</f>
        <v>19576.22</v>
      </c>
      <c r="T477" s="19" t="n">
        <f aca="false">IF(F477&gt;72,1,0)</f>
        <v>0</v>
      </c>
      <c r="U477" s="19" t="n">
        <f aca="false">IF(J477&gt;1.25,1,0)</f>
        <v>1</v>
      </c>
    </row>
    <row r="478" customFormat="false" ht="15" hidden="false" customHeight="false" outlineLevel="0" collapsed="false">
      <c r="B478" s="13" t="s">
        <v>698</v>
      </c>
      <c r="C478" s="13" t="s">
        <v>217</v>
      </c>
      <c r="D478" s="19" t="n">
        <v>620</v>
      </c>
      <c r="E478" s="23" t="n">
        <v>0.215</v>
      </c>
      <c r="F478" s="19" t="n">
        <v>72</v>
      </c>
      <c r="G478" s="19" t="n">
        <v>6</v>
      </c>
      <c r="H478" s="14" t="n">
        <v>29710</v>
      </c>
      <c r="I478" s="14" t="n">
        <v>28421.06</v>
      </c>
      <c r="J478" s="24" t="n">
        <v>1.166</v>
      </c>
      <c r="K478" s="19" t="n">
        <v>0</v>
      </c>
      <c r="L478" s="13" t="str">
        <f aca="false">IF(D478&gt;=Inputs!$C$14,"Near-prime","Non-prime")</f>
        <v>Near-prime</v>
      </c>
      <c r="M478" s="19" t="n">
        <f aca="false">IF(K478&lt;=Inputs!$C$19,1,0)</f>
        <v>1</v>
      </c>
      <c r="N478" s="19" t="n">
        <f aca="false">IF(F478&lt;=Inputs!$C$20,1,0)</f>
        <v>1</v>
      </c>
      <c r="O478" s="19" t="n">
        <f aca="false">IF(J478&lt;=Inputs!$C$21,1,0)</f>
        <v>1</v>
      </c>
      <c r="P478" s="19" t="n">
        <f aca="false">IF(D478&gt;=Inputs!$C$22,1,0)</f>
        <v>1</v>
      </c>
      <c r="Q478" s="19" t="n">
        <f aca="false">IF(I478&lt;=Inputs!$C$23,1,0)</f>
        <v>1</v>
      </c>
      <c r="R478" s="19" t="n">
        <f aca="false">M478*N478*O478*P478*Q478</f>
        <v>1</v>
      </c>
      <c r="S478" s="14" t="n">
        <f aca="false">I478*R478</f>
        <v>28421.06</v>
      </c>
      <c r="T478" s="19" t="n">
        <f aca="false">IF(F478&gt;72,1,0)</f>
        <v>0</v>
      </c>
      <c r="U478" s="19" t="n">
        <f aca="false">IF(J478&gt;1.25,1,0)</f>
        <v>0</v>
      </c>
    </row>
    <row r="479" customFormat="false" ht="15" hidden="false" customHeight="false" outlineLevel="0" collapsed="false">
      <c r="B479" s="13" t="s">
        <v>699</v>
      </c>
      <c r="C479" s="13" t="s">
        <v>257</v>
      </c>
      <c r="D479" s="19" t="n">
        <v>680</v>
      </c>
      <c r="E479" s="23" t="n">
        <v>0.1871</v>
      </c>
      <c r="F479" s="19" t="n">
        <v>48</v>
      </c>
      <c r="G479" s="19" t="n">
        <v>9</v>
      </c>
      <c r="H479" s="14" t="n">
        <v>21310</v>
      </c>
      <c r="I479" s="14" t="n">
        <v>18419.46</v>
      </c>
      <c r="J479" s="24" t="n">
        <v>0.849</v>
      </c>
      <c r="K479" s="19" t="n">
        <v>0</v>
      </c>
      <c r="L479" s="13" t="str">
        <f aca="false">IF(D479&gt;=Inputs!$C$14,"Near-prime","Non-prime")</f>
        <v>Near-prime</v>
      </c>
      <c r="M479" s="19" t="n">
        <f aca="false">IF(K479&lt;=Inputs!$C$19,1,0)</f>
        <v>1</v>
      </c>
      <c r="N479" s="19" t="n">
        <f aca="false">IF(F479&lt;=Inputs!$C$20,1,0)</f>
        <v>1</v>
      </c>
      <c r="O479" s="19" t="n">
        <f aca="false">IF(J479&lt;=Inputs!$C$21,1,0)</f>
        <v>1</v>
      </c>
      <c r="P479" s="19" t="n">
        <f aca="false">IF(D479&gt;=Inputs!$C$22,1,0)</f>
        <v>1</v>
      </c>
      <c r="Q479" s="19" t="n">
        <f aca="false">IF(I479&lt;=Inputs!$C$23,1,0)</f>
        <v>1</v>
      </c>
      <c r="R479" s="19" t="n">
        <f aca="false">M479*N479*O479*P479*Q479</f>
        <v>1</v>
      </c>
      <c r="S479" s="14" t="n">
        <f aca="false">I479*R479</f>
        <v>18419.46</v>
      </c>
      <c r="T479" s="19" t="n">
        <f aca="false">IF(F479&gt;72,1,0)</f>
        <v>0</v>
      </c>
      <c r="U479" s="19" t="n">
        <f aca="false">IF(J479&gt;1.25,1,0)</f>
        <v>0</v>
      </c>
    </row>
    <row r="480" customFormat="false" ht="15" hidden="false" customHeight="false" outlineLevel="0" collapsed="false">
      <c r="B480" s="13" t="s">
        <v>700</v>
      </c>
      <c r="C480" s="13" t="s">
        <v>223</v>
      </c>
      <c r="D480" s="19" t="n">
        <v>627</v>
      </c>
      <c r="E480" s="23" t="n">
        <v>0.1967</v>
      </c>
      <c r="F480" s="19" t="n">
        <v>72</v>
      </c>
      <c r="G480" s="19" t="n">
        <v>5</v>
      </c>
      <c r="H480" s="14" t="n">
        <v>26880</v>
      </c>
      <c r="I480" s="14" t="n">
        <v>25856.43</v>
      </c>
      <c r="J480" s="24" t="n">
        <v>1.099</v>
      </c>
      <c r="K480" s="19" t="n">
        <v>0</v>
      </c>
      <c r="L480" s="13" t="str">
        <f aca="false">IF(D480&gt;=Inputs!$C$14,"Near-prime","Non-prime")</f>
        <v>Near-prime</v>
      </c>
      <c r="M480" s="19" t="n">
        <f aca="false">IF(K480&lt;=Inputs!$C$19,1,0)</f>
        <v>1</v>
      </c>
      <c r="N480" s="19" t="n">
        <f aca="false">IF(F480&lt;=Inputs!$C$20,1,0)</f>
        <v>1</v>
      </c>
      <c r="O480" s="19" t="n">
        <f aca="false">IF(J480&lt;=Inputs!$C$21,1,0)</f>
        <v>1</v>
      </c>
      <c r="P480" s="19" t="n">
        <f aca="false">IF(D480&gt;=Inputs!$C$22,1,0)</f>
        <v>1</v>
      </c>
      <c r="Q480" s="19" t="n">
        <f aca="false">IF(I480&lt;=Inputs!$C$23,1,0)</f>
        <v>1</v>
      </c>
      <c r="R480" s="19" t="n">
        <f aca="false">M480*N480*O480*P480*Q480</f>
        <v>1</v>
      </c>
      <c r="S480" s="14" t="n">
        <f aca="false">I480*R480</f>
        <v>25856.43</v>
      </c>
      <c r="T480" s="19" t="n">
        <f aca="false">IF(F480&gt;72,1,0)</f>
        <v>0</v>
      </c>
      <c r="U480" s="19" t="n">
        <f aca="false">IF(J480&gt;1.25,1,0)</f>
        <v>0</v>
      </c>
    </row>
    <row r="481" customFormat="false" ht="15" hidden="false" customHeight="false" outlineLevel="0" collapsed="false">
      <c r="B481" s="13" t="s">
        <v>701</v>
      </c>
      <c r="C481" s="13" t="s">
        <v>226</v>
      </c>
      <c r="D481" s="19" t="n">
        <v>618</v>
      </c>
      <c r="E481" s="23" t="n">
        <v>0.2222</v>
      </c>
      <c r="F481" s="19" t="n">
        <v>60</v>
      </c>
      <c r="G481" s="19" t="n">
        <v>9</v>
      </c>
      <c r="H481" s="14" t="n">
        <v>19790</v>
      </c>
      <c r="I481" s="14" t="n">
        <v>18019.36</v>
      </c>
      <c r="J481" s="24" t="n">
        <v>1.053</v>
      </c>
      <c r="K481" s="19" t="n">
        <v>0</v>
      </c>
      <c r="L481" s="13" t="str">
        <f aca="false">IF(D481&gt;=Inputs!$C$14,"Near-prime","Non-prime")</f>
        <v>Non-prime</v>
      </c>
      <c r="M481" s="19" t="n">
        <f aca="false">IF(K481&lt;=Inputs!$C$19,1,0)</f>
        <v>1</v>
      </c>
      <c r="N481" s="19" t="n">
        <f aca="false">IF(F481&lt;=Inputs!$C$20,1,0)</f>
        <v>1</v>
      </c>
      <c r="O481" s="19" t="n">
        <f aca="false">IF(J481&lt;=Inputs!$C$21,1,0)</f>
        <v>1</v>
      </c>
      <c r="P481" s="19" t="n">
        <f aca="false">IF(D481&gt;=Inputs!$C$22,1,0)</f>
        <v>1</v>
      </c>
      <c r="Q481" s="19" t="n">
        <f aca="false">IF(I481&lt;=Inputs!$C$23,1,0)</f>
        <v>1</v>
      </c>
      <c r="R481" s="19" t="n">
        <f aca="false">M481*N481*O481*P481*Q481</f>
        <v>1</v>
      </c>
      <c r="S481" s="14" t="n">
        <f aca="false">I481*R481</f>
        <v>18019.36</v>
      </c>
      <c r="T481" s="19" t="n">
        <f aca="false">IF(F481&gt;72,1,0)</f>
        <v>0</v>
      </c>
      <c r="U481" s="19" t="n">
        <f aca="false">IF(J481&gt;1.25,1,0)</f>
        <v>0</v>
      </c>
    </row>
    <row r="482" customFormat="false" ht="15" hidden="false" customHeight="false" outlineLevel="0" collapsed="false">
      <c r="B482" s="13" t="s">
        <v>702</v>
      </c>
      <c r="C482" s="13" t="s">
        <v>226</v>
      </c>
      <c r="D482" s="19" t="n">
        <v>690</v>
      </c>
      <c r="E482" s="23" t="n">
        <v>0.1853</v>
      </c>
      <c r="F482" s="19" t="n">
        <v>66</v>
      </c>
      <c r="G482" s="19" t="n">
        <v>10</v>
      </c>
      <c r="H482" s="14" t="n">
        <v>27050</v>
      </c>
      <c r="I482" s="14" t="n">
        <v>24489.32</v>
      </c>
      <c r="J482" s="24" t="n">
        <v>0.968</v>
      </c>
      <c r="K482" s="19" t="n">
        <v>0</v>
      </c>
      <c r="L482" s="13" t="str">
        <f aca="false">IF(D482&gt;=Inputs!$C$14,"Near-prime","Non-prime")</f>
        <v>Near-prime</v>
      </c>
      <c r="M482" s="19" t="n">
        <f aca="false">IF(K482&lt;=Inputs!$C$19,1,0)</f>
        <v>1</v>
      </c>
      <c r="N482" s="19" t="n">
        <f aca="false">IF(F482&lt;=Inputs!$C$20,1,0)</f>
        <v>1</v>
      </c>
      <c r="O482" s="19" t="n">
        <f aca="false">IF(J482&lt;=Inputs!$C$21,1,0)</f>
        <v>1</v>
      </c>
      <c r="P482" s="19" t="n">
        <f aca="false">IF(D482&gt;=Inputs!$C$22,1,0)</f>
        <v>1</v>
      </c>
      <c r="Q482" s="19" t="n">
        <f aca="false">IF(I482&lt;=Inputs!$C$23,1,0)</f>
        <v>1</v>
      </c>
      <c r="R482" s="19" t="n">
        <f aca="false">M482*N482*O482*P482*Q482</f>
        <v>1</v>
      </c>
      <c r="S482" s="14" t="n">
        <f aca="false">I482*R482</f>
        <v>24489.32</v>
      </c>
      <c r="T482" s="19" t="n">
        <f aca="false">IF(F482&gt;72,1,0)</f>
        <v>0</v>
      </c>
      <c r="U482" s="19" t="n">
        <f aca="false">IF(J482&gt;1.25,1,0)</f>
        <v>0</v>
      </c>
    </row>
    <row r="483" customFormat="false" ht="15" hidden="false" customHeight="false" outlineLevel="0" collapsed="false">
      <c r="B483" s="13" t="s">
        <v>703</v>
      </c>
      <c r="C483" s="13" t="s">
        <v>257</v>
      </c>
      <c r="D483" s="19" t="n">
        <v>683</v>
      </c>
      <c r="E483" s="23" t="n">
        <v>0.2003</v>
      </c>
      <c r="F483" s="19" t="n">
        <v>84</v>
      </c>
      <c r="G483" s="19" t="n">
        <v>5</v>
      </c>
      <c r="H483" s="14" t="n">
        <v>17300</v>
      </c>
      <c r="I483" s="14" t="n">
        <v>16805.18</v>
      </c>
      <c r="J483" s="24" t="n">
        <v>1.103</v>
      </c>
      <c r="K483" s="19" t="n">
        <v>0</v>
      </c>
      <c r="L483" s="13" t="str">
        <f aca="false">IF(D483&gt;=Inputs!$C$14,"Near-prime","Non-prime")</f>
        <v>Near-prime</v>
      </c>
      <c r="M483" s="19" t="n">
        <f aca="false">IF(K483&lt;=Inputs!$C$19,1,0)</f>
        <v>1</v>
      </c>
      <c r="N483" s="19" t="n">
        <f aca="false">IF(F483&lt;=Inputs!$C$20,1,0)</f>
        <v>0</v>
      </c>
      <c r="O483" s="19" t="n">
        <f aca="false">IF(J483&lt;=Inputs!$C$21,1,0)</f>
        <v>1</v>
      </c>
      <c r="P483" s="19" t="n">
        <f aca="false">IF(D483&gt;=Inputs!$C$22,1,0)</f>
        <v>1</v>
      </c>
      <c r="Q483" s="19" t="n">
        <f aca="false">IF(I483&lt;=Inputs!$C$23,1,0)</f>
        <v>1</v>
      </c>
      <c r="R483" s="19" t="n">
        <f aca="false">M483*N483*O483*P483*Q483</f>
        <v>0</v>
      </c>
      <c r="S483" s="14" t="n">
        <f aca="false">I483*R483</f>
        <v>0</v>
      </c>
      <c r="T483" s="19" t="n">
        <f aca="false">IF(F483&gt;72,1,0)</f>
        <v>1</v>
      </c>
      <c r="U483" s="19" t="n">
        <f aca="false">IF(J483&gt;1.25,1,0)</f>
        <v>0</v>
      </c>
    </row>
    <row r="484" customFormat="false" ht="15" hidden="false" customHeight="false" outlineLevel="0" collapsed="false">
      <c r="B484" s="13" t="s">
        <v>704</v>
      </c>
      <c r="C484" s="13" t="s">
        <v>223</v>
      </c>
      <c r="D484" s="19" t="n">
        <v>639</v>
      </c>
      <c r="E484" s="23" t="n">
        <v>0.2089</v>
      </c>
      <c r="F484" s="19" t="n">
        <v>60</v>
      </c>
      <c r="G484" s="19" t="n">
        <v>7</v>
      </c>
      <c r="H484" s="14" t="n">
        <v>13700</v>
      </c>
      <c r="I484" s="14" t="n">
        <v>12731.56</v>
      </c>
      <c r="J484" s="24" t="n">
        <v>0.945</v>
      </c>
      <c r="K484" s="19" t="n">
        <v>0</v>
      </c>
      <c r="L484" s="13" t="str">
        <f aca="false">IF(D484&gt;=Inputs!$C$14,"Near-prime","Non-prime")</f>
        <v>Near-prime</v>
      </c>
      <c r="M484" s="19" t="n">
        <f aca="false">IF(K484&lt;=Inputs!$C$19,1,0)</f>
        <v>1</v>
      </c>
      <c r="N484" s="19" t="n">
        <f aca="false">IF(F484&lt;=Inputs!$C$20,1,0)</f>
        <v>1</v>
      </c>
      <c r="O484" s="19" t="n">
        <f aca="false">IF(J484&lt;=Inputs!$C$21,1,0)</f>
        <v>1</v>
      </c>
      <c r="P484" s="19" t="n">
        <f aca="false">IF(D484&gt;=Inputs!$C$22,1,0)</f>
        <v>1</v>
      </c>
      <c r="Q484" s="19" t="n">
        <f aca="false">IF(I484&lt;=Inputs!$C$23,1,0)</f>
        <v>1</v>
      </c>
      <c r="R484" s="19" t="n">
        <f aca="false">M484*N484*O484*P484*Q484</f>
        <v>1</v>
      </c>
      <c r="S484" s="14" t="n">
        <f aca="false">I484*R484</f>
        <v>12731.56</v>
      </c>
      <c r="T484" s="19" t="n">
        <f aca="false">IF(F484&gt;72,1,0)</f>
        <v>0</v>
      </c>
      <c r="U484" s="19" t="n">
        <f aca="false">IF(J484&gt;1.25,1,0)</f>
        <v>0</v>
      </c>
    </row>
    <row r="485" customFormat="false" ht="15" hidden="false" customHeight="false" outlineLevel="0" collapsed="false">
      <c r="B485" s="13" t="s">
        <v>705</v>
      </c>
      <c r="C485" s="13" t="s">
        <v>257</v>
      </c>
      <c r="D485" s="19" t="n">
        <v>775</v>
      </c>
      <c r="E485" s="23" t="n">
        <v>0.1746</v>
      </c>
      <c r="F485" s="19" t="n">
        <v>72</v>
      </c>
      <c r="G485" s="19" t="n">
        <v>5</v>
      </c>
      <c r="H485" s="14" t="n">
        <v>28580</v>
      </c>
      <c r="I485" s="14" t="n">
        <v>27409.87</v>
      </c>
      <c r="J485" s="24" t="n">
        <v>1.029</v>
      </c>
      <c r="K485" s="19" t="n">
        <v>0</v>
      </c>
      <c r="L485" s="13" t="str">
        <f aca="false">IF(D485&gt;=Inputs!$C$14,"Near-prime","Non-prime")</f>
        <v>Near-prime</v>
      </c>
      <c r="M485" s="19" t="n">
        <f aca="false">IF(K485&lt;=Inputs!$C$19,1,0)</f>
        <v>1</v>
      </c>
      <c r="N485" s="19" t="n">
        <f aca="false">IF(F485&lt;=Inputs!$C$20,1,0)</f>
        <v>1</v>
      </c>
      <c r="O485" s="19" t="n">
        <f aca="false">IF(J485&lt;=Inputs!$C$21,1,0)</f>
        <v>1</v>
      </c>
      <c r="P485" s="19" t="n">
        <f aca="false">IF(D485&gt;=Inputs!$C$22,1,0)</f>
        <v>1</v>
      </c>
      <c r="Q485" s="19" t="n">
        <f aca="false">IF(I485&lt;=Inputs!$C$23,1,0)</f>
        <v>1</v>
      </c>
      <c r="R485" s="19" t="n">
        <f aca="false">M485*N485*O485*P485*Q485</f>
        <v>1</v>
      </c>
      <c r="S485" s="14" t="n">
        <f aca="false">I485*R485</f>
        <v>27409.87</v>
      </c>
      <c r="T485" s="19" t="n">
        <f aca="false">IF(F485&gt;72,1,0)</f>
        <v>0</v>
      </c>
      <c r="U485" s="19" t="n">
        <f aca="false">IF(J485&gt;1.25,1,0)</f>
        <v>0</v>
      </c>
    </row>
    <row r="486" customFormat="false" ht="15" hidden="false" customHeight="false" outlineLevel="0" collapsed="false">
      <c r="B486" s="13" t="s">
        <v>706</v>
      </c>
      <c r="C486" s="13" t="s">
        <v>217</v>
      </c>
      <c r="D486" s="19" t="n">
        <v>593</v>
      </c>
      <c r="E486" s="23" t="n">
        <v>0.2153</v>
      </c>
      <c r="F486" s="19" t="n">
        <v>48</v>
      </c>
      <c r="G486" s="19" t="n">
        <v>9</v>
      </c>
      <c r="H486" s="14" t="n">
        <v>38980</v>
      </c>
      <c r="I486" s="14" t="n">
        <v>33961.14</v>
      </c>
      <c r="J486" s="24" t="n">
        <v>1.217</v>
      </c>
      <c r="K486" s="19" t="n">
        <v>100</v>
      </c>
      <c r="L486" s="13" t="str">
        <f aca="false">IF(D486&gt;=Inputs!$C$14,"Near-prime","Non-prime")</f>
        <v>Non-prime</v>
      </c>
      <c r="M486" s="19" t="n">
        <f aca="false">IF(K486&lt;=Inputs!$C$19,1,0)</f>
        <v>0</v>
      </c>
      <c r="N486" s="19" t="n">
        <f aca="false">IF(F486&lt;=Inputs!$C$20,1,0)</f>
        <v>1</v>
      </c>
      <c r="O486" s="19" t="n">
        <f aca="false">IF(J486&lt;=Inputs!$C$21,1,0)</f>
        <v>1</v>
      </c>
      <c r="P486" s="19" t="n">
        <f aca="false">IF(D486&gt;=Inputs!$C$22,1,0)</f>
        <v>1</v>
      </c>
      <c r="Q486" s="19" t="n">
        <f aca="false">IF(I486&lt;=Inputs!$C$23,1,0)</f>
        <v>1</v>
      </c>
      <c r="R486" s="19" t="n">
        <f aca="false">M486*N486*O486*P486*Q486</f>
        <v>0</v>
      </c>
      <c r="S486" s="14" t="n">
        <f aca="false">I486*R486</f>
        <v>0</v>
      </c>
      <c r="T486" s="19" t="n">
        <f aca="false">IF(F486&gt;72,1,0)</f>
        <v>0</v>
      </c>
      <c r="U486" s="19" t="n">
        <f aca="false">IF(J486&gt;1.25,1,0)</f>
        <v>0</v>
      </c>
    </row>
    <row r="487" customFormat="false" ht="15" hidden="false" customHeight="false" outlineLevel="0" collapsed="false">
      <c r="B487" s="13" t="s">
        <v>707</v>
      </c>
      <c r="C487" s="13" t="s">
        <v>223</v>
      </c>
      <c r="D487" s="19" t="n">
        <v>731</v>
      </c>
      <c r="E487" s="23" t="n">
        <v>0.1873</v>
      </c>
      <c r="F487" s="19" t="n">
        <v>72</v>
      </c>
      <c r="G487" s="19" t="n">
        <v>1</v>
      </c>
      <c r="H487" s="14" t="n">
        <v>20420</v>
      </c>
      <c r="I487" s="14" t="n">
        <v>20264.52</v>
      </c>
      <c r="J487" s="24" t="n">
        <v>0.882</v>
      </c>
      <c r="K487" s="19" t="n">
        <v>45</v>
      </c>
      <c r="L487" s="13" t="str">
        <f aca="false">IF(D487&gt;=Inputs!$C$14,"Near-prime","Non-prime")</f>
        <v>Near-prime</v>
      </c>
      <c r="M487" s="19" t="n">
        <f aca="false">IF(K487&lt;=Inputs!$C$19,1,0)</f>
        <v>1</v>
      </c>
      <c r="N487" s="19" t="n">
        <f aca="false">IF(F487&lt;=Inputs!$C$20,1,0)</f>
        <v>1</v>
      </c>
      <c r="O487" s="19" t="n">
        <f aca="false">IF(J487&lt;=Inputs!$C$21,1,0)</f>
        <v>1</v>
      </c>
      <c r="P487" s="19" t="n">
        <f aca="false">IF(D487&gt;=Inputs!$C$22,1,0)</f>
        <v>1</v>
      </c>
      <c r="Q487" s="19" t="n">
        <f aca="false">IF(I487&lt;=Inputs!$C$23,1,0)</f>
        <v>1</v>
      </c>
      <c r="R487" s="19" t="n">
        <f aca="false">M487*N487*O487*P487*Q487</f>
        <v>1</v>
      </c>
      <c r="S487" s="14" t="n">
        <f aca="false">I487*R487</f>
        <v>20264.52</v>
      </c>
      <c r="T487" s="19" t="n">
        <f aca="false">IF(F487&gt;72,1,0)</f>
        <v>0</v>
      </c>
      <c r="U487" s="19" t="n">
        <f aca="false">IF(J487&gt;1.25,1,0)</f>
        <v>0</v>
      </c>
    </row>
    <row r="488" customFormat="false" ht="15" hidden="false" customHeight="false" outlineLevel="0" collapsed="false">
      <c r="B488" s="13" t="s">
        <v>708</v>
      </c>
      <c r="C488" s="13" t="s">
        <v>217</v>
      </c>
      <c r="D488" s="19" t="n">
        <v>661</v>
      </c>
      <c r="E488" s="23" t="n">
        <v>0.2024</v>
      </c>
      <c r="F488" s="19" t="n">
        <v>60</v>
      </c>
      <c r="G488" s="19" t="n">
        <v>8</v>
      </c>
      <c r="H488" s="14" t="n">
        <v>9880</v>
      </c>
      <c r="I488" s="14" t="n">
        <v>9061.38</v>
      </c>
      <c r="J488" s="24" t="n">
        <v>1.209</v>
      </c>
      <c r="K488" s="19" t="n">
        <v>0</v>
      </c>
      <c r="L488" s="13" t="str">
        <f aca="false">IF(D488&gt;=Inputs!$C$14,"Near-prime","Non-prime")</f>
        <v>Near-prime</v>
      </c>
      <c r="M488" s="19" t="n">
        <f aca="false">IF(K488&lt;=Inputs!$C$19,1,0)</f>
        <v>1</v>
      </c>
      <c r="N488" s="19" t="n">
        <f aca="false">IF(F488&lt;=Inputs!$C$20,1,0)</f>
        <v>1</v>
      </c>
      <c r="O488" s="19" t="n">
        <f aca="false">IF(J488&lt;=Inputs!$C$21,1,0)</f>
        <v>1</v>
      </c>
      <c r="P488" s="19" t="n">
        <f aca="false">IF(D488&gt;=Inputs!$C$22,1,0)</f>
        <v>1</v>
      </c>
      <c r="Q488" s="19" t="n">
        <f aca="false">IF(I488&lt;=Inputs!$C$23,1,0)</f>
        <v>1</v>
      </c>
      <c r="R488" s="19" t="n">
        <f aca="false">M488*N488*O488*P488*Q488</f>
        <v>1</v>
      </c>
      <c r="S488" s="14" t="n">
        <f aca="false">I488*R488</f>
        <v>9061.38</v>
      </c>
      <c r="T488" s="19" t="n">
        <f aca="false">IF(F488&gt;72,1,0)</f>
        <v>0</v>
      </c>
      <c r="U488" s="19" t="n">
        <f aca="false">IF(J488&gt;1.25,1,0)</f>
        <v>0</v>
      </c>
    </row>
    <row r="489" customFormat="false" ht="15" hidden="false" customHeight="false" outlineLevel="0" collapsed="false">
      <c r="B489" s="13" t="s">
        <v>709</v>
      </c>
      <c r="C489" s="13" t="s">
        <v>221</v>
      </c>
      <c r="D489" s="19" t="n">
        <v>699</v>
      </c>
      <c r="E489" s="23" t="n">
        <v>0.1809</v>
      </c>
      <c r="F489" s="19" t="n">
        <v>48</v>
      </c>
      <c r="G489" s="19" t="n">
        <v>9</v>
      </c>
      <c r="H489" s="14" t="n">
        <v>35210</v>
      </c>
      <c r="I489" s="14" t="n">
        <v>30379.55</v>
      </c>
      <c r="J489" s="24" t="n">
        <v>0.993</v>
      </c>
      <c r="K489" s="19" t="n">
        <v>0</v>
      </c>
      <c r="L489" s="13" t="str">
        <f aca="false">IF(D489&gt;=Inputs!$C$14,"Near-prime","Non-prime")</f>
        <v>Near-prime</v>
      </c>
      <c r="M489" s="19" t="n">
        <f aca="false">IF(K489&lt;=Inputs!$C$19,1,0)</f>
        <v>1</v>
      </c>
      <c r="N489" s="19" t="n">
        <f aca="false">IF(F489&lt;=Inputs!$C$20,1,0)</f>
        <v>1</v>
      </c>
      <c r="O489" s="19" t="n">
        <f aca="false">IF(J489&lt;=Inputs!$C$21,1,0)</f>
        <v>1</v>
      </c>
      <c r="P489" s="19" t="n">
        <f aca="false">IF(D489&gt;=Inputs!$C$22,1,0)</f>
        <v>1</v>
      </c>
      <c r="Q489" s="19" t="n">
        <f aca="false">IF(I489&lt;=Inputs!$C$23,1,0)</f>
        <v>1</v>
      </c>
      <c r="R489" s="19" t="n">
        <f aca="false">M489*N489*O489*P489*Q489</f>
        <v>1</v>
      </c>
      <c r="S489" s="14" t="n">
        <f aca="false">I489*R489</f>
        <v>30379.55</v>
      </c>
      <c r="T489" s="19" t="n">
        <f aca="false">IF(F489&gt;72,1,0)</f>
        <v>0</v>
      </c>
      <c r="U489" s="19" t="n">
        <f aca="false">IF(J489&gt;1.25,1,0)</f>
        <v>0</v>
      </c>
    </row>
    <row r="490" customFormat="false" ht="15" hidden="false" customHeight="false" outlineLevel="0" collapsed="false">
      <c r="B490" s="13" t="s">
        <v>710</v>
      </c>
      <c r="C490" s="13" t="s">
        <v>217</v>
      </c>
      <c r="D490" s="19" t="n">
        <v>632</v>
      </c>
      <c r="E490" s="23" t="n">
        <v>0.2073</v>
      </c>
      <c r="F490" s="19" t="n">
        <v>60</v>
      </c>
      <c r="G490" s="19" t="n">
        <v>3</v>
      </c>
      <c r="H490" s="14" t="n">
        <v>25080</v>
      </c>
      <c r="I490" s="14" t="n">
        <v>24343.1</v>
      </c>
      <c r="J490" s="24" t="n">
        <v>1.115</v>
      </c>
      <c r="K490" s="19" t="n">
        <v>0</v>
      </c>
      <c r="L490" s="13" t="str">
        <f aca="false">IF(D490&gt;=Inputs!$C$14,"Near-prime","Non-prime")</f>
        <v>Near-prime</v>
      </c>
      <c r="M490" s="19" t="n">
        <f aca="false">IF(K490&lt;=Inputs!$C$19,1,0)</f>
        <v>1</v>
      </c>
      <c r="N490" s="19" t="n">
        <f aca="false">IF(F490&lt;=Inputs!$C$20,1,0)</f>
        <v>1</v>
      </c>
      <c r="O490" s="19" t="n">
        <f aca="false">IF(J490&lt;=Inputs!$C$21,1,0)</f>
        <v>1</v>
      </c>
      <c r="P490" s="19" t="n">
        <f aca="false">IF(D490&gt;=Inputs!$C$22,1,0)</f>
        <v>1</v>
      </c>
      <c r="Q490" s="19" t="n">
        <f aca="false">IF(I490&lt;=Inputs!$C$23,1,0)</f>
        <v>1</v>
      </c>
      <c r="R490" s="19" t="n">
        <f aca="false">M490*N490*O490*P490*Q490</f>
        <v>1</v>
      </c>
      <c r="S490" s="14" t="n">
        <f aca="false">I490*R490</f>
        <v>24343.1</v>
      </c>
      <c r="T490" s="19" t="n">
        <f aca="false">IF(F490&gt;72,1,0)</f>
        <v>0</v>
      </c>
      <c r="U490" s="19" t="n">
        <f aca="false">IF(J490&gt;1.25,1,0)</f>
        <v>0</v>
      </c>
    </row>
    <row r="491" customFormat="false" ht="15" hidden="false" customHeight="false" outlineLevel="0" collapsed="false">
      <c r="B491" s="13" t="s">
        <v>711</v>
      </c>
      <c r="C491" s="13" t="s">
        <v>233</v>
      </c>
      <c r="D491" s="19" t="n">
        <v>708</v>
      </c>
      <c r="E491" s="23" t="n">
        <v>0.2009</v>
      </c>
      <c r="F491" s="19" t="n">
        <v>72</v>
      </c>
      <c r="G491" s="19" t="n">
        <v>4</v>
      </c>
      <c r="H491" s="14" t="n">
        <v>53560</v>
      </c>
      <c r="I491" s="14" t="n">
        <v>51964.38</v>
      </c>
      <c r="J491" s="24" t="n">
        <v>1.362</v>
      </c>
      <c r="K491" s="19" t="n">
        <v>0</v>
      </c>
      <c r="L491" s="13" t="str">
        <f aca="false">IF(D491&gt;=Inputs!$C$14,"Near-prime","Non-prime")</f>
        <v>Near-prime</v>
      </c>
      <c r="M491" s="19" t="n">
        <f aca="false">IF(K491&lt;=Inputs!$C$19,1,0)</f>
        <v>1</v>
      </c>
      <c r="N491" s="19" t="n">
        <f aca="false">IF(F491&lt;=Inputs!$C$20,1,0)</f>
        <v>1</v>
      </c>
      <c r="O491" s="19" t="n">
        <f aca="false">IF(J491&lt;=Inputs!$C$21,1,0)</f>
        <v>1</v>
      </c>
      <c r="P491" s="19" t="n">
        <f aca="false">IF(D491&gt;=Inputs!$C$22,1,0)</f>
        <v>1</v>
      </c>
      <c r="Q491" s="19" t="n">
        <f aca="false">IF(I491&lt;=Inputs!$C$23,1,0)</f>
        <v>0</v>
      </c>
      <c r="R491" s="19" t="n">
        <f aca="false">M491*N491*O491*P491*Q491</f>
        <v>0</v>
      </c>
      <c r="S491" s="14" t="n">
        <f aca="false">I491*R491</f>
        <v>0</v>
      </c>
      <c r="T491" s="19" t="n">
        <f aca="false">IF(F491&gt;72,1,0)</f>
        <v>0</v>
      </c>
      <c r="U491" s="19" t="n">
        <f aca="false">IF(J491&gt;1.25,1,0)</f>
        <v>1</v>
      </c>
    </row>
    <row r="492" customFormat="false" ht="15" hidden="false" customHeight="false" outlineLevel="0" collapsed="false">
      <c r="B492" s="13" t="s">
        <v>712</v>
      </c>
      <c r="C492" s="13" t="s">
        <v>217</v>
      </c>
      <c r="D492" s="19" t="n">
        <v>596</v>
      </c>
      <c r="E492" s="23" t="n">
        <v>0.2371</v>
      </c>
      <c r="F492" s="19" t="n">
        <v>60</v>
      </c>
      <c r="G492" s="19" t="n">
        <v>10</v>
      </c>
      <c r="H492" s="14" t="n">
        <v>39630</v>
      </c>
      <c r="I492" s="14" t="n">
        <v>35797.56</v>
      </c>
      <c r="J492" s="24" t="n">
        <v>0.972</v>
      </c>
      <c r="K492" s="19" t="n">
        <v>0</v>
      </c>
      <c r="L492" s="13" t="str">
        <f aca="false">IF(D492&gt;=Inputs!$C$14,"Near-prime","Non-prime")</f>
        <v>Non-prime</v>
      </c>
      <c r="M492" s="19" t="n">
        <f aca="false">IF(K492&lt;=Inputs!$C$19,1,0)</f>
        <v>1</v>
      </c>
      <c r="N492" s="19" t="n">
        <f aca="false">IF(F492&lt;=Inputs!$C$20,1,0)</f>
        <v>1</v>
      </c>
      <c r="O492" s="19" t="n">
        <f aca="false">IF(J492&lt;=Inputs!$C$21,1,0)</f>
        <v>1</v>
      </c>
      <c r="P492" s="19" t="n">
        <f aca="false">IF(D492&gt;=Inputs!$C$22,1,0)</f>
        <v>1</v>
      </c>
      <c r="Q492" s="19" t="n">
        <f aca="false">IF(I492&lt;=Inputs!$C$23,1,0)</f>
        <v>1</v>
      </c>
      <c r="R492" s="19" t="n">
        <f aca="false">M492*N492*O492*P492*Q492</f>
        <v>1</v>
      </c>
      <c r="S492" s="14" t="n">
        <f aca="false">I492*R492</f>
        <v>35797.56</v>
      </c>
      <c r="T492" s="19" t="n">
        <f aca="false">IF(F492&gt;72,1,0)</f>
        <v>0</v>
      </c>
      <c r="U492" s="19" t="n">
        <f aca="false">IF(J492&gt;1.25,1,0)</f>
        <v>0</v>
      </c>
    </row>
    <row r="493" customFormat="false" ht="15" hidden="false" customHeight="false" outlineLevel="0" collapsed="false">
      <c r="B493" s="13" t="s">
        <v>713</v>
      </c>
      <c r="C493" s="13" t="s">
        <v>221</v>
      </c>
      <c r="D493" s="19" t="n">
        <v>689</v>
      </c>
      <c r="E493" s="23" t="n">
        <v>0.2145</v>
      </c>
      <c r="F493" s="19" t="n">
        <v>60</v>
      </c>
      <c r="G493" s="19" t="n">
        <v>7</v>
      </c>
      <c r="H493" s="14" t="n">
        <v>19890</v>
      </c>
      <c r="I493" s="14" t="n">
        <v>18504.21</v>
      </c>
      <c r="J493" s="24" t="n">
        <v>1.043</v>
      </c>
      <c r="K493" s="19" t="n">
        <v>0</v>
      </c>
      <c r="L493" s="13" t="str">
        <f aca="false">IF(D493&gt;=Inputs!$C$14,"Near-prime","Non-prime")</f>
        <v>Near-prime</v>
      </c>
      <c r="M493" s="19" t="n">
        <f aca="false">IF(K493&lt;=Inputs!$C$19,1,0)</f>
        <v>1</v>
      </c>
      <c r="N493" s="19" t="n">
        <f aca="false">IF(F493&lt;=Inputs!$C$20,1,0)</f>
        <v>1</v>
      </c>
      <c r="O493" s="19" t="n">
        <f aca="false">IF(J493&lt;=Inputs!$C$21,1,0)</f>
        <v>1</v>
      </c>
      <c r="P493" s="19" t="n">
        <f aca="false">IF(D493&gt;=Inputs!$C$22,1,0)</f>
        <v>1</v>
      </c>
      <c r="Q493" s="19" t="n">
        <f aca="false">IF(I493&lt;=Inputs!$C$23,1,0)</f>
        <v>1</v>
      </c>
      <c r="R493" s="19" t="n">
        <f aca="false">M493*N493*O493*P493*Q493</f>
        <v>1</v>
      </c>
      <c r="S493" s="14" t="n">
        <f aca="false">I493*R493</f>
        <v>18504.21</v>
      </c>
      <c r="T493" s="19" t="n">
        <f aca="false">IF(F493&gt;72,1,0)</f>
        <v>0</v>
      </c>
      <c r="U493" s="19" t="n">
        <f aca="false">IF(J493&gt;1.25,1,0)</f>
        <v>0</v>
      </c>
    </row>
    <row r="494" customFormat="false" ht="15" hidden="false" customHeight="false" outlineLevel="0" collapsed="false">
      <c r="B494" s="13" t="s">
        <v>714</v>
      </c>
      <c r="C494" s="13" t="s">
        <v>257</v>
      </c>
      <c r="D494" s="19" t="n">
        <v>661</v>
      </c>
      <c r="E494" s="23" t="n">
        <v>0.1742</v>
      </c>
      <c r="F494" s="19" t="n">
        <v>72</v>
      </c>
      <c r="G494" s="19" t="n">
        <v>7</v>
      </c>
      <c r="H494" s="14" t="n">
        <v>23570</v>
      </c>
      <c r="I494" s="14" t="n">
        <v>22197.31</v>
      </c>
      <c r="J494" s="24" t="n">
        <v>1.216</v>
      </c>
      <c r="K494" s="19" t="n">
        <v>0</v>
      </c>
      <c r="L494" s="13" t="str">
        <f aca="false">IF(D494&gt;=Inputs!$C$14,"Near-prime","Non-prime")</f>
        <v>Near-prime</v>
      </c>
      <c r="M494" s="19" t="n">
        <f aca="false">IF(K494&lt;=Inputs!$C$19,1,0)</f>
        <v>1</v>
      </c>
      <c r="N494" s="19" t="n">
        <f aca="false">IF(F494&lt;=Inputs!$C$20,1,0)</f>
        <v>1</v>
      </c>
      <c r="O494" s="19" t="n">
        <f aca="false">IF(J494&lt;=Inputs!$C$21,1,0)</f>
        <v>1</v>
      </c>
      <c r="P494" s="19" t="n">
        <f aca="false">IF(D494&gt;=Inputs!$C$22,1,0)</f>
        <v>1</v>
      </c>
      <c r="Q494" s="19" t="n">
        <f aca="false">IF(I494&lt;=Inputs!$C$23,1,0)</f>
        <v>1</v>
      </c>
      <c r="R494" s="19" t="n">
        <f aca="false">M494*N494*O494*P494*Q494</f>
        <v>1</v>
      </c>
      <c r="S494" s="14" t="n">
        <f aca="false">I494*R494</f>
        <v>22197.31</v>
      </c>
      <c r="T494" s="19" t="n">
        <f aca="false">IF(F494&gt;72,1,0)</f>
        <v>0</v>
      </c>
      <c r="U494" s="19" t="n">
        <f aca="false">IF(J494&gt;1.25,1,0)</f>
        <v>0</v>
      </c>
    </row>
    <row r="495" customFormat="false" ht="15" hidden="false" customHeight="false" outlineLevel="0" collapsed="false">
      <c r="B495" s="13" t="s">
        <v>715</v>
      </c>
      <c r="C495" s="13" t="s">
        <v>217</v>
      </c>
      <c r="D495" s="19" t="n">
        <v>694</v>
      </c>
      <c r="E495" s="23" t="n">
        <v>0.2082</v>
      </c>
      <c r="F495" s="19" t="n">
        <v>72</v>
      </c>
      <c r="G495" s="19" t="n">
        <v>3</v>
      </c>
      <c r="H495" s="14" t="n">
        <v>28410</v>
      </c>
      <c r="I495" s="14" t="n">
        <v>27796</v>
      </c>
      <c r="J495" s="24" t="n">
        <v>1.167</v>
      </c>
      <c r="K495" s="19" t="n">
        <v>0</v>
      </c>
      <c r="L495" s="13" t="str">
        <f aca="false">IF(D495&gt;=Inputs!$C$14,"Near-prime","Non-prime")</f>
        <v>Near-prime</v>
      </c>
      <c r="M495" s="19" t="n">
        <f aca="false">IF(K495&lt;=Inputs!$C$19,1,0)</f>
        <v>1</v>
      </c>
      <c r="N495" s="19" t="n">
        <f aca="false">IF(F495&lt;=Inputs!$C$20,1,0)</f>
        <v>1</v>
      </c>
      <c r="O495" s="19" t="n">
        <f aca="false">IF(J495&lt;=Inputs!$C$21,1,0)</f>
        <v>1</v>
      </c>
      <c r="P495" s="19" t="n">
        <f aca="false">IF(D495&gt;=Inputs!$C$22,1,0)</f>
        <v>1</v>
      </c>
      <c r="Q495" s="19" t="n">
        <f aca="false">IF(I495&lt;=Inputs!$C$23,1,0)</f>
        <v>1</v>
      </c>
      <c r="R495" s="19" t="n">
        <f aca="false">M495*N495*O495*P495*Q495</f>
        <v>1</v>
      </c>
      <c r="S495" s="14" t="n">
        <f aca="false">I495*R495</f>
        <v>27796</v>
      </c>
      <c r="T495" s="19" t="n">
        <f aca="false">IF(F495&gt;72,1,0)</f>
        <v>0</v>
      </c>
      <c r="U495" s="19" t="n">
        <f aca="false">IF(J495&gt;1.25,1,0)</f>
        <v>0</v>
      </c>
    </row>
    <row r="496" customFormat="false" ht="15" hidden="false" customHeight="false" outlineLevel="0" collapsed="false">
      <c r="B496" s="13" t="s">
        <v>716</v>
      </c>
      <c r="C496" s="13" t="s">
        <v>252</v>
      </c>
      <c r="D496" s="19" t="n">
        <v>622</v>
      </c>
      <c r="E496" s="23" t="n">
        <v>0.2121</v>
      </c>
      <c r="F496" s="19" t="n">
        <v>60</v>
      </c>
      <c r="G496" s="19" t="n">
        <v>1</v>
      </c>
      <c r="H496" s="14" t="n">
        <v>19350</v>
      </c>
      <c r="I496" s="14" t="n">
        <v>19166.24</v>
      </c>
      <c r="J496" s="24" t="n">
        <v>1.465</v>
      </c>
      <c r="K496" s="19" t="n">
        <v>0</v>
      </c>
      <c r="L496" s="13" t="str">
        <f aca="false">IF(D496&gt;=Inputs!$C$14,"Near-prime","Non-prime")</f>
        <v>Near-prime</v>
      </c>
      <c r="M496" s="19" t="n">
        <f aca="false">IF(K496&lt;=Inputs!$C$19,1,0)</f>
        <v>1</v>
      </c>
      <c r="N496" s="19" t="n">
        <f aca="false">IF(F496&lt;=Inputs!$C$20,1,0)</f>
        <v>1</v>
      </c>
      <c r="O496" s="19" t="n">
        <f aca="false">IF(J496&lt;=Inputs!$C$21,1,0)</f>
        <v>1</v>
      </c>
      <c r="P496" s="19" t="n">
        <f aca="false">IF(D496&gt;=Inputs!$C$22,1,0)</f>
        <v>1</v>
      </c>
      <c r="Q496" s="19" t="n">
        <f aca="false">IF(I496&lt;=Inputs!$C$23,1,0)</f>
        <v>1</v>
      </c>
      <c r="R496" s="19" t="n">
        <f aca="false">M496*N496*O496*P496*Q496</f>
        <v>1</v>
      </c>
      <c r="S496" s="14" t="n">
        <f aca="false">I496*R496</f>
        <v>19166.24</v>
      </c>
      <c r="T496" s="19" t="n">
        <f aca="false">IF(F496&gt;72,1,0)</f>
        <v>0</v>
      </c>
      <c r="U496" s="19" t="n">
        <f aca="false">IF(J496&gt;1.25,1,0)</f>
        <v>1</v>
      </c>
    </row>
    <row r="497" customFormat="false" ht="15" hidden="false" customHeight="false" outlineLevel="0" collapsed="false">
      <c r="B497" s="13" t="s">
        <v>717</v>
      </c>
      <c r="C497" s="13" t="s">
        <v>252</v>
      </c>
      <c r="D497" s="19" t="n">
        <v>669</v>
      </c>
      <c r="E497" s="23" t="n">
        <v>0.1887</v>
      </c>
      <c r="F497" s="19" t="n">
        <v>72</v>
      </c>
      <c r="G497" s="19" t="n">
        <v>9</v>
      </c>
      <c r="H497" s="14" t="n">
        <v>41290</v>
      </c>
      <c r="I497" s="14" t="n">
        <v>38290.41</v>
      </c>
      <c r="J497" s="24" t="n">
        <v>1.211</v>
      </c>
      <c r="K497" s="19" t="n">
        <v>75</v>
      </c>
      <c r="L497" s="13" t="str">
        <f aca="false">IF(D497&gt;=Inputs!$C$14,"Near-prime","Non-prime")</f>
        <v>Near-prime</v>
      </c>
      <c r="M497" s="19" t="n">
        <f aca="false">IF(K497&lt;=Inputs!$C$19,1,0)</f>
        <v>0</v>
      </c>
      <c r="N497" s="19" t="n">
        <f aca="false">IF(F497&lt;=Inputs!$C$20,1,0)</f>
        <v>1</v>
      </c>
      <c r="O497" s="19" t="n">
        <f aca="false">IF(J497&lt;=Inputs!$C$21,1,0)</f>
        <v>1</v>
      </c>
      <c r="P497" s="19" t="n">
        <f aca="false">IF(D497&gt;=Inputs!$C$22,1,0)</f>
        <v>1</v>
      </c>
      <c r="Q497" s="19" t="n">
        <f aca="false">IF(I497&lt;=Inputs!$C$23,1,0)</f>
        <v>1</v>
      </c>
      <c r="R497" s="19" t="n">
        <f aca="false">M497*N497*O497*P497*Q497</f>
        <v>0</v>
      </c>
      <c r="S497" s="14" t="n">
        <f aca="false">I497*R497</f>
        <v>0</v>
      </c>
      <c r="T497" s="19" t="n">
        <f aca="false">IF(F497&gt;72,1,0)</f>
        <v>0</v>
      </c>
      <c r="U497" s="19" t="n">
        <f aca="false">IF(J497&gt;1.25,1,0)</f>
        <v>0</v>
      </c>
    </row>
    <row r="498" customFormat="false" ht="15" hidden="false" customHeight="false" outlineLevel="0" collapsed="false">
      <c r="B498" s="13" t="s">
        <v>718</v>
      </c>
      <c r="C498" s="13" t="s">
        <v>237</v>
      </c>
      <c r="D498" s="19" t="n">
        <v>607</v>
      </c>
      <c r="E498" s="23" t="n">
        <v>0.2128</v>
      </c>
      <c r="F498" s="19" t="n">
        <v>66</v>
      </c>
      <c r="G498" s="19" t="n">
        <v>1</v>
      </c>
      <c r="H498" s="14" t="n">
        <v>30080</v>
      </c>
      <c r="I498" s="14" t="n">
        <v>29836.47</v>
      </c>
      <c r="J498" s="24" t="n">
        <v>1.085</v>
      </c>
      <c r="K498" s="19" t="n">
        <v>0</v>
      </c>
      <c r="L498" s="13" t="str">
        <f aca="false">IF(D498&gt;=Inputs!$C$14,"Near-prime","Non-prime")</f>
        <v>Non-prime</v>
      </c>
      <c r="M498" s="19" t="n">
        <f aca="false">IF(K498&lt;=Inputs!$C$19,1,0)</f>
        <v>1</v>
      </c>
      <c r="N498" s="19" t="n">
        <f aca="false">IF(F498&lt;=Inputs!$C$20,1,0)</f>
        <v>1</v>
      </c>
      <c r="O498" s="19" t="n">
        <f aca="false">IF(J498&lt;=Inputs!$C$21,1,0)</f>
        <v>1</v>
      </c>
      <c r="P498" s="19" t="n">
        <f aca="false">IF(D498&gt;=Inputs!$C$22,1,0)</f>
        <v>1</v>
      </c>
      <c r="Q498" s="19" t="n">
        <f aca="false">IF(I498&lt;=Inputs!$C$23,1,0)</f>
        <v>1</v>
      </c>
      <c r="R498" s="19" t="n">
        <f aca="false">M498*N498*O498*P498*Q498</f>
        <v>1</v>
      </c>
      <c r="S498" s="14" t="n">
        <f aca="false">I498*R498</f>
        <v>29836.47</v>
      </c>
      <c r="T498" s="19" t="n">
        <f aca="false">IF(F498&gt;72,1,0)</f>
        <v>0</v>
      </c>
      <c r="U498" s="19" t="n">
        <f aca="false">IF(J498&gt;1.25,1,0)</f>
        <v>0</v>
      </c>
    </row>
    <row r="499" customFormat="false" ht="15" hidden="false" customHeight="false" outlineLevel="0" collapsed="false">
      <c r="B499" s="13" t="s">
        <v>719</v>
      </c>
      <c r="C499" s="13" t="s">
        <v>219</v>
      </c>
      <c r="D499" s="19" t="n">
        <v>629</v>
      </c>
      <c r="E499" s="23" t="n">
        <v>0.2262</v>
      </c>
      <c r="F499" s="19" t="n">
        <v>75</v>
      </c>
      <c r="G499" s="19" t="n">
        <v>5</v>
      </c>
      <c r="H499" s="14" t="n">
        <v>18260</v>
      </c>
      <c r="I499" s="14" t="n">
        <v>17675.51</v>
      </c>
      <c r="J499" s="24" t="n">
        <v>0.932</v>
      </c>
      <c r="K499" s="19" t="n">
        <v>0</v>
      </c>
      <c r="L499" s="13" t="str">
        <f aca="false">IF(D499&gt;=Inputs!$C$14,"Near-prime","Non-prime")</f>
        <v>Near-prime</v>
      </c>
      <c r="M499" s="19" t="n">
        <f aca="false">IF(K499&lt;=Inputs!$C$19,1,0)</f>
        <v>1</v>
      </c>
      <c r="N499" s="19" t="n">
        <f aca="false">IF(F499&lt;=Inputs!$C$20,1,0)</f>
        <v>1</v>
      </c>
      <c r="O499" s="19" t="n">
        <f aca="false">IF(J499&lt;=Inputs!$C$21,1,0)</f>
        <v>1</v>
      </c>
      <c r="P499" s="19" t="n">
        <f aca="false">IF(D499&gt;=Inputs!$C$22,1,0)</f>
        <v>1</v>
      </c>
      <c r="Q499" s="19" t="n">
        <f aca="false">IF(I499&lt;=Inputs!$C$23,1,0)</f>
        <v>1</v>
      </c>
      <c r="R499" s="19" t="n">
        <f aca="false">M499*N499*O499*P499*Q499</f>
        <v>1</v>
      </c>
      <c r="S499" s="14" t="n">
        <f aca="false">I499*R499</f>
        <v>17675.51</v>
      </c>
      <c r="T499" s="19" t="n">
        <f aca="false">IF(F499&gt;72,1,0)</f>
        <v>1</v>
      </c>
      <c r="U499" s="19" t="n">
        <f aca="false">IF(J499&gt;1.25,1,0)</f>
        <v>0</v>
      </c>
    </row>
    <row r="500" customFormat="false" ht="15" hidden="false" customHeight="false" outlineLevel="0" collapsed="false">
      <c r="B500" s="13" t="s">
        <v>720</v>
      </c>
      <c r="C500" s="13" t="s">
        <v>226</v>
      </c>
      <c r="D500" s="19" t="n">
        <v>634</v>
      </c>
      <c r="E500" s="23" t="n">
        <v>0.2118</v>
      </c>
      <c r="F500" s="19" t="n">
        <v>75</v>
      </c>
      <c r="G500" s="19" t="n">
        <v>10</v>
      </c>
      <c r="H500" s="14" t="n">
        <v>38660</v>
      </c>
      <c r="I500" s="14" t="n">
        <v>35936.78</v>
      </c>
      <c r="J500" s="24" t="n">
        <v>1.123</v>
      </c>
      <c r="K500" s="19" t="n">
        <v>0</v>
      </c>
      <c r="L500" s="13" t="str">
        <f aca="false">IF(D500&gt;=Inputs!$C$14,"Near-prime","Non-prime")</f>
        <v>Near-prime</v>
      </c>
      <c r="M500" s="19" t="n">
        <f aca="false">IF(K500&lt;=Inputs!$C$19,1,0)</f>
        <v>1</v>
      </c>
      <c r="N500" s="19" t="n">
        <f aca="false">IF(F500&lt;=Inputs!$C$20,1,0)</f>
        <v>1</v>
      </c>
      <c r="O500" s="19" t="n">
        <f aca="false">IF(J500&lt;=Inputs!$C$21,1,0)</f>
        <v>1</v>
      </c>
      <c r="P500" s="19" t="n">
        <f aca="false">IF(D500&gt;=Inputs!$C$22,1,0)</f>
        <v>1</v>
      </c>
      <c r="Q500" s="19" t="n">
        <f aca="false">IF(I500&lt;=Inputs!$C$23,1,0)</f>
        <v>1</v>
      </c>
      <c r="R500" s="19" t="n">
        <f aca="false">M500*N500*O500*P500*Q500</f>
        <v>1</v>
      </c>
      <c r="S500" s="14" t="n">
        <f aca="false">I500*R500</f>
        <v>35936.78</v>
      </c>
      <c r="T500" s="19" t="n">
        <f aca="false">IF(F500&gt;72,1,0)</f>
        <v>1</v>
      </c>
      <c r="U500" s="19" t="n">
        <f aca="false">IF(J500&gt;1.25,1,0)</f>
        <v>0</v>
      </c>
    </row>
    <row r="501" customFormat="false" ht="15" hidden="false" customHeight="false" outlineLevel="0" collapsed="false">
      <c r="B501" s="13" t="s">
        <v>721</v>
      </c>
      <c r="C501" s="13" t="s">
        <v>226</v>
      </c>
      <c r="D501" s="19" t="n">
        <v>616</v>
      </c>
      <c r="E501" s="23" t="n">
        <v>0.2083</v>
      </c>
      <c r="F501" s="19" t="n">
        <v>66</v>
      </c>
      <c r="G501" s="19" t="n">
        <v>5</v>
      </c>
      <c r="H501" s="14" t="n">
        <v>15350</v>
      </c>
      <c r="I501" s="14" t="n">
        <v>14697.45</v>
      </c>
      <c r="J501" s="24" t="n">
        <v>1.428</v>
      </c>
      <c r="K501" s="19" t="n">
        <v>0</v>
      </c>
      <c r="L501" s="13" t="str">
        <f aca="false">IF(D501&gt;=Inputs!$C$14,"Near-prime","Non-prime")</f>
        <v>Non-prime</v>
      </c>
      <c r="M501" s="19" t="n">
        <f aca="false">IF(K501&lt;=Inputs!$C$19,1,0)</f>
        <v>1</v>
      </c>
      <c r="N501" s="19" t="n">
        <f aca="false">IF(F501&lt;=Inputs!$C$20,1,0)</f>
        <v>1</v>
      </c>
      <c r="O501" s="19" t="n">
        <f aca="false">IF(J501&lt;=Inputs!$C$21,1,0)</f>
        <v>1</v>
      </c>
      <c r="P501" s="19" t="n">
        <f aca="false">IF(D501&gt;=Inputs!$C$22,1,0)</f>
        <v>1</v>
      </c>
      <c r="Q501" s="19" t="n">
        <f aca="false">IF(I501&lt;=Inputs!$C$23,1,0)</f>
        <v>1</v>
      </c>
      <c r="R501" s="19" t="n">
        <f aca="false">M501*N501*O501*P501*Q501</f>
        <v>1</v>
      </c>
      <c r="S501" s="14" t="n">
        <f aca="false">I501*R501</f>
        <v>14697.45</v>
      </c>
      <c r="T501" s="19" t="n">
        <f aca="false">IF(F501&gt;72,1,0)</f>
        <v>0</v>
      </c>
      <c r="U501" s="19" t="n">
        <f aca="false">IF(J501&gt;1.25,1,0)</f>
        <v>1</v>
      </c>
    </row>
    <row r="502" customFormat="false" ht="15" hidden="false" customHeight="false" outlineLevel="0" collapsed="false">
      <c r="B502" s="13" t="s">
        <v>722</v>
      </c>
      <c r="C502" s="13" t="s">
        <v>252</v>
      </c>
      <c r="D502" s="19" t="n">
        <v>622</v>
      </c>
      <c r="E502" s="23" t="n">
        <v>0.2029</v>
      </c>
      <c r="F502" s="19" t="n">
        <v>72</v>
      </c>
      <c r="G502" s="19" t="n">
        <v>6</v>
      </c>
      <c r="H502" s="14" t="n">
        <v>29510</v>
      </c>
      <c r="I502" s="14" t="n">
        <v>28177.67</v>
      </c>
      <c r="J502" s="24" t="n">
        <v>1.141</v>
      </c>
      <c r="K502" s="19" t="n">
        <v>0</v>
      </c>
      <c r="L502" s="13" t="str">
        <f aca="false">IF(D502&gt;=Inputs!$C$14,"Near-prime","Non-prime")</f>
        <v>Near-prime</v>
      </c>
      <c r="M502" s="19" t="n">
        <f aca="false">IF(K502&lt;=Inputs!$C$19,1,0)</f>
        <v>1</v>
      </c>
      <c r="N502" s="19" t="n">
        <f aca="false">IF(F502&lt;=Inputs!$C$20,1,0)</f>
        <v>1</v>
      </c>
      <c r="O502" s="19" t="n">
        <f aca="false">IF(J502&lt;=Inputs!$C$21,1,0)</f>
        <v>1</v>
      </c>
      <c r="P502" s="19" t="n">
        <f aca="false">IF(D502&gt;=Inputs!$C$22,1,0)</f>
        <v>1</v>
      </c>
      <c r="Q502" s="19" t="n">
        <f aca="false">IF(I502&lt;=Inputs!$C$23,1,0)</f>
        <v>1</v>
      </c>
      <c r="R502" s="19" t="n">
        <f aca="false">M502*N502*O502*P502*Q502</f>
        <v>1</v>
      </c>
      <c r="S502" s="14" t="n">
        <f aca="false">I502*R502</f>
        <v>28177.67</v>
      </c>
      <c r="T502" s="19" t="n">
        <f aca="false">IF(F502&gt;72,1,0)</f>
        <v>0</v>
      </c>
      <c r="U502" s="19" t="n">
        <f aca="false">IF(J502&gt;1.25,1,0)</f>
        <v>0</v>
      </c>
    </row>
    <row r="503" customFormat="false" ht="15" hidden="false" customHeight="false" outlineLevel="0" collapsed="false">
      <c r="B503" s="13" t="s">
        <v>723</v>
      </c>
      <c r="C503" s="13" t="s">
        <v>223</v>
      </c>
      <c r="D503" s="19" t="n">
        <v>584</v>
      </c>
      <c r="E503" s="23" t="n">
        <v>0.2181</v>
      </c>
      <c r="F503" s="19" t="n">
        <v>66</v>
      </c>
      <c r="G503" s="19" t="n">
        <v>5</v>
      </c>
      <c r="H503" s="14" t="n">
        <v>15420</v>
      </c>
      <c r="I503" s="14" t="n">
        <v>14783.5</v>
      </c>
      <c r="J503" s="24" t="n">
        <v>0.884</v>
      </c>
      <c r="K503" s="19" t="n">
        <v>0</v>
      </c>
      <c r="L503" s="13" t="str">
        <f aca="false">IF(D503&gt;=Inputs!$C$14,"Near-prime","Non-prime")</f>
        <v>Non-prime</v>
      </c>
      <c r="M503" s="19" t="n">
        <f aca="false">IF(K503&lt;=Inputs!$C$19,1,0)</f>
        <v>1</v>
      </c>
      <c r="N503" s="19" t="n">
        <f aca="false">IF(F503&lt;=Inputs!$C$20,1,0)</f>
        <v>1</v>
      </c>
      <c r="O503" s="19" t="n">
        <f aca="false">IF(J503&lt;=Inputs!$C$21,1,0)</f>
        <v>1</v>
      </c>
      <c r="P503" s="19" t="n">
        <f aca="false">IF(D503&gt;=Inputs!$C$22,1,0)</f>
        <v>1</v>
      </c>
      <c r="Q503" s="19" t="n">
        <f aca="false">IF(I503&lt;=Inputs!$C$23,1,0)</f>
        <v>1</v>
      </c>
      <c r="R503" s="19" t="n">
        <f aca="false">M503*N503*O503*P503*Q503</f>
        <v>1</v>
      </c>
      <c r="S503" s="14" t="n">
        <f aca="false">I503*R503</f>
        <v>14783.5</v>
      </c>
      <c r="T503" s="19" t="n">
        <f aca="false">IF(F503&gt;72,1,0)</f>
        <v>0</v>
      </c>
      <c r="U503" s="19" t="n">
        <f aca="false">IF(J503&gt;1.25,1,0)</f>
        <v>0</v>
      </c>
    </row>
    <row r="504" customFormat="false" ht="15" hidden="false" customHeight="false" outlineLevel="0" collapsed="false">
      <c r="B504" s="13" t="s">
        <v>724</v>
      </c>
      <c r="C504" s="13" t="s">
        <v>217</v>
      </c>
      <c r="D504" s="19" t="n">
        <v>641</v>
      </c>
      <c r="E504" s="23" t="n">
        <v>0.2044</v>
      </c>
      <c r="F504" s="19" t="n">
        <v>60</v>
      </c>
      <c r="G504" s="19" t="n">
        <v>2</v>
      </c>
      <c r="H504" s="14" t="n">
        <v>34010</v>
      </c>
      <c r="I504" s="14" t="n">
        <v>33344.18</v>
      </c>
      <c r="J504" s="24" t="n">
        <v>1.033</v>
      </c>
      <c r="K504" s="19" t="n">
        <v>0</v>
      </c>
      <c r="L504" s="13" t="str">
        <f aca="false">IF(D504&gt;=Inputs!$C$14,"Near-prime","Non-prime")</f>
        <v>Near-prime</v>
      </c>
      <c r="M504" s="19" t="n">
        <f aca="false">IF(K504&lt;=Inputs!$C$19,1,0)</f>
        <v>1</v>
      </c>
      <c r="N504" s="19" t="n">
        <f aca="false">IF(F504&lt;=Inputs!$C$20,1,0)</f>
        <v>1</v>
      </c>
      <c r="O504" s="19" t="n">
        <f aca="false">IF(J504&lt;=Inputs!$C$21,1,0)</f>
        <v>1</v>
      </c>
      <c r="P504" s="19" t="n">
        <f aca="false">IF(D504&gt;=Inputs!$C$22,1,0)</f>
        <v>1</v>
      </c>
      <c r="Q504" s="19" t="n">
        <f aca="false">IF(I504&lt;=Inputs!$C$23,1,0)</f>
        <v>1</v>
      </c>
      <c r="R504" s="19" t="n">
        <f aca="false">M504*N504*O504*P504*Q504</f>
        <v>1</v>
      </c>
      <c r="S504" s="14" t="n">
        <f aca="false">I504*R504</f>
        <v>33344.18</v>
      </c>
      <c r="T504" s="19" t="n">
        <f aca="false">IF(F504&gt;72,1,0)</f>
        <v>0</v>
      </c>
      <c r="U504" s="19" t="n">
        <f aca="false">IF(J504&gt;1.25,1,0)</f>
        <v>0</v>
      </c>
    </row>
    <row r="505" customFormat="false" ht="15" hidden="false" customHeight="false" outlineLevel="0" collapsed="false">
      <c r="B505" s="13" t="s">
        <v>725</v>
      </c>
      <c r="C505" s="13" t="s">
        <v>217</v>
      </c>
      <c r="D505" s="19" t="n">
        <v>723</v>
      </c>
      <c r="E505" s="23" t="n">
        <v>0.1781</v>
      </c>
      <c r="F505" s="19" t="n">
        <v>72</v>
      </c>
      <c r="G505" s="19" t="n">
        <v>0</v>
      </c>
      <c r="H505" s="14" t="n">
        <v>18090</v>
      </c>
      <c r="I505" s="14" t="n">
        <v>18090</v>
      </c>
      <c r="J505" s="24" t="n">
        <v>0.977</v>
      </c>
      <c r="K505" s="19" t="n">
        <v>0</v>
      </c>
      <c r="L505" s="13" t="str">
        <f aca="false">IF(D505&gt;=Inputs!$C$14,"Near-prime","Non-prime")</f>
        <v>Near-prime</v>
      </c>
      <c r="M505" s="19" t="n">
        <f aca="false">IF(K505&lt;=Inputs!$C$19,1,0)</f>
        <v>1</v>
      </c>
      <c r="N505" s="19" t="n">
        <f aca="false">IF(F505&lt;=Inputs!$C$20,1,0)</f>
        <v>1</v>
      </c>
      <c r="O505" s="19" t="n">
        <f aca="false">IF(J505&lt;=Inputs!$C$21,1,0)</f>
        <v>1</v>
      </c>
      <c r="P505" s="19" t="n">
        <f aca="false">IF(D505&gt;=Inputs!$C$22,1,0)</f>
        <v>1</v>
      </c>
      <c r="Q505" s="19" t="n">
        <f aca="false">IF(I505&lt;=Inputs!$C$23,1,0)</f>
        <v>1</v>
      </c>
      <c r="R505" s="19" t="n">
        <f aca="false">M505*N505*O505*P505*Q505</f>
        <v>1</v>
      </c>
      <c r="S505" s="14" t="n">
        <f aca="false">I505*R505</f>
        <v>18090</v>
      </c>
      <c r="T505" s="19" t="n">
        <f aca="false">IF(F505&gt;72,1,0)</f>
        <v>0</v>
      </c>
      <c r="U505" s="19" t="n">
        <f aca="false">IF(J505&gt;1.25,1,0)</f>
        <v>0</v>
      </c>
    </row>
    <row r="506" customFormat="false" ht="15" hidden="false" customHeight="false" outlineLevel="0" collapsed="false">
      <c r="B506" s="13" t="s">
        <v>726</v>
      </c>
      <c r="C506" s="13" t="s">
        <v>257</v>
      </c>
      <c r="D506" s="19" t="n">
        <v>795</v>
      </c>
      <c r="E506" s="23" t="n">
        <v>0.1542</v>
      </c>
      <c r="F506" s="19" t="n">
        <v>72</v>
      </c>
      <c r="G506" s="19" t="n">
        <v>4</v>
      </c>
      <c r="H506" s="14" t="n">
        <v>19840</v>
      </c>
      <c r="I506" s="14" t="n">
        <v>19150.4</v>
      </c>
      <c r="J506" s="24" t="n">
        <v>1.123</v>
      </c>
      <c r="K506" s="19" t="n">
        <v>0</v>
      </c>
      <c r="L506" s="13" t="str">
        <f aca="false">IF(D506&gt;=Inputs!$C$14,"Near-prime","Non-prime")</f>
        <v>Near-prime</v>
      </c>
      <c r="M506" s="19" t="n">
        <f aca="false">IF(K506&lt;=Inputs!$C$19,1,0)</f>
        <v>1</v>
      </c>
      <c r="N506" s="19" t="n">
        <f aca="false">IF(F506&lt;=Inputs!$C$20,1,0)</f>
        <v>1</v>
      </c>
      <c r="O506" s="19" t="n">
        <f aca="false">IF(J506&lt;=Inputs!$C$21,1,0)</f>
        <v>1</v>
      </c>
      <c r="P506" s="19" t="n">
        <f aca="false">IF(D506&gt;=Inputs!$C$22,1,0)</f>
        <v>1</v>
      </c>
      <c r="Q506" s="19" t="n">
        <f aca="false">IF(I506&lt;=Inputs!$C$23,1,0)</f>
        <v>1</v>
      </c>
      <c r="R506" s="19" t="n">
        <f aca="false">M506*N506*O506*P506*Q506</f>
        <v>1</v>
      </c>
      <c r="S506" s="14" t="n">
        <f aca="false">I506*R506</f>
        <v>19150.4</v>
      </c>
      <c r="T506" s="19" t="n">
        <f aca="false">IF(F506&gt;72,1,0)</f>
        <v>0</v>
      </c>
      <c r="U506" s="19" t="n">
        <f aca="false">IF(J506&gt;1.25,1,0)</f>
        <v>0</v>
      </c>
    </row>
    <row r="507" customFormat="false" ht="15" hidden="false" customHeight="false" outlineLevel="0" collapsed="false">
      <c r="B507" s="13" t="s">
        <v>727</v>
      </c>
      <c r="C507" s="13" t="s">
        <v>223</v>
      </c>
      <c r="D507" s="19" t="n">
        <v>604</v>
      </c>
      <c r="E507" s="23" t="n">
        <v>0.2042</v>
      </c>
      <c r="F507" s="19" t="n">
        <v>60</v>
      </c>
      <c r="G507" s="19" t="n">
        <v>7</v>
      </c>
      <c r="H507" s="14" t="n">
        <v>26700</v>
      </c>
      <c r="I507" s="14" t="n">
        <v>24789.6</v>
      </c>
      <c r="J507" s="24" t="n">
        <v>1.039</v>
      </c>
      <c r="K507" s="19" t="n">
        <v>100</v>
      </c>
      <c r="L507" s="13" t="str">
        <f aca="false">IF(D507&gt;=Inputs!$C$14,"Near-prime","Non-prime")</f>
        <v>Non-prime</v>
      </c>
      <c r="M507" s="19" t="n">
        <f aca="false">IF(K507&lt;=Inputs!$C$19,1,0)</f>
        <v>0</v>
      </c>
      <c r="N507" s="19" t="n">
        <f aca="false">IF(F507&lt;=Inputs!$C$20,1,0)</f>
        <v>1</v>
      </c>
      <c r="O507" s="19" t="n">
        <f aca="false">IF(J507&lt;=Inputs!$C$21,1,0)</f>
        <v>1</v>
      </c>
      <c r="P507" s="19" t="n">
        <f aca="false">IF(D507&gt;=Inputs!$C$22,1,0)</f>
        <v>1</v>
      </c>
      <c r="Q507" s="19" t="n">
        <f aca="false">IF(I507&lt;=Inputs!$C$23,1,0)</f>
        <v>1</v>
      </c>
      <c r="R507" s="19" t="n">
        <f aca="false">M507*N507*O507*P507*Q507</f>
        <v>0</v>
      </c>
      <c r="S507" s="14" t="n">
        <f aca="false">I507*R507</f>
        <v>0</v>
      </c>
      <c r="T507" s="19" t="n">
        <f aca="false">IF(F507&gt;72,1,0)</f>
        <v>0</v>
      </c>
      <c r="U507" s="19" t="n">
        <f aca="false">IF(J507&gt;1.25,1,0)</f>
        <v>0</v>
      </c>
    </row>
    <row r="508" customFormat="false" ht="15" hidden="false" customHeight="false" outlineLevel="0" collapsed="false">
      <c r="B508" s="13" t="s">
        <v>728</v>
      </c>
      <c r="C508" s="13" t="s">
        <v>228</v>
      </c>
      <c r="D508" s="19" t="n">
        <v>608</v>
      </c>
      <c r="E508" s="23" t="n">
        <v>0.2183</v>
      </c>
      <c r="F508" s="19" t="n">
        <v>72</v>
      </c>
      <c r="G508" s="19" t="n">
        <v>7</v>
      </c>
      <c r="H508" s="14" t="n">
        <v>27030</v>
      </c>
      <c r="I508" s="14" t="n">
        <v>25664.26</v>
      </c>
      <c r="J508" s="24" t="n">
        <v>0.977</v>
      </c>
      <c r="K508" s="19" t="n">
        <v>45</v>
      </c>
      <c r="L508" s="13" t="str">
        <f aca="false">IF(D508&gt;=Inputs!$C$14,"Near-prime","Non-prime")</f>
        <v>Non-prime</v>
      </c>
      <c r="M508" s="19" t="n">
        <f aca="false">IF(K508&lt;=Inputs!$C$19,1,0)</f>
        <v>1</v>
      </c>
      <c r="N508" s="19" t="n">
        <f aca="false">IF(F508&lt;=Inputs!$C$20,1,0)</f>
        <v>1</v>
      </c>
      <c r="O508" s="19" t="n">
        <f aca="false">IF(J508&lt;=Inputs!$C$21,1,0)</f>
        <v>1</v>
      </c>
      <c r="P508" s="19" t="n">
        <f aca="false">IF(D508&gt;=Inputs!$C$22,1,0)</f>
        <v>1</v>
      </c>
      <c r="Q508" s="19" t="n">
        <f aca="false">IF(I508&lt;=Inputs!$C$23,1,0)</f>
        <v>1</v>
      </c>
      <c r="R508" s="19" t="n">
        <f aca="false">M508*N508*O508*P508*Q508</f>
        <v>1</v>
      </c>
      <c r="S508" s="14" t="n">
        <f aca="false">I508*R508</f>
        <v>25664.26</v>
      </c>
      <c r="T508" s="19" t="n">
        <f aca="false">IF(F508&gt;72,1,0)</f>
        <v>0</v>
      </c>
      <c r="U508" s="19" t="n">
        <f aca="false">IF(J508&gt;1.25,1,0)</f>
        <v>0</v>
      </c>
    </row>
    <row r="509" customFormat="false" ht="15" hidden="false" customHeight="false" outlineLevel="0" collapsed="false">
      <c r="B509" s="13" t="s">
        <v>729</v>
      </c>
      <c r="C509" s="13" t="s">
        <v>223</v>
      </c>
      <c r="D509" s="19" t="n">
        <v>665</v>
      </c>
      <c r="E509" s="23" t="n">
        <v>0.1752</v>
      </c>
      <c r="F509" s="19" t="n">
        <v>75</v>
      </c>
      <c r="G509" s="19" t="n">
        <v>3</v>
      </c>
      <c r="H509" s="14" t="n">
        <v>27190</v>
      </c>
      <c r="I509" s="14" t="n">
        <v>26575.23</v>
      </c>
      <c r="J509" s="24" t="n">
        <v>0.909</v>
      </c>
      <c r="K509" s="19" t="n">
        <v>0</v>
      </c>
      <c r="L509" s="13" t="str">
        <f aca="false">IF(D509&gt;=Inputs!$C$14,"Near-prime","Non-prime")</f>
        <v>Near-prime</v>
      </c>
      <c r="M509" s="19" t="n">
        <f aca="false">IF(K509&lt;=Inputs!$C$19,1,0)</f>
        <v>1</v>
      </c>
      <c r="N509" s="19" t="n">
        <f aca="false">IF(F509&lt;=Inputs!$C$20,1,0)</f>
        <v>1</v>
      </c>
      <c r="O509" s="19" t="n">
        <f aca="false">IF(J509&lt;=Inputs!$C$21,1,0)</f>
        <v>1</v>
      </c>
      <c r="P509" s="19" t="n">
        <f aca="false">IF(D509&gt;=Inputs!$C$22,1,0)</f>
        <v>1</v>
      </c>
      <c r="Q509" s="19" t="n">
        <f aca="false">IF(I509&lt;=Inputs!$C$23,1,0)</f>
        <v>1</v>
      </c>
      <c r="R509" s="19" t="n">
        <f aca="false">M509*N509*O509*P509*Q509</f>
        <v>1</v>
      </c>
      <c r="S509" s="14" t="n">
        <f aca="false">I509*R509</f>
        <v>26575.23</v>
      </c>
      <c r="T509" s="19" t="n">
        <f aca="false">IF(F509&gt;72,1,0)</f>
        <v>1</v>
      </c>
      <c r="U509" s="19" t="n">
        <f aca="false">IF(J509&gt;1.25,1,0)</f>
        <v>0</v>
      </c>
    </row>
    <row r="510" customFormat="false" ht="15" hidden="false" customHeight="false" outlineLevel="0" collapsed="false">
      <c r="B510" s="13" t="s">
        <v>730</v>
      </c>
      <c r="C510" s="13" t="s">
        <v>217</v>
      </c>
      <c r="D510" s="19" t="n">
        <v>673</v>
      </c>
      <c r="E510" s="23" t="n">
        <v>0.1887</v>
      </c>
      <c r="F510" s="19" t="n">
        <v>66</v>
      </c>
      <c r="G510" s="19" t="n">
        <v>4</v>
      </c>
      <c r="H510" s="14" t="n">
        <v>24950</v>
      </c>
      <c r="I510" s="14" t="n">
        <v>24057.57</v>
      </c>
      <c r="J510" s="24" t="n">
        <v>1.035</v>
      </c>
      <c r="K510" s="19" t="n">
        <v>0</v>
      </c>
      <c r="L510" s="13" t="str">
        <f aca="false">IF(D510&gt;=Inputs!$C$14,"Near-prime","Non-prime")</f>
        <v>Near-prime</v>
      </c>
      <c r="M510" s="19" t="n">
        <f aca="false">IF(K510&lt;=Inputs!$C$19,1,0)</f>
        <v>1</v>
      </c>
      <c r="N510" s="19" t="n">
        <f aca="false">IF(F510&lt;=Inputs!$C$20,1,0)</f>
        <v>1</v>
      </c>
      <c r="O510" s="19" t="n">
        <f aca="false">IF(J510&lt;=Inputs!$C$21,1,0)</f>
        <v>1</v>
      </c>
      <c r="P510" s="19" t="n">
        <f aca="false">IF(D510&gt;=Inputs!$C$22,1,0)</f>
        <v>1</v>
      </c>
      <c r="Q510" s="19" t="n">
        <f aca="false">IF(I510&lt;=Inputs!$C$23,1,0)</f>
        <v>1</v>
      </c>
      <c r="R510" s="19" t="n">
        <f aca="false">M510*N510*O510*P510*Q510</f>
        <v>1</v>
      </c>
      <c r="S510" s="14" t="n">
        <f aca="false">I510*R510</f>
        <v>24057.57</v>
      </c>
      <c r="T510" s="19" t="n">
        <f aca="false">IF(F510&gt;72,1,0)</f>
        <v>0</v>
      </c>
      <c r="U510" s="19" t="n">
        <f aca="false">IF(J510&gt;1.25,1,0)</f>
        <v>0</v>
      </c>
    </row>
    <row r="511" customFormat="false" ht="15" hidden="false" customHeight="false" outlineLevel="0" collapsed="false">
      <c r="B511" s="13" t="s">
        <v>731</v>
      </c>
      <c r="C511" s="13" t="s">
        <v>223</v>
      </c>
      <c r="D511" s="19" t="n">
        <v>580</v>
      </c>
      <c r="E511" s="23" t="n">
        <v>0.25</v>
      </c>
      <c r="F511" s="19" t="n">
        <v>60</v>
      </c>
      <c r="G511" s="19" t="n">
        <v>6</v>
      </c>
      <c r="H511" s="14" t="n">
        <v>16920</v>
      </c>
      <c r="I511" s="14" t="n">
        <v>16008.94</v>
      </c>
      <c r="J511" s="24" t="n">
        <v>1.15</v>
      </c>
      <c r="K511" s="19" t="n">
        <v>0</v>
      </c>
      <c r="L511" s="13" t="str">
        <f aca="false">IF(D511&gt;=Inputs!$C$14,"Near-prime","Non-prime")</f>
        <v>Non-prime</v>
      </c>
      <c r="M511" s="19" t="n">
        <f aca="false">IF(K511&lt;=Inputs!$C$19,1,0)</f>
        <v>1</v>
      </c>
      <c r="N511" s="19" t="n">
        <f aca="false">IF(F511&lt;=Inputs!$C$20,1,0)</f>
        <v>1</v>
      </c>
      <c r="O511" s="19" t="n">
        <f aca="false">IF(J511&lt;=Inputs!$C$21,1,0)</f>
        <v>1</v>
      </c>
      <c r="P511" s="19" t="n">
        <f aca="false">IF(D511&gt;=Inputs!$C$22,1,0)</f>
        <v>1</v>
      </c>
      <c r="Q511" s="19" t="n">
        <f aca="false">IF(I511&lt;=Inputs!$C$23,1,0)</f>
        <v>1</v>
      </c>
      <c r="R511" s="19" t="n">
        <f aca="false">M511*N511*O511*P511*Q511</f>
        <v>1</v>
      </c>
      <c r="S511" s="14" t="n">
        <f aca="false">I511*R511</f>
        <v>16008.94</v>
      </c>
      <c r="T511" s="19" t="n">
        <f aca="false">IF(F511&gt;72,1,0)</f>
        <v>0</v>
      </c>
      <c r="U511" s="19" t="n">
        <f aca="false">IF(J511&gt;1.25,1,0)</f>
        <v>0</v>
      </c>
    </row>
    <row r="512" customFormat="false" ht="15" hidden="false" customHeight="false" outlineLevel="0" collapsed="false">
      <c r="B512" s="13" t="s">
        <v>732</v>
      </c>
      <c r="C512" s="13" t="s">
        <v>223</v>
      </c>
      <c r="D512" s="19" t="n">
        <v>528</v>
      </c>
      <c r="E512" s="23" t="n">
        <v>0.2391</v>
      </c>
      <c r="F512" s="19" t="n">
        <v>60</v>
      </c>
      <c r="G512" s="19" t="n">
        <v>8</v>
      </c>
      <c r="H512" s="14" t="n">
        <v>22060</v>
      </c>
      <c r="I512" s="14" t="n">
        <v>20396</v>
      </c>
      <c r="J512" s="24" t="n">
        <v>1.24</v>
      </c>
      <c r="K512" s="19" t="n">
        <v>0</v>
      </c>
      <c r="L512" s="13" t="str">
        <f aca="false">IF(D512&gt;=Inputs!$C$14,"Near-prime","Non-prime")</f>
        <v>Non-prime</v>
      </c>
      <c r="M512" s="19" t="n">
        <f aca="false">IF(K512&lt;=Inputs!$C$19,1,0)</f>
        <v>1</v>
      </c>
      <c r="N512" s="19" t="n">
        <f aca="false">IF(F512&lt;=Inputs!$C$20,1,0)</f>
        <v>1</v>
      </c>
      <c r="O512" s="19" t="n">
        <f aca="false">IF(J512&lt;=Inputs!$C$21,1,0)</f>
        <v>1</v>
      </c>
      <c r="P512" s="19" t="n">
        <f aca="false">IF(D512&gt;=Inputs!$C$22,1,0)</f>
        <v>0</v>
      </c>
      <c r="Q512" s="19" t="n">
        <f aca="false">IF(I512&lt;=Inputs!$C$23,1,0)</f>
        <v>1</v>
      </c>
      <c r="R512" s="19" t="n">
        <f aca="false">M512*N512*O512*P512*Q512</f>
        <v>0</v>
      </c>
      <c r="S512" s="14" t="n">
        <f aca="false">I512*R512</f>
        <v>0</v>
      </c>
      <c r="T512" s="19" t="n">
        <f aca="false">IF(F512&gt;72,1,0)</f>
        <v>0</v>
      </c>
      <c r="U512" s="19" t="n">
        <f aca="false">IF(J512&gt;1.25,1,0)</f>
        <v>0</v>
      </c>
    </row>
    <row r="513" customFormat="false" ht="15" hidden="false" customHeight="false" outlineLevel="0" collapsed="false">
      <c r="B513" s="13" t="s">
        <v>733</v>
      </c>
      <c r="C513" s="13" t="s">
        <v>217</v>
      </c>
      <c r="D513" s="19" t="n">
        <v>661</v>
      </c>
      <c r="E513" s="23" t="n">
        <v>0.2264</v>
      </c>
      <c r="F513" s="19" t="n">
        <v>72</v>
      </c>
      <c r="G513" s="19" t="n">
        <v>8</v>
      </c>
      <c r="H513" s="14" t="n">
        <v>23830</v>
      </c>
      <c r="I513" s="14" t="n">
        <v>22477.18</v>
      </c>
      <c r="J513" s="24" t="n">
        <v>0.998</v>
      </c>
      <c r="K513" s="19" t="n">
        <v>0</v>
      </c>
      <c r="L513" s="13" t="str">
        <f aca="false">IF(D513&gt;=Inputs!$C$14,"Near-prime","Non-prime")</f>
        <v>Near-prime</v>
      </c>
      <c r="M513" s="19" t="n">
        <f aca="false">IF(K513&lt;=Inputs!$C$19,1,0)</f>
        <v>1</v>
      </c>
      <c r="N513" s="19" t="n">
        <f aca="false">IF(F513&lt;=Inputs!$C$20,1,0)</f>
        <v>1</v>
      </c>
      <c r="O513" s="19" t="n">
        <f aca="false">IF(J513&lt;=Inputs!$C$21,1,0)</f>
        <v>1</v>
      </c>
      <c r="P513" s="19" t="n">
        <f aca="false">IF(D513&gt;=Inputs!$C$22,1,0)</f>
        <v>1</v>
      </c>
      <c r="Q513" s="19" t="n">
        <f aca="false">IF(I513&lt;=Inputs!$C$23,1,0)</f>
        <v>1</v>
      </c>
      <c r="R513" s="19" t="n">
        <f aca="false">M513*N513*O513*P513*Q513</f>
        <v>1</v>
      </c>
      <c r="S513" s="14" t="n">
        <f aca="false">I513*R513</f>
        <v>22477.18</v>
      </c>
      <c r="T513" s="19" t="n">
        <f aca="false">IF(F513&gt;72,1,0)</f>
        <v>0</v>
      </c>
      <c r="U513" s="19" t="n">
        <f aca="false">IF(J513&gt;1.25,1,0)</f>
        <v>0</v>
      </c>
    </row>
    <row r="514" customFormat="false" ht="15" hidden="false" customHeight="false" outlineLevel="0" collapsed="false">
      <c r="B514" s="13" t="s">
        <v>734</v>
      </c>
      <c r="C514" s="13" t="s">
        <v>221</v>
      </c>
      <c r="D514" s="19" t="n">
        <v>717</v>
      </c>
      <c r="E514" s="23" t="n">
        <v>0.2036</v>
      </c>
      <c r="F514" s="19" t="n">
        <v>60</v>
      </c>
      <c r="G514" s="19" t="n">
        <v>6</v>
      </c>
      <c r="H514" s="14" t="n">
        <v>26610</v>
      </c>
      <c r="I514" s="14" t="n">
        <v>24989.45</v>
      </c>
      <c r="J514" s="24" t="n">
        <v>1.261</v>
      </c>
      <c r="K514" s="19" t="n">
        <v>0</v>
      </c>
      <c r="L514" s="13" t="str">
        <f aca="false">IF(D514&gt;=Inputs!$C$14,"Near-prime","Non-prime")</f>
        <v>Near-prime</v>
      </c>
      <c r="M514" s="19" t="n">
        <f aca="false">IF(K514&lt;=Inputs!$C$19,1,0)</f>
        <v>1</v>
      </c>
      <c r="N514" s="19" t="n">
        <f aca="false">IF(F514&lt;=Inputs!$C$20,1,0)</f>
        <v>1</v>
      </c>
      <c r="O514" s="19" t="n">
        <f aca="false">IF(J514&lt;=Inputs!$C$21,1,0)</f>
        <v>1</v>
      </c>
      <c r="P514" s="19" t="n">
        <f aca="false">IF(D514&gt;=Inputs!$C$22,1,0)</f>
        <v>1</v>
      </c>
      <c r="Q514" s="19" t="n">
        <f aca="false">IF(I514&lt;=Inputs!$C$23,1,0)</f>
        <v>1</v>
      </c>
      <c r="R514" s="19" t="n">
        <f aca="false">M514*N514*O514*P514*Q514</f>
        <v>1</v>
      </c>
      <c r="S514" s="14" t="n">
        <f aca="false">I514*R514</f>
        <v>24989.45</v>
      </c>
      <c r="T514" s="19" t="n">
        <f aca="false">IF(F514&gt;72,1,0)</f>
        <v>0</v>
      </c>
      <c r="U514" s="19" t="n">
        <f aca="false">IF(J514&gt;1.25,1,0)</f>
        <v>1</v>
      </c>
    </row>
    <row r="515" customFormat="false" ht="15" hidden="false" customHeight="false" outlineLevel="0" collapsed="false">
      <c r="B515" s="13" t="s">
        <v>735</v>
      </c>
      <c r="C515" s="13" t="s">
        <v>226</v>
      </c>
      <c r="D515" s="19" t="n">
        <v>721</v>
      </c>
      <c r="E515" s="23" t="n">
        <v>0.203</v>
      </c>
      <c r="F515" s="19" t="n">
        <v>75</v>
      </c>
      <c r="G515" s="19" t="n">
        <v>4</v>
      </c>
      <c r="H515" s="14" t="n">
        <v>19390</v>
      </c>
      <c r="I515" s="14" t="n">
        <v>18855.74</v>
      </c>
      <c r="J515" s="24" t="n">
        <v>0.748</v>
      </c>
      <c r="K515" s="19" t="n">
        <v>0</v>
      </c>
      <c r="L515" s="13" t="str">
        <f aca="false">IF(D515&gt;=Inputs!$C$14,"Near-prime","Non-prime")</f>
        <v>Near-prime</v>
      </c>
      <c r="M515" s="19" t="n">
        <f aca="false">IF(K515&lt;=Inputs!$C$19,1,0)</f>
        <v>1</v>
      </c>
      <c r="N515" s="19" t="n">
        <f aca="false">IF(F515&lt;=Inputs!$C$20,1,0)</f>
        <v>1</v>
      </c>
      <c r="O515" s="19" t="n">
        <f aca="false">IF(J515&lt;=Inputs!$C$21,1,0)</f>
        <v>1</v>
      </c>
      <c r="P515" s="19" t="n">
        <f aca="false">IF(D515&gt;=Inputs!$C$22,1,0)</f>
        <v>1</v>
      </c>
      <c r="Q515" s="19" t="n">
        <f aca="false">IF(I515&lt;=Inputs!$C$23,1,0)</f>
        <v>1</v>
      </c>
      <c r="R515" s="19" t="n">
        <f aca="false">M515*N515*O515*P515*Q515</f>
        <v>1</v>
      </c>
      <c r="S515" s="14" t="n">
        <f aca="false">I515*R515</f>
        <v>18855.74</v>
      </c>
      <c r="T515" s="19" t="n">
        <f aca="false">IF(F515&gt;72,1,0)</f>
        <v>1</v>
      </c>
      <c r="U515" s="19" t="n">
        <f aca="false">IF(J515&gt;1.25,1,0)</f>
        <v>0</v>
      </c>
    </row>
    <row r="516" customFormat="false" ht="15" hidden="false" customHeight="false" outlineLevel="0" collapsed="false">
      <c r="B516" s="13" t="s">
        <v>736</v>
      </c>
      <c r="C516" s="13" t="s">
        <v>221</v>
      </c>
      <c r="D516" s="19" t="n">
        <v>647</v>
      </c>
      <c r="E516" s="23" t="n">
        <v>0.2158</v>
      </c>
      <c r="F516" s="19" t="n">
        <v>60</v>
      </c>
      <c r="G516" s="19" t="n">
        <v>5</v>
      </c>
      <c r="H516" s="14" t="n">
        <v>30910</v>
      </c>
      <c r="I516" s="14" t="n">
        <v>29404.46</v>
      </c>
      <c r="J516" s="24" t="n">
        <v>1.34</v>
      </c>
      <c r="K516" s="19" t="n">
        <v>0</v>
      </c>
      <c r="L516" s="13" t="str">
        <f aca="false">IF(D516&gt;=Inputs!$C$14,"Near-prime","Non-prime")</f>
        <v>Near-prime</v>
      </c>
      <c r="M516" s="19" t="n">
        <f aca="false">IF(K516&lt;=Inputs!$C$19,1,0)</f>
        <v>1</v>
      </c>
      <c r="N516" s="19" t="n">
        <f aca="false">IF(F516&lt;=Inputs!$C$20,1,0)</f>
        <v>1</v>
      </c>
      <c r="O516" s="19" t="n">
        <f aca="false">IF(J516&lt;=Inputs!$C$21,1,0)</f>
        <v>1</v>
      </c>
      <c r="P516" s="19" t="n">
        <f aca="false">IF(D516&gt;=Inputs!$C$22,1,0)</f>
        <v>1</v>
      </c>
      <c r="Q516" s="19" t="n">
        <f aca="false">IF(I516&lt;=Inputs!$C$23,1,0)</f>
        <v>1</v>
      </c>
      <c r="R516" s="19" t="n">
        <f aca="false">M516*N516*O516*P516*Q516</f>
        <v>1</v>
      </c>
      <c r="S516" s="14" t="n">
        <f aca="false">I516*R516</f>
        <v>29404.46</v>
      </c>
      <c r="T516" s="19" t="n">
        <f aca="false">IF(F516&gt;72,1,0)</f>
        <v>0</v>
      </c>
      <c r="U516" s="19" t="n">
        <f aca="false">IF(J516&gt;1.25,1,0)</f>
        <v>1</v>
      </c>
    </row>
    <row r="517" customFormat="false" ht="15" hidden="false" customHeight="false" outlineLevel="0" collapsed="false">
      <c r="B517" s="13" t="s">
        <v>737</v>
      </c>
      <c r="C517" s="13" t="s">
        <v>221</v>
      </c>
      <c r="D517" s="19" t="n">
        <v>720</v>
      </c>
      <c r="E517" s="23" t="n">
        <v>0.184</v>
      </c>
      <c r="F517" s="19" t="n">
        <v>60</v>
      </c>
      <c r="G517" s="19" t="n">
        <v>1</v>
      </c>
      <c r="H517" s="14" t="n">
        <v>20410</v>
      </c>
      <c r="I517" s="14" t="n">
        <v>20200.22</v>
      </c>
      <c r="J517" s="24" t="n">
        <v>0.809</v>
      </c>
      <c r="K517" s="19" t="n">
        <v>0</v>
      </c>
      <c r="L517" s="13" t="str">
        <f aca="false">IF(D517&gt;=Inputs!$C$14,"Near-prime","Non-prime")</f>
        <v>Near-prime</v>
      </c>
      <c r="M517" s="19" t="n">
        <f aca="false">IF(K517&lt;=Inputs!$C$19,1,0)</f>
        <v>1</v>
      </c>
      <c r="N517" s="19" t="n">
        <f aca="false">IF(F517&lt;=Inputs!$C$20,1,0)</f>
        <v>1</v>
      </c>
      <c r="O517" s="19" t="n">
        <f aca="false">IF(J517&lt;=Inputs!$C$21,1,0)</f>
        <v>1</v>
      </c>
      <c r="P517" s="19" t="n">
        <f aca="false">IF(D517&gt;=Inputs!$C$22,1,0)</f>
        <v>1</v>
      </c>
      <c r="Q517" s="19" t="n">
        <f aca="false">IF(I517&lt;=Inputs!$C$23,1,0)</f>
        <v>1</v>
      </c>
      <c r="R517" s="19" t="n">
        <f aca="false">M517*N517*O517*P517*Q517</f>
        <v>1</v>
      </c>
      <c r="S517" s="14" t="n">
        <f aca="false">I517*R517</f>
        <v>20200.22</v>
      </c>
      <c r="T517" s="19" t="n">
        <f aca="false">IF(F517&gt;72,1,0)</f>
        <v>0</v>
      </c>
      <c r="U517" s="19" t="n">
        <f aca="false">IF(J517&gt;1.25,1,0)</f>
        <v>0</v>
      </c>
    </row>
    <row r="518" customFormat="false" ht="15" hidden="false" customHeight="false" outlineLevel="0" collapsed="false">
      <c r="B518" s="13" t="s">
        <v>738</v>
      </c>
      <c r="C518" s="13" t="s">
        <v>233</v>
      </c>
      <c r="D518" s="19" t="n">
        <v>639</v>
      </c>
      <c r="E518" s="23" t="n">
        <v>0.2113</v>
      </c>
      <c r="F518" s="19" t="n">
        <v>84</v>
      </c>
      <c r="G518" s="19" t="n">
        <v>8</v>
      </c>
      <c r="H518" s="14" t="n">
        <v>18920</v>
      </c>
      <c r="I518" s="14" t="n">
        <v>18069.27</v>
      </c>
      <c r="J518" s="24" t="n">
        <v>0.966</v>
      </c>
      <c r="K518" s="19" t="n">
        <v>0</v>
      </c>
      <c r="L518" s="13" t="str">
        <f aca="false">IF(D518&gt;=Inputs!$C$14,"Near-prime","Non-prime")</f>
        <v>Near-prime</v>
      </c>
      <c r="M518" s="19" t="n">
        <f aca="false">IF(K518&lt;=Inputs!$C$19,1,0)</f>
        <v>1</v>
      </c>
      <c r="N518" s="19" t="n">
        <f aca="false">IF(F518&lt;=Inputs!$C$20,1,0)</f>
        <v>0</v>
      </c>
      <c r="O518" s="19" t="n">
        <f aca="false">IF(J518&lt;=Inputs!$C$21,1,0)</f>
        <v>1</v>
      </c>
      <c r="P518" s="19" t="n">
        <f aca="false">IF(D518&gt;=Inputs!$C$22,1,0)</f>
        <v>1</v>
      </c>
      <c r="Q518" s="19" t="n">
        <f aca="false">IF(I518&lt;=Inputs!$C$23,1,0)</f>
        <v>1</v>
      </c>
      <c r="R518" s="19" t="n">
        <f aca="false">M518*N518*O518*P518*Q518</f>
        <v>0</v>
      </c>
      <c r="S518" s="14" t="n">
        <f aca="false">I518*R518</f>
        <v>0</v>
      </c>
      <c r="T518" s="19" t="n">
        <f aca="false">IF(F518&gt;72,1,0)</f>
        <v>1</v>
      </c>
      <c r="U518" s="19" t="n">
        <f aca="false">IF(J518&gt;1.25,1,0)</f>
        <v>0</v>
      </c>
    </row>
    <row r="519" customFormat="false" ht="15" hidden="false" customHeight="false" outlineLevel="0" collapsed="false">
      <c r="B519" s="13" t="s">
        <v>739</v>
      </c>
      <c r="C519" s="13" t="s">
        <v>217</v>
      </c>
      <c r="D519" s="19" t="n">
        <v>575</v>
      </c>
      <c r="E519" s="23" t="n">
        <v>0.241</v>
      </c>
      <c r="F519" s="19" t="n">
        <v>75</v>
      </c>
      <c r="G519" s="19" t="n">
        <v>6</v>
      </c>
      <c r="H519" s="14" t="n">
        <v>17000</v>
      </c>
      <c r="I519" s="14" t="n">
        <v>16374.34</v>
      </c>
      <c r="J519" s="24" t="n">
        <v>1.05</v>
      </c>
      <c r="K519" s="19" t="n">
        <v>0</v>
      </c>
      <c r="L519" s="13" t="str">
        <f aca="false">IF(D519&gt;=Inputs!$C$14,"Near-prime","Non-prime")</f>
        <v>Non-prime</v>
      </c>
      <c r="M519" s="19" t="n">
        <f aca="false">IF(K519&lt;=Inputs!$C$19,1,0)</f>
        <v>1</v>
      </c>
      <c r="N519" s="19" t="n">
        <f aca="false">IF(F519&lt;=Inputs!$C$20,1,0)</f>
        <v>1</v>
      </c>
      <c r="O519" s="19" t="n">
        <f aca="false">IF(J519&lt;=Inputs!$C$21,1,0)</f>
        <v>1</v>
      </c>
      <c r="P519" s="19" t="n">
        <f aca="false">IF(D519&gt;=Inputs!$C$22,1,0)</f>
        <v>1</v>
      </c>
      <c r="Q519" s="19" t="n">
        <f aca="false">IF(I519&lt;=Inputs!$C$23,1,0)</f>
        <v>1</v>
      </c>
      <c r="R519" s="19" t="n">
        <f aca="false">M519*N519*O519*P519*Q519</f>
        <v>1</v>
      </c>
      <c r="S519" s="14" t="n">
        <f aca="false">I519*R519</f>
        <v>16374.34</v>
      </c>
      <c r="T519" s="19" t="n">
        <f aca="false">IF(F519&gt;72,1,0)</f>
        <v>1</v>
      </c>
      <c r="U519" s="19" t="n">
        <f aca="false">IF(J519&gt;1.25,1,0)</f>
        <v>0</v>
      </c>
    </row>
    <row r="520" customFormat="false" ht="15" hidden="false" customHeight="false" outlineLevel="0" collapsed="false">
      <c r="B520" s="13" t="s">
        <v>740</v>
      </c>
      <c r="C520" s="13" t="s">
        <v>252</v>
      </c>
      <c r="D520" s="19" t="n">
        <v>641</v>
      </c>
      <c r="E520" s="23" t="n">
        <v>0.2115</v>
      </c>
      <c r="F520" s="19" t="n">
        <v>60</v>
      </c>
      <c r="G520" s="19" t="n">
        <v>0</v>
      </c>
      <c r="H520" s="14" t="n">
        <v>16850</v>
      </c>
      <c r="I520" s="14" t="n">
        <v>16850</v>
      </c>
      <c r="J520" s="24" t="n">
        <v>0.98</v>
      </c>
      <c r="K520" s="19" t="n">
        <v>0</v>
      </c>
      <c r="L520" s="13" t="str">
        <f aca="false">IF(D520&gt;=Inputs!$C$14,"Near-prime","Non-prime")</f>
        <v>Near-prime</v>
      </c>
      <c r="M520" s="19" t="n">
        <f aca="false">IF(K520&lt;=Inputs!$C$19,1,0)</f>
        <v>1</v>
      </c>
      <c r="N520" s="19" t="n">
        <f aca="false">IF(F520&lt;=Inputs!$C$20,1,0)</f>
        <v>1</v>
      </c>
      <c r="O520" s="19" t="n">
        <f aca="false">IF(J520&lt;=Inputs!$C$21,1,0)</f>
        <v>1</v>
      </c>
      <c r="P520" s="19" t="n">
        <f aca="false">IF(D520&gt;=Inputs!$C$22,1,0)</f>
        <v>1</v>
      </c>
      <c r="Q520" s="19" t="n">
        <f aca="false">IF(I520&lt;=Inputs!$C$23,1,0)</f>
        <v>1</v>
      </c>
      <c r="R520" s="19" t="n">
        <f aca="false">M520*N520*O520*P520*Q520</f>
        <v>1</v>
      </c>
      <c r="S520" s="14" t="n">
        <f aca="false">I520*R520</f>
        <v>16850</v>
      </c>
      <c r="T520" s="19" t="n">
        <f aca="false">IF(F520&gt;72,1,0)</f>
        <v>0</v>
      </c>
      <c r="U520" s="19" t="n">
        <f aca="false">IF(J520&gt;1.25,1,0)</f>
        <v>0</v>
      </c>
    </row>
    <row r="521" customFormat="false" ht="15" hidden="false" customHeight="false" outlineLevel="0" collapsed="false">
      <c r="B521" s="13" t="s">
        <v>741</v>
      </c>
      <c r="C521" s="13" t="s">
        <v>233</v>
      </c>
      <c r="D521" s="19" t="n">
        <v>701</v>
      </c>
      <c r="E521" s="23" t="n">
        <v>0.1913</v>
      </c>
      <c r="F521" s="19" t="n">
        <v>60</v>
      </c>
      <c r="G521" s="19" t="n">
        <v>4</v>
      </c>
      <c r="H521" s="14" t="n">
        <v>16560</v>
      </c>
      <c r="I521" s="14" t="n">
        <v>15876.81</v>
      </c>
      <c r="J521" s="24" t="n">
        <v>1.398</v>
      </c>
      <c r="K521" s="19" t="n">
        <v>0</v>
      </c>
      <c r="L521" s="13" t="str">
        <f aca="false">IF(D521&gt;=Inputs!$C$14,"Near-prime","Non-prime")</f>
        <v>Near-prime</v>
      </c>
      <c r="M521" s="19" t="n">
        <f aca="false">IF(K521&lt;=Inputs!$C$19,1,0)</f>
        <v>1</v>
      </c>
      <c r="N521" s="19" t="n">
        <f aca="false">IF(F521&lt;=Inputs!$C$20,1,0)</f>
        <v>1</v>
      </c>
      <c r="O521" s="19" t="n">
        <f aca="false">IF(J521&lt;=Inputs!$C$21,1,0)</f>
        <v>1</v>
      </c>
      <c r="P521" s="19" t="n">
        <f aca="false">IF(D521&gt;=Inputs!$C$22,1,0)</f>
        <v>1</v>
      </c>
      <c r="Q521" s="19" t="n">
        <f aca="false">IF(I521&lt;=Inputs!$C$23,1,0)</f>
        <v>1</v>
      </c>
      <c r="R521" s="19" t="n">
        <f aca="false">M521*N521*O521*P521*Q521</f>
        <v>1</v>
      </c>
      <c r="S521" s="14" t="n">
        <f aca="false">I521*R521</f>
        <v>15876.81</v>
      </c>
      <c r="T521" s="19" t="n">
        <f aca="false">IF(F521&gt;72,1,0)</f>
        <v>0</v>
      </c>
      <c r="U521" s="19" t="n">
        <f aca="false">IF(J521&gt;1.25,1,0)</f>
        <v>1</v>
      </c>
    </row>
    <row r="522" customFormat="false" ht="15" hidden="false" customHeight="false" outlineLevel="0" collapsed="false">
      <c r="B522" s="13" t="s">
        <v>742</v>
      </c>
      <c r="C522" s="13" t="s">
        <v>221</v>
      </c>
      <c r="D522" s="19" t="n">
        <v>654</v>
      </c>
      <c r="E522" s="23" t="n">
        <v>0.2044</v>
      </c>
      <c r="F522" s="19" t="n">
        <v>72</v>
      </c>
      <c r="G522" s="19" t="n">
        <v>5</v>
      </c>
      <c r="H522" s="14" t="n">
        <v>18800</v>
      </c>
      <c r="I522" s="14" t="n">
        <v>18102.16</v>
      </c>
      <c r="J522" s="24" t="n">
        <v>0.976</v>
      </c>
      <c r="K522" s="19" t="n">
        <v>0</v>
      </c>
      <c r="L522" s="13" t="str">
        <f aca="false">IF(D522&gt;=Inputs!$C$14,"Near-prime","Non-prime")</f>
        <v>Near-prime</v>
      </c>
      <c r="M522" s="19" t="n">
        <f aca="false">IF(K522&lt;=Inputs!$C$19,1,0)</f>
        <v>1</v>
      </c>
      <c r="N522" s="19" t="n">
        <f aca="false">IF(F522&lt;=Inputs!$C$20,1,0)</f>
        <v>1</v>
      </c>
      <c r="O522" s="19" t="n">
        <f aca="false">IF(J522&lt;=Inputs!$C$21,1,0)</f>
        <v>1</v>
      </c>
      <c r="P522" s="19" t="n">
        <f aca="false">IF(D522&gt;=Inputs!$C$22,1,0)</f>
        <v>1</v>
      </c>
      <c r="Q522" s="19" t="n">
        <f aca="false">IF(I522&lt;=Inputs!$C$23,1,0)</f>
        <v>1</v>
      </c>
      <c r="R522" s="19" t="n">
        <f aca="false">M522*N522*O522*P522*Q522</f>
        <v>1</v>
      </c>
      <c r="S522" s="14" t="n">
        <f aca="false">I522*R522</f>
        <v>18102.16</v>
      </c>
      <c r="T522" s="19" t="n">
        <f aca="false">IF(F522&gt;72,1,0)</f>
        <v>0</v>
      </c>
      <c r="U522" s="19" t="n">
        <f aca="false">IF(J522&gt;1.25,1,0)</f>
        <v>0</v>
      </c>
    </row>
    <row r="523" customFormat="false" ht="15" hidden="false" customHeight="false" outlineLevel="0" collapsed="false">
      <c r="B523" s="13" t="s">
        <v>743</v>
      </c>
      <c r="C523" s="13" t="s">
        <v>252</v>
      </c>
      <c r="D523" s="19" t="n">
        <v>618</v>
      </c>
      <c r="E523" s="23" t="n">
        <v>0.2309</v>
      </c>
      <c r="F523" s="19" t="n">
        <v>72</v>
      </c>
      <c r="G523" s="19" t="n">
        <v>2</v>
      </c>
      <c r="H523" s="14" t="n">
        <v>39300</v>
      </c>
      <c r="I523" s="14" t="n">
        <v>38781.37</v>
      </c>
      <c r="J523" s="24" t="n">
        <v>1.388</v>
      </c>
      <c r="K523" s="19" t="n">
        <v>30</v>
      </c>
      <c r="L523" s="13" t="str">
        <f aca="false">IF(D523&gt;=Inputs!$C$14,"Near-prime","Non-prime")</f>
        <v>Non-prime</v>
      </c>
      <c r="M523" s="19" t="n">
        <f aca="false">IF(K523&lt;=Inputs!$C$19,1,0)</f>
        <v>1</v>
      </c>
      <c r="N523" s="19" t="n">
        <f aca="false">IF(F523&lt;=Inputs!$C$20,1,0)</f>
        <v>1</v>
      </c>
      <c r="O523" s="19" t="n">
        <f aca="false">IF(J523&lt;=Inputs!$C$21,1,0)</f>
        <v>1</v>
      </c>
      <c r="P523" s="19" t="n">
        <f aca="false">IF(D523&gt;=Inputs!$C$22,1,0)</f>
        <v>1</v>
      </c>
      <c r="Q523" s="19" t="n">
        <f aca="false">IF(I523&lt;=Inputs!$C$23,1,0)</f>
        <v>1</v>
      </c>
      <c r="R523" s="19" t="n">
        <f aca="false">M523*N523*O523*P523*Q523</f>
        <v>1</v>
      </c>
      <c r="S523" s="14" t="n">
        <f aca="false">I523*R523</f>
        <v>38781.37</v>
      </c>
      <c r="T523" s="19" t="n">
        <f aca="false">IF(F523&gt;72,1,0)</f>
        <v>0</v>
      </c>
      <c r="U523" s="19" t="n">
        <f aca="false">IF(J523&gt;1.25,1,0)</f>
        <v>1</v>
      </c>
    </row>
    <row r="524" customFormat="false" ht="15" hidden="false" customHeight="false" outlineLevel="0" collapsed="false">
      <c r="B524" s="13" t="s">
        <v>744</v>
      </c>
      <c r="C524" s="13" t="s">
        <v>252</v>
      </c>
      <c r="D524" s="19" t="n">
        <v>650</v>
      </c>
      <c r="E524" s="23" t="n">
        <v>0.1903</v>
      </c>
      <c r="F524" s="19" t="n">
        <v>72</v>
      </c>
      <c r="G524" s="19" t="n">
        <v>8</v>
      </c>
      <c r="H524" s="14" t="n">
        <v>23800</v>
      </c>
      <c r="I524" s="14" t="n">
        <v>22283.02</v>
      </c>
      <c r="J524" s="24" t="n">
        <v>0.6</v>
      </c>
      <c r="K524" s="19" t="n">
        <v>0</v>
      </c>
      <c r="L524" s="13" t="str">
        <f aca="false">IF(D524&gt;=Inputs!$C$14,"Near-prime","Non-prime")</f>
        <v>Near-prime</v>
      </c>
      <c r="M524" s="19" t="n">
        <f aca="false">IF(K524&lt;=Inputs!$C$19,1,0)</f>
        <v>1</v>
      </c>
      <c r="N524" s="19" t="n">
        <f aca="false">IF(F524&lt;=Inputs!$C$20,1,0)</f>
        <v>1</v>
      </c>
      <c r="O524" s="19" t="n">
        <f aca="false">IF(J524&lt;=Inputs!$C$21,1,0)</f>
        <v>1</v>
      </c>
      <c r="P524" s="19" t="n">
        <f aca="false">IF(D524&gt;=Inputs!$C$22,1,0)</f>
        <v>1</v>
      </c>
      <c r="Q524" s="19" t="n">
        <f aca="false">IF(I524&lt;=Inputs!$C$23,1,0)</f>
        <v>1</v>
      </c>
      <c r="R524" s="19" t="n">
        <f aca="false">M524*N524*O524*P524*Q524</f>
        <v>1</v>
      </c>
      <c r="S524" s="14" t="n">
        <f aca="false">I524*R524</f>
        <v>22283.02</v>
      </c>
      <c r="T524" s="19" t="n">
        <f aca="false">IF(F524&gt;72,1,0)</f>
        <v>0</v>
      </c>
      <c r="U524" s="19" t="n">
        <f aca="false">IF(J524&gt;1.25,1,0)</f>
        <v>0</v>
      </c>
    </row>
    <row r="525" customFormat="false" ht="15" hidden="false" customHeight="false" outlineLevel="0" collapsed="false">
      <c r="B525" s="13" t="s">
        <v>745</v>
      </c>
      <c r="C525" s="13" t="s">
        <v>217</v>
      </c>
      <c r="D525" s="19" t="n">
        <v>665</v>
      </c>
      <c r="E525" s="23" t="n">
        <v>0.2257</v>
      </c>
      <c r="F525" s="19" t="n">
        <v>72</v>
      </c>
      <c r="G525" s="19" t="n">
        <v>7</v>
      </c>
      <c r="H525" s="14" t="n">
        <v>44130</v>
      </c>
      <c r="I525" s="14" t="n">
        <v>41953.77</v>
      </c>
      <c r="J525" s="24" t="n">
        <v>0.727</v>
      </c>
      <c r="K525" s="19" t="n">
        <v>0</v>
      </c>
      <c r="L525" s="13" t="str">
        <f aca="false">IF(D525&gt;=Inputs!$C$14,"Near-prime","Non-prime")</f>
        <v>Near-prime</v>
      </c>
      <c r="M525" s="19" t="n">
        <f aca="false">IF(K525&lt;=Inputs!$C$19,1,0)</f>
        <v>1</v>
      </c>
      <c r="N525" s="19" t="n">
        <f aca="false">IF(F525&lt;=Inputs!$C$20,1,0)</f>
        <v>1</v>
      </c>
      <c r="O525" s="19" t="n">
        <f aca="false">IF(J525&lt;=Inputs!$C$21,1,0)</f>
        <v>1</v>
      </c>
      <c r="P525" s="19" t="n">
        <f aca="false">IF(D525&gt;=Inputs!$C$22,1,0)</f>
        <v>1</v>
      </c>
      <c r="Q525" s="19" t="n">
        <f aca="false">IF(I525&lt;=Inputs!$C$23,1,0)</f>
        <v>1</v>
      </c>
      <c r="R525" s="19" t="n">
        <f aca="false">M525*N525*O525*P525*Q525</f>
        <v>1</v>
      </c>
      <c r="S525" s="14" t="n">
        <f aca="false">I525*R525</f>
        <v>41953.77</v>
      </c>
      <c r="T525" s="19" t="n">
        <f aca="false">IF(F525&gt;72,1,0)</f>
        <v>0</v>
      </c>
      <c r="U525" s="19" t="n">
        <f aca="false">IF(J525&gt;1.25,1,0)</f>
        <v>0</v>
      </c>
    </row>
    <row r="526" customFormat="false" ht="15" hidden="false" customHeight="false" outlineLevel="0" collapsed="false">
      <c r="B526" s="13" t="s">
        <v>746</v>
      </c>
      <c r="C526" s="13" t="s">
        <v>237</v>
      </c>
      <c r="D526" s="19" t="n">
        <v>655</v>
      </c>
      <c r="E526" s="23" t="n">
        <v>0.2017</v>
      </c>
      <c r="F526" s="19" t="n">
        <v>66</v>
      </c>
      <c r="G526" s="19" t="n">
        <v>0</v>
      </c>
      <c r="H526" s="14" t="n">
        <v>12680</v>
      </c>
      <c r="I526" s="14" t="n">
        <v>12680</v>
      </c>
      <c r="J526" s="24" t="n">
        <v>1.09</v>
      </c>
      <c r="K526" s="19" t="n">
        <v>0</v>
      </c>
      <c r="L526" s="13" t="str">
        <f aca="false">IF(D526&gt;=Inputs!$C$14,"Near-prime","Non-prime")</f>
        <v>Near-prime</v>
      </c>
      <c r="M526" s="19" t="n">
        <f aca="false">IF(K526&lt;=Inputs!$C$19,1,0)</f>
        <v>1</v>
      </c>
      <c r="N526" s="19" t="n">
        <f aca="false">IF(F526&lt;=Inputs!$C$20,1,0)</f>
        <v>1</v>
      </c>
      <c r="O526" s="19" t="n">
        <f aca="false">IF(J526&lt;=Inputs!$C$21,1,0)</f>
        <v>1</v>
      </c>
      <c r="P526" s="19" t="n">
        <f aca="false">IF(D526&gt;=Inputs!$C$22,1,0)</f>
        <v>1</v>
      </c>
      <c r="Q526" s="19" t="n">
        <f aca="false">IF(I526&lt;=Inputs!$C$23,1,0)</f>
        <v>1</v>
      </c>
      <c r="R526" s="19" t="n">
        <f aca="false">M526*N526*O526*P526*Q526</f>
        <v>1</v>
      </c>
      <c r="S526" s="14" t="n">
        <f aca="false">I526*R526</f>
        <v>12680</v>
      </c>
      <c r="T526" s="19" t="n">
        <f aca="false">IF(F526&gt;72,1,0)</f>
        <v>0</v>
      </c>
      <c r="U526" s="19" t="n">
        <f aca="false">IF(J526&gt;1.25,1,0)</f>
        <v>0</v>
      </c>
    </row>
    <row r="527" customFormat="false" ht="15" hidden="false" customHeight="false" outlineLevel="0" collapsed="false">
      <c r="B527" s="13" t="s">
        <v>747</v>
      </c>
      <c r="C527" s="13" t="s">
        <v>228</v>
      </c>
      <c r="D527" s="19" t="n">
        <v>663</v>
      </c>
      <c r="E527" s="23" t="n">
        <v>0.2009</v>
      </c>
      <c r="F527" s="19" t="n">
        <v>66</v>
      </c>
      <c r="G527" s="19" t="n">
        <v>9</v>
      </c>
      <c r="H527" s="14" t="n">
        <v>31250</v>
      </c>
      <c r="I527" s="14" t="n">
        <v>28721.08</v>
      </c>
      <c r="J527" s="24" t="n">
        <v>0.883</v>
      </c>
      <c r="K527" s="19" t="n">
        <v>0</v>
      </c>
      <c r="L527" s="13" t="str">
        <f aca="false">IF(D527&gt;=Inputs!$C$14,"Near-prime","Non-prime")</f>
        <v>Near-prime</v>
      </c>
      <c r="M527" s="19" t="n">
        <f aca="false">IF(K527&lt;=Inputs!$C$19,1,0)</f>
        <v>1</v>
      </c>
      <c r="N527" s="19" t="n">
        <f aca="false">IF(F527&lt;=Inputs!$C$20,1,0)</f>
        <v>1</v>
      </c>
      <c r="O527" s="19" t="n">
        <f aca="false">IF(J527&lt;=Inputs!$C$21,1,0)</f>
        <v>1</v>
      </c>
      <c r="P527" s="19" t="n">
        <f aca="false">IF(D527&gt;=Inputs!$C$22,1,0)</f>
        <v>1</v>
      </c>
      <c r="Q527" s="19" t="n">
        <f aca="false">IF(I527&lt;=Inputs!$C$23,1,0)</f>
        <v>1</v>
      </c>
      <c r="R527" s="19" t="n">
        <f aca="false">M527*N527*O527*P527*Q527</f>
        <v>1</v>
      </c>
      <c r="S527" s="14" t="n">
        <f aca="false">I527*R527</f>
        <v>28721.08</v>
      </c>
      <c r="T527" s="19" t="n">
        <f aca="false">IF(F527&gt;72,1,0)</f>
        <v>0</v>
      </c>
      <c r="U527" s="19" t="n">
        <f aca="false">IF(J527&gt;1.25,1,0)</f>
        <v>0</v>
      </c>
    </row>
    <row r="528" customFormat="false" ht="15" hidden="false" customHeight="false" outlineLevel="0" collapsed="false">
      <c r="B528" s="13" t="s">
        <v>748</v>
      </c>
      <c r="C528" s="13" t="s">
        <v>228</v>
      </c>
      <c r="D528" s="19" t="n">
        <v>667</v>
      </c>
      <c r="E528" s="23" t="n">
        <v>0.1965</v>
      </c>
      <c r="F528" s="19" t="n">
        <v>60</v>
      </c>
      <c r="G528" s="19" t="n">
        <v>2</v>
      </c>
      <c r="H528" s="14" t="n">
        <v>29900</v>
      </c>
      <c r="I528" s="14" t="n">
        <v>29301.65</v>
      </c>
      <c r="J528" s="24" t="n">
        <v>0.818</v>
      </c>
      <c r="K528" s="19" t="n">
        <v>0</v>
      </c>
      <c r="L528" s="13" t="str">
        <f aca="false">IF(D528&gt;=Inputs!$C$14,"Near-prime","Non-prime")</f>
        <v>Near-prime</v>
      </c>
      <c r="M528" s="19" t="n">
        <f aca="false">IF(K528&lt;=Inputs!$C$19,1,0)</f>
        <v>1</v>
      </c>
      <c r="N528" s="19" t="n">
        <f aca="false">IF(F528&lt;=Inputs!$C$20,1,0)</f>
        <v>1</v>
      </c>
      <c r="O528" s="19" t="n">
        <f aca="false">IF(J528&lt;=Inputs!$C$21,1,0)</f>
        <v>1</v>
      </c>
      <c r="P528" s="19" t="n">
        <f aca="false">IF(D528&gt;=Inputs!$C$22,1,0)</f>
        <v>1</v>
      </c>
      <c r="Q528" s="19" t="n">
        <f aca="false">IF(I528&lt;=Inputs!$C$23,1,0)</f>
        <v>1</v>
      </c>
      <c r="R528" s="19" t="n">
        <f aca="false">M528*N528*O528*P528*Q528</f>
        <v>1</v>
      </c>
      <c r="S528" s="14" t="n">
        <f aca="false">I528*R528</f>
        <v>29301.65</v>
      </c>
      <c r="T528" s="19" t="n">
        <f aca="false">IF(F528&gt;72,1,0)</f>
        <v>0</v>
      </c>
      <c r="U528" s="19" t="n">
        <f aca="false">IF(J528&gt;1.25,1,0)</f>
        <v>0</v>
      </c>
    </row>
    <row r="529" customFormat="false" ht="15" hidden="false" customHeight="false" outlineLevel="0" collapsed="false">
      <c r="B529" s="13" t="s">
        <v>749</v>
      </c>
      <c r="C529" s="13" t="s">
        <v>252</v>
      </c>
      <c r="D529" s="19" t="n">
        <v>703</v>
      </c>
      <c r="E529" s="23" t="n">
        <v>0.1964</v>
      </c>
      <c r="F529" s="19" t="n">
        <v>60</v>
      </c>
      <c r="G529" s="19" t="n">
        <v>8</v>
      </c>
      <c r="H529" s="14" t="n">
        <v>13090</v>
      </c>
      <c r="I529" s="14" t="n">
        <v>11988.87</v>
      </c>
      <c r="J529" s="24" t="n">
        <v>1.007</v>
      </c>
      <c r="K529" s="19" t="n">
        <v>45</v>
      </c>
      <c r="L529" s="13" t="str">
        <f aca="false">IF(D529&gt;=Inputs!$C$14,"Near-prime","Non-prime")</f>
        <v>Near-prime</v>
      </c>
      <c r="M529" s="19" t="n">
        <f aca="false">IF(K529&lt;=Inputs!$C$19,1,0)</f>
        <v>1</v>
      </c>
      <c r="N529" s="19" t="n">
        <f aca="false">IF(F529&lt;=Inputs!$C$20,1,0)</f>
        <v>1</v>
      </c>
      <c r="O529" s="19" t="n">
        <f aca="false">IF(J529&lt;=Inputs!$C$21,1,0)</f>
        <v>1</v>
      </c>
      <c r="P529" s="19" t="n">
        <f aca="false">IF(D529&gt;=Inputs!$C$22,1,0)</f>
        <v>1</v>
      </c>
      <c r="Q529" s="19" t="n">
        <f aca="false">IF(I529&lt;=Inputs!$C$23,1,0)</f>
        <v>1</v>
      </c>
      <c r="R529" s="19" t="n">
        <f aca="false">M529*N529*O529*P529*Q529</f>
        <v>1</v>
      </c>
      <c r="S529" s="14" t="n">
        <f aca="false">I529*R529</f>
        <v>11988.87</v>
      </c>
      <c r="T529" s="19" t="n">
        <f aca="false">IF(F529&gt;72,1,0)</f>
        <v>0</v>
      </c>
      <c r="U529" s="19" t="n">
        <f aca="false">IF(J529&gt;1.25,1,0)</f>
        <v>0</v>
      </c>
    </row>
    <row r="530" customFormat="false" ht="15" hidden="false" customHeight="false" outlineLevel="0" collapsed="false">
      <c r="B530" s="13" t="s">
        <v>750</v>
      </c>
      <c r="C530" s="13" t="s">
        <v>223</v>
      </c>
      <c r="D530" s="19" t="n">
        <v>654</v>
      </c>
      <c r="E530" s="23" t="n">
        <v>0.2063</v>
      </c>
      <c r="F530" s="19" t="n">
        <v>60</v>
      </c>
      <c r="G530" s="19" t="n">
        <v>7</v>
      </c>
      <c r="H530" s="14" t="n">
        <v>25090</v>
      </c>
      <c r="I530" s="14" t="n">
        <v>23304.48</v>
      </c>
      <c r="J530" s="24" t="n">
        <v>0.982</v>
      </c>
      <c r="K530" s="19" t="n">
        <v>30</v>
      </c>
      <c r="L530" s="13" t="str">
        <f aca="false">IF(D530&gt;=Inputs!$C$14,"Near-prime","Non-prime")</f>
        <v>Near-prime</v>
      </c>
      <c r="M530" s="19" t="n">
        <f aca="false">IF(K530&lt;=Inputs!$C$19,1,0)</f>
        <v>1</v>
      </c>
      <c r="N530" s="19" t="n">
        <f aca="false">IF(F530&lt;=Inputs!$C$20,1,0)</f>
        <v>1</v>
      </c>
      <c r="O530" s="19" t="n">
        <f aca="false">IF(J530&lt;=Inputs!$C$21,1,0)</f>
        <v>1</v>
      </c>
      <c r="P530" s="19" t="n">
        <f aca="false">IF(D530&gt;=Inputs!$C$22,1,0)</f>
        <v>1</v>
      </c>
      <c r="Q530" s="19" t="n">
        <f aca="false">IF(I530&lt;=Inputs!$C$23,1,0)</f>
        <v>1</v>
      </c>
      <c r="R530" s="19" t="n">
        <f aca="false">M530*N530*O530*P530*Q530</f>
        <v>1</v>
      </c>
      <c r="S530" s="14" t="n">
        <f aca="false">I530*R530</f>
        <v>23304.48</v>
      </c>
      <c r="T530" s="19" t="n">
        <f aca="false">IF(F530&gt;72,1,0)</f>
        <v>0</v>
      </c>
      <c r="U530" s="19" t="n">
        <f aca="false">IF(J530&gt;1.25,1,0)</f>
        <v>0</v>
      </c>
    </row>
    <row r="531" customFormat="false" ht="15" hidden="false" customHeight="false" outlineLevel="0" collapsed="false">
      <c r="B531" s="13" t="s">
        <v>751</v>
      </c>
      <c r="C531" s="13" t="s">
        <v>219</v>
      </c>
      <c r="D531" s="19" t="n">
        <v>640</v>
      </c>
      <c r="E531" s="23" t="n">
        <v>0.2133</v>
      </c>
      <c r="F531" s="19" t="n">
        <v>72</v>
      </c>
      <c r="G531" s="19" t="n">
        <v>8</v>
      </c>
      <c r="H531" s="14" t="n">
        <v>25140</v>
      </c>
      <c r="I531" s="14" t="n">
        <v>23651.03</v>
      </c>
      <c r="J531" s="24" t="n">
        <v>0.957</v>
      </c>
      <c r="K531" s="19" t="n">
        <v>0</v>
      </c>
      <c r="L531" s="13" t="str">
        <f aca="false">IF(D531&gt;=Inputs!$C$14,"Near-prime","Non-prime")</f>
        <v>Near-prime</v>
      </c>
      <c r="M531" s="19" t="n">
        <f aca="false">IF(K531&lt;=Inputs!$C$19,1,0)</f>
        <v>1</v>
      </c>
      <c r="N531" s="19" t="n">
        <f aca="false">IF(F531&lt;=Inputs!$C$20,1,0)</f>
        <v>1</v>
      </c>
      <c r="O531" s="19" t="n">
        <f aca="false">IF(J531&lt;=Inputs!$C$21,1,0)</f>
        <v>1</v>
      </c>
      <c r="P531" s="19" t="n">
        <f aca="false">IF(D531&gt;=Inputs!$C$22,1,0)</f>
        <v>1</v>
      </c>
      <c r="Q531" s="19" t="n">
        <f aca="false">IF(I531&lt;=Inputs!$C$23,1,0)</f>
        <v>1</v>
      </c>
      <c r="R531" s="19" t="n">
        <f aca="false">M531*N531*O531*P531*Q531</f>
        <v>1</v>
      </c>
      <c r="S531" s="14" t="n">
        <f aca="false">I531*R531</f>
        <v>23651.03</v>
      </c>
      <c r="T531" s="19" t="n">
        <f aca="false">IF(F531&gt;72,1,0)</f>
        <v>0</v>
      </c>
      <c r="U531" s="19" t="n">
        <f aca="false">IF(J531&gt;1.25,1,0)</f>
        <v>0</v>
      </c>
    </row>
    <row r="532" customFormat="false" ht="15" hidden="false" customHeight="false" outlineLevel="0" collapsed="false">
      <c r="B532" s="13" t="s">
        <v>752</v>
      </c>
      <c r="C532" s="13" t="s">
        <v>228</v>
      </c>
      <c r="D532" s="19" t="n">
        <v>666</v>
      </c>
      <c r="E532" s="23" t="n">
        <v>0.1975</v>
      </c>
      <c r="F532" s="19" t="n">
        <v>84</v>
      </c>
      <c r="G532" s="19" t="n">
        <v>10</v>
      </c>
      <c r="H532" s="14" t="n">
        <v>27090</v>
      </c>
      <c r="I532" s="14" t="n">
        <v>25456.23</v>
      </c>
      <c r="J532" s="24" t="n">
        <v>0.971</v>
      </c>
      <c r="K532" s="19" t="n">
        <v>15</v>
      </c>
      <c r="L532" s="13" t="str">
        <f aca="false">IF(D532&gt;=Inputs!$C$14,"Near-prime","Non-prime")</f>
        <v>Near-prime</v>
      </c>
      <c r="M532" s="19" t="n">
        <f aca="false">IF(K532&lt;=Inputs!$C$19,1,0)</f>
        <v>1</v>
      </c>
      <c r="N532" s="19" t="n">
        <f aca="false">IF(F532&lt;=Inputs!$C$20,1,0)</f>
        <v>0</v>
      </c>
      <c r="O532" s="19" t="n">
        <f aca="false">IF(J532&lt;=Inputs!$C$21,1,0)</f>
        <v>1</v>
      </c>
      <c r="P532" s="19" t="n">
        <f aca="false">IF(D532&gt;=Inputs!$C$22,1,0)</f>
        <v>1</v>
      </c>
      <c r="Q532" s="19" t="n">
        <f aca="false">IF(I532&lt;=Inputs!$C$23,1,0)</f>
        <v>1</v>
      </c>
      <c r="R532" s="19" t="n">
        <f aca="false">M532*N532*O532*P532*Q532</f>
        <v>0</v>
      </c>
      <c r="S532" s="14" t="n">
        <f aca="false">I532*R532</f>
        <v>0</v>
      </c>
      <c r="T532" s="19" t="n">
        <f aca="false">IF(F532&gt;72,1,0)</f>
        <v>1</v>
      </c>
      <c r="U532" s="19" t="n">
        <f aca="false">IF(J532&gt;1.25,1,0)</f>
        <v>0</v>
      </c>
    </row>
    <row r="533" customFormat="false" ht="15" hidden="false" customHeight="false" outlineLevel="0" collapsed="false">
      <c r="B533" s="13" t="s">
        <v>753</v>
      </c>
      <c r="C533" s="13" t="s">
        <v>233</v>
      </c>
      <c r="D533" s="19" t="n">
        <v>678</v>
      </c>
      <c r="E533" s="23" t="n">
        <v>0.1861</v>
      </c>
      <c r="F533" s="19" t="n">
        <v>75</v>
      </c>
      <c r="G533" s="19" t="n">
        <v>5</v>
      </c>
      <c r="H533" s="14" t="n">
        <v>18960</v>
      </c>
      <c r="I533" s="14" t="n">
        <v>18261.63</v>
      </c>
      <c r="J533" s="24" t="n">
        <v>1.071</v>
      </c>
      <c r="K533" s="19" t="n">
        <v>45</v>
      </c>
      <c r="L533" s="13" t="str">
        <f aca="false">IF(D533&gt;=Inputs!$C$14,"Near-prime","Non-prime")</f>
        <v>Near-prime</v>
      </c>
      <c r="M533" s="19" t="n">
        <f aca="false">IF(K533&lt;=Inputs!$C$19,1,0)</f>
        <v>1</v>
      </c>
      <c r="N533" s="19" t="n">
        <f aca="false">IF(F533&lt;=Inputs!$C$20,1,0)</f>
        <v>1</v>
      </c>
      <c r="O533" s="19" t="n">
        <f aca="false">IF(J533&lt;=Inputs!$C$21,1,0)</f>
        <v>1</v>
      </c>
      <c r="P533" s="19" t="n">
        <f aca="false">IF(D533&gt;=Inputs!$C$22,1,0)</f>
        <v>1</v>
      </c>
      <c r="Q533" s="19" t="n">
        <f aca="false">IF(I533&lt;=Inputs!$C$23,1,0)</f>
        <v>1</v>
      </c>
      <c r="R533" s="19" t="n">
        <f aca="false">M533*N533*O533*P533*Q533</f>
        <v>1</v>
      </c>
      <c r="S533" s="14" t="n">
        <f aca="false">I533*R533</f>
        <v>18261.63</v>
      </c>
      <c r="T533" s="19" t="n">
        <f aca="false">IF(F533&gt;72,1,0)</f>
        <v>1</v>
      </c>
      <c r="U533" s="19" t="n">
        <f aca="false">IF(J533&gt;1.25,1,0)</f>
        <v>0</v>
      </c>
    </row>
    <row r="534" customFormat="false" ht="15" hidden="false" customHeight="false" outlineLevel="0" collapsed="false">
      <c r="B534" s="13" t="s">
        <v>754</v>
      </c>
      <c r="C534" s="13" t="s">
        <v>223</v>
      </c>
      <c r="D534" s="19" t="n">
        <v>557</v>
      </c>
      <c r="E534" s="23" t="n">
        <v>0.2185</v>
      </c>
      <c r="F534" s="19" t="n">
        <v>60</v>
      </c>
      <c r="G534" s="19" t="n">
        <v>4</v>
      </c>
      <c r="H534" s="14" t="n">
        <v>27580</v>
      </c>
      <c r="I534" s="14" t="n">
        <v>26522.79</v>
      </c>
      <c r="J534" s="24" t="n">
        <v>1.16</v>
      </c>
      <c r="K534" s="19" t="n">
        <v>0</v>
      </c>
      <c r="L534" s="13" t="str">
        <f aca="false">IF(D534&gt;=Inputs!$C$14,"Near-prime","Non-prime")</f>
        <v>Non-prime</v>
      </c>
      <c r="M534" s="19" t="n">
        <f aca="false">IF(K534&lt;=Inputs!$C$19,1,0)</f>
        <v>1</v>
      </c>
      <c r="N534" s="19" t="n">
        <f aca="false">IF(F534&lt;=Inputs!$C$20,1,0)</f>
        <v>1</v>
      </c>
      <c r="O534" s="19" t="n">
        <f aca="false">IF(J534&lt;=Inputs!$C$21,1,0)</f>
        <v>1</v>
      </c>
      <c r="P534" s="19" t="n">
        <f aca="false">IF(D534&gt;=Inputs!$C$22,1,0)</f>
        <v>1</v>
      </c>
      <c r="Q534" s="19" t="n">
        <f aca="false">IF(I534&lt;=Inputs!$C$23,1,0)</f>
        <v>1</v>
      </c>
      <c r="R534" s="19" t="n">
        <f aca="false">M534*N534*O534*P534*Q534</f>
        <v>1</v>
      </c>
      <c r="S534" s="14" t="n">
        <f aca="false">I534*R534</f>
        <v>26522.79</v>
      </c>
      <c r="T534" s="19" t="n">
        <f aca="false">IF(F534&gt;72,1,0)</f>
        <v>0</v>
      </c>
      <c r="U534" s="19" t="n">
        <f aca="false">IF(J534&gt;1.25,1,0)</f>
        <v>0</v>
      </c>
    </row>
    <row r="535" customFormat="false" ht="15" hidden="false" customHeight="false" outlineLevel="0" collapsed="false">
      <c r="B535" s="13" t="s">
        <v>755</v>
      </c>
      <c r="C535" s="13" t="s">
        <v>228</v>
      </c>
      <c r="D535" s="19" t="n">
        <v>707</v>
      </c>
      <c r="E535" s="23" t="n">
        <v>0.1812</v>
      </c>
      <c r="F535" s="19" t="n">
        <v>72</v>
      </c>
      <c r="G535" s="19" t="n">
        <v>9</v>
      </c>
      <c r="H535" s="14" t="n">
        <v>33750</v>
      </c>
      <c r="I535" s="14" t="n">
        <v>31240.34</v>
      </c>
      <c r="J535" s="24" t="n">
        <v>1.2</v>
      </c>
      <c r="K535" s="19" t="n">
        <v>0</v>
      </c>
      <c r="L535" s="13" t="str">
        <f aca="false">IF(D535&gt;=Inputs!$C$14,"Near-prime","Non-prime")</f>
        <v>Near-prime</v>
      </c>
      <c r="M535" s="19" t="n">
        <f aca="false">IF(K535&lt;=Inputs!$C$19,1,0)</f>
        <v>1</v>
      </c>
      <c r="N535" s="19" t="n">
        <f aca="false">IF(F535&lt;=Inputs!$C$20,1,0)</f>
        <v>1</v>
      </c>
      <c r="O535" s="19" t="n">
        <f aca="false">IF(J535&lt;=Inputs!$C$21,1,0)</f>
        <v>1</v>
      </c>
      <c r="P535" s="19" t="n">
        <f aca="false">IF(D535&gt;=Inputs!$C$22,1,0)</f>
        <v>1</v>
      </c>
      <c r="Q535" s="19" t="n">
        <f aca="false">IF(I535&lt;=Inputs!$C$23,1,0)</f>
        <v>1</v>
      </c>
      <c r="R535" s="19" t="n">
        <f aca="false">M535*N535*O535*P535*Q535</f>
        <v>1</v>
      </c>
      <c r="S535" s="14" t="n">
        <f aca="false">I535*R535</f>
        <v>31240.34</v>
      </c>
      <c r="T535" s="19" t="n">
        <f aca="false">IF(F535&gt;72,1,0)</f>
        <v>0</v>
      </c>
      <c r="U535" s="19" t="n">
        <f aca="false">IF(J535&gt;1.25,1,0)</f>
        <v>0</v>
      </c>
    </row>
    <row r="536" customFormat="false" ht="15" hidden="false" customHeight="false" outlineLevel="0" collapsed="false">
      <c r="B536" s="13" t="s">
        <v>756</v>
      </c>
      <c r="C536" s="13" t="s">
        <v>237</v>
      </c>
      <c r="D536" s="19" t="n">
        <v>736</v>
      </c>
      <c r="E536" s="23" t="n">
        <v>0.1695</v>
      </c>
      <c r="F536" s="19" t="n">
        <v>60</v>
      </c>
      <c r="G536" s="19" t="n">
        <v>9</v>
      </c>
      <c r="H536" s="14" t="n">
        <v>16540</v>
      </c>
      <c r="I536" s="14" t="n">
        <v>14854.06</v>
      </c>
      <c r="J536" s="24" t="n">
        <v>1.072</v>
      </c>
      <c r="K536" s="19" t="n">
        <v>15</v>
      </c>
      <c r="L536" s="13" t="str">
        <f aca="false">IF(D536&gt;=Inputs!$C$14,"Near-prime","Non-prime")</f>
        <v>Near-prime</v>
      </c>
      <c r="M536" s="19" t="n">
        <f aca="false">IF(K536&lt;=Inputs!$C$19,1,0)</f>
        <v>1</v>
      </c>
      <c r="N536" s="19" t="n">
        <f aca="false">IF(F536&lt;=Inputs!$C$20,1,0)</f>
        <v>1</v>
      </c>
      <c r="O536" s="19" t="n">
        <f aca="false">IF(J536&lt;=Inputs!$C$21,1,0)</f>
        <v>1</v>
      </c>
      <c r="P536" s="19" t="n">
        <f aca="false">IF(D536&gt;=Inputs!$C$22,1,0)</f>
        <v>1</v>
      </c>
      <c r="Q536" s="19" t="n">
        <f aca="false">IF(I536&lt;=Inputs!$C$23,1,0)</f>
        <v>1</v>
      </c>
      <c r="R536" s="19" t="n">
        <f aca="false">M536*N536*O536*P536*Q536</f>
        <v>1</v>
      </c>
      <c r="S536" s="14" t="n">
        <f aca="false">I536*R536</f>
        <v>14854.06</v>
      </c>
      <c r="T536" s="19" t="n">
        <f aca="false">IF(F536&gt;72,1,0)</f>
        <v>0</v>
      </c>
      <c r="U536" s="19" t="n">
        <f aca="false">IF(J536&gt;1.25,1,0)</f>
        <v>0</v>
      </c>
    </row>
    <row r="537" customFormat="false" ht="15" hidden="false" customHeight="false" outlineLevel="0" collapsed="false">
      <c r="B537" s="13" t="s">
        <v>757</v>
      </c>
      <c r="C537" s="13" t="s">
        <v>257</v>
      </c>
      <c r="D537" s="19" t="n">
        <v>649</v>
      </c>
      <c r="E537" s="23" t="n">
        <v>0.2116</v>
      </c>
      <c r="F537" s="19" t="n">
        <v>75</v>
      </c>
      <c r="G537" s="19" t="n">
        <v>10</v>
      </c>
      <c r="H537" s="14" t="n">
        <v>20560</v>
      </c>
      <c r="I537" s="14" t="n">
        <v>19110.79</v>
      </c>
      <c r="J537" s="24" t="n">
        <v>0.845</v>
      </c>
      <c r="K537" s="19" t="n">
        <v>0</v>
      </c>
      <c r="L537" s="13" t="str">
        <f aca="false">IF(D537&gt;=Inputs!$C$14,"Near-prime","Non-prime")</f>
        <v>Near-prime</v>
      </c>
      <c r="M537" s="19" t="n">
        <f aca="false">IF(K537&lt;=Inputs!$C$19,1,0)</f>
        <v>1</v>
      </c>
      <c r="N537" s="19" t="n">
        <f aca="false">IF(F537&lt;=Inputs!$C$20,1,0)</f>
        <v>1</v>
      </c>
      <c r="O537" s="19" t="n">
        <f aca="false">IF(J537&lt;=Inputs!$C$21,1,0)</f>
        <v>1</v>
      </c>
      <c r="P537" s="19" t="n">
        <f aca="false">IF(D537&gt;=Inputs!$C$22,1,0)</f>
        <v>1</v>
      </c>
      <c r="Q537" s="19" t="n">
        <f aca="false">IF(I537&lt;=Inputs!$C$23,1,0)</f>
        <v>1</v>
      </c>
      <c r="R537" s="19" t="n">
        <f aca="false">M537*N537*O537*P537*Q537</f>
        <v>1</v>
      </c>
      <c r="S537" s="14" t="n">
        <f aca="false">I537*R537</f>
        <v>19110.79</v>
      </c>
      <c r="T537" s="19" t="n">
        <f aca="false">IF(F537&gt;72,1,0)</f>
        <v>1</v>
      </c>
      <c r="U537" s="19" t="n">
        <f aca="false">IF(J537&gt;1.25,1,0)</f>
        <v>0</v>
      </c>
    </row>
    <row r="538" customFormat="false" ht="15" hidden="false" customHeight="false" outlineLevel="0" collapsed="false">
      <c r="B538" s="13" t="s">
        <v>758</v>
      </c>
      <c r="C538" s="13" t="s">
        <v>217</v>
      </c>
      <c r="D538" s="19" t="n">
        <v>680</v>
      </c>
      <c r="E538" s="23" t="n">
        <v>0.2049</v>
      </c>
      <c r="F538" s="19" t="n">
        <v>60</v>
      </c>
      <c r="G538" s="19" t="n">
        <v>6</v>
      </c>
      <c r="H538" s="14" t="n">
        <v>29120</v>
      </c>
      <c r="I538" s="14" t="n">
        <v>27352.61</v>
      </c>
      <c r="J538" s="24" t="n">
        <v>0.924</v>
      </c>
      <c r="K538" s="19" t="n">
        <v>0</v>
      </c>
      <c r="L538" s="13" t="str">
        <f aca="false">IF(D538&gt;=Inputs!$C$14,"Near-prime","Non-prime")</f>
        <v>Near-prime</v>
      </c>
      <c r="M538" s="19" t="n">
        <f aca="false">IF(K538&lt;=Inputs!$C$19,1,0)</f>
        <v>1</v>
      </c>
      <c r="N538" s="19" t="n">
        <f aca="false">IF(F538&lt;=Inputs!$C$20,1,0)</f>
        <v>1</v>
      </c>
      <c r="O538" s="19" t="n">
        <f aca="false">IF(J538&lt;=Inputs!$C$21,1,0)</f>
        <v>1</v>
      </c>
      <c r="P538" s="19" t="n">
        <f aca="false">IF(D538&gt;=Inputs!$C$22,1,0)</f>
        <v>1</v>
      </c>
      <c r="Q538" s="19" t="n">
        <f aca="false">IF(I538&lt;=Inputs!$C$23,1,0)</f>
        <v>1</v>
      </c>
      <c r="R538" s="19" t="n">
        <f aca="false">M538*N538*O538*P538*Q538</f>
        <v>1</v>
      </c>
      <c r="S538" s="14" t="n">
        <f aca="false">I538*R538</f>
        <v>27352.61</v>
      </c>
      <c r="T538" s="19" t="n">
        <f aca="false">IF(F538&gt;72,1,0)</f>
        <v>0</v>
      </c>
      <c r="U538" s="19" t="n">
        <f aca="false">IF(J538&gt;1.25,1,0)</f>
        <v>0</v>
      </c>
    </row>
    <row r="539" customFormat="false" ht="15" hidden="false" customHeight="false" outlineLevel="0" collapsed="false">
      <c r="B539" s="13" t="s">
        <v>759</v>
      </c>
      <c r="C539" s="13" t="s">
        <v>233</v>
      </c>
      <c r="D539" s="19" t="n">
        <v>609</v>
      </c>
      <c r="E539" s="23" t="n">
        <v>0.1928</v>
      </c>
      <c r="F539" s="19" t="n">
        <v>66</v>
      </c>
      <c r="G539" s="19" t="n">
        <v>5</v>
      </c>
      <c r="H539" s="14" t="n">
        <v>17140</v>
      </c>
      <c r="I539" s="14" t="n">
        <v>16376.9</v>
      </c>
      <c r="J539" s="24" t="n">
        <v>0.976</v>
      </c>
      <c r="K539" s="19" t="n">
        <v>0</v>
      </c>
      <c r="L539" s="13" t="str">
        <f aca="false">IF(D539&gt;=Inputs!$C$14,"Near-prime","Non-prime")</f>
        <v>Non-prime</v>
      </c>
      <c r="M539" s="19" t="n">
        <f aca="false">IF(K539&lt;=Inputs!$C$19,1,0)</f>
        <v>1</v>
      </c>
      <c r="N539" s="19" t="n">
        <f aca="false">IF(F539&lt;=Inputs!$C$20,1,0)</f>
        <v>1</v>
      </c>
      <c r="O539" s="19" t="n">
        <f aca="false">IF(J539&lt;=Inputs!$C$21,1,0)</f>
        <v>1</v>
      </c>
      <c r="P539" s="19" t="n">
        <f aca="false">IF(D539&gt;=Inputs!$C$22,1,0)</f>
        <v>1</v>
      </c>
      <c r="Q539" s="19" t="n">
        <f aca="false">IF(I539&lt;=Inputs!$C$23,1,0)</f>
        <v>1</v>
      </c>
      <c r="R539" s="19" t="n">
        <f aca="false">M539*N539*O539*P539*Q539</f>
        <v>1</v>
      </c>
      <c r="S539" s="14" t="n">
        <f aca="false">I539*R539</f>
        <v>16376.9</v>
      </c>
      <c r="T539" s="19" t="n">
        <f aca="false">IF(F539&gt;72,1,0)</f>
        <v>0</v>
      </c>
      <c r="U539" s="19" t="n">
        <f aca="false">IF(J539&gt;1.25,1,0)</f>
        <v>0</v>
      </c>
    </row>
    <row r="540" customFormat="false" ht="15" hidden="false" customHeight="false" outlineLevel="0" collapsed="false">
      <c r="B540" s="13" t="s">
        <v>760</v>
      </c>
      <c r="C540" s="13" t="s">
        <v>237</v>
      </c>
      <c r="D540" s="19" t="n">
        <v>683</v>
      </c>
      <c r="E540" s="23" t="n">
        <v>0.1843</v>
      </c>
      <c r="F540" s="19" t="n">
        <v>60</v>
      </c>
      <c r="G540" s="19" t="n">
        <v>10</v>
      </c>
      <c r="H540" s="14" t="n">
        <v>31950</v>
      </c>
      <c r="I540" s="14" t="n">
        <v>28432.56</v>
      </c>
      <c r="J540" s="24" t="n">
        <v>1.182</v>
      </c>
      <c r="K540" s="19" t="n">
        <v>0</v>
      </c>
      <c r="L540" s="13" t="str">
        <f aca="false">IF(D540&gt;=Inputs!$C$14,"Near-prime","Non-prime")</f>
        <v>Near-prime</v>
      </c>
      <c r="M540" s="19" t="n">
        <f aca="false">IF(K540&lt;=Inputs!$C$19,1,0)</f>
        <v>1</v>
      </c>
      <c r="N540" s="19" t="n">
        <f aca="false">IF(F540&lt;=Inputs!$C$20,1,0)</f>
        <v>1</v>
      </c>
      <c r="O540" s="19" t="n">
        <f aca="false">IF(J540&lt;=Inputs!$C$21,1,0)</f>
        <v>1</v>
      </c>
      <c r="P540" s="19" t="n">
        <f aca="false">IF(D540&gt;=Inputs!$C$22,1,0)</f>
        <v>1</v>
      </c>
      <c r="Q540" s="19" t="n">
        <f aca="false">IF(I540&lt;=Inputs!$C$23,1,0)</f>
        <v>1</v>
      </c>
      <c r="R540" s="19" t="n">
        <f aca="false">M540*N540*O540*P540*Q540</f>
        <v>1</v>
      </c>
      <c r="S540" s="14" t="n">
        <f aca="false">I540*R540</f>
        <v>28432.56</v>
      </c>
      <c r="T540" s="19" t="n">
        <f aca="false">IF(F540&gt;72,1,0)</f>
        <v>0</v>
      </c>
      <c r="U540" s="19" t="n">
        <f aca="false">IF(J540&gt;1.25,1,0)</f>
        <v>0</v>
      </c>
    </row>
    <row r="541" customFormat="false" ht="15" hidden="false" customHeight="false" outlineLevel="0" collapsed="false">
      <c r="B541" s="13" t="s">
        <v>761</v>
      </c>
      <c r="C541" s="13" t="s">
        <v>217</v>
      </c>
      <c r="D541" s="19" t="n">
        <v>604</v>
      </c>
      <c r="E541" s="23" t="n">
        <v>0.2286</v>
      </c>
      <c r="F541" s="19" t="n">
        <v>66</v>
      </c>
      <c r="G541" s="19" t="n">
        <v>7</v>
      </c>
      <c r="H541" s="14" t="n">
        <v>23650</v>
      </c>
      <c r="I541" s="14" t="n">
        <v>22300.36</v>
      </c>
      <c r="J541" s="24" t="n">
        <v>0.89</v>
      </c>
      <c r="K541" s="19" t="n">
        <v>0</v>
      </c>
      <c r="L541" s="13" t="str">
        <f aca="false">IF(D541&gt;=Inputs!$C$14,"Near-prime","Non-prime")</f>
        <v>Non-prime</v>
      </c>
      <c r="M541" s="19" t="n">
        <f aca="false">IF(K541&lt;=Inputs!$C$19,1,0)</f>
        <v>1</v>
      </c>
      <c r="N541" s="19" t="n">
        <f aca="false">IF(F541&lt;=Inputs!$C$20,1,0)</f>
        <v>1</v>
      </c>
      <c r="O541" s="19" t="n">
        <f aca="false">IF(J541&lt;=Inputs!$C$21,1,0)</f>
        <v>1</v>
      </c>
      <c r="P541" s="19" t="n">
        <f aca="false">IF(D541&gt;=Inputs!$C$22,1,0)</f>
        <v>1</v>
      </c>
      <c r="Q541" s="19" t="n">
        <f aca="false">IF(I541&lt;=Inputs!$C$23,1,0)</f>
        <v>1</v>
      </c>
      <c r="R541" s="19" t="n">
        <f aca="false">M541*N541*O541*P541*Q541</f>
        <v>1</v>
      </c>
      <c r="S541" s="14" t="n">
        <f aca="false">I541*R541</f>
        <v>22300.36</v>
      </c>
      <c r="T541" s="19" t="n">
        <f aca="false">IF(F541&gt;72,1,0)</f>
        <v>0</v>
      </c>
      <c r="U541" s="19" t="n">
        <f aca="false">IF(J541&gt;1.25,1,0)</f>
        <v>0</v>
      </c>
    </row>
    <row r="542" customFormat="false" ht="15" hidden="false" customHeight="false" outlineLevel="0" collapsed="false">
      <c r="B542" s="13" t="s">
        <v>762</v>
      </c>
      <c r="C542" s="13" t="s">
        <v>252</v>
      </c>
      <c r="D542" s="19" t="n">
        <v>657</v>
      </c>
      <c r="E542" s="23" t="n">
        <v>0.2111</v>
      </c>
      <c r="F542" s="19" t="n">
        <v>84</v>
      </c>
      <c r="G542" s="19" t="n">
        <v>5</v>
      </c>
      <c r="H542" s="14" t="n">
        <v>32440</v>
      </c>
      <c r="I542" s="14" t="n">
        <v>31551.62</v>
      </c>
      <c r="J542" s="24" t="n">
        <v>1.224</v>
      </c>
      <c r="K542" s="19" t="n">
        <v>0</v>
      </c>
      <c r="L542" s="13" t="str">
        <f aca="false">IF(D542&gt;=Inputs!$C$14,"Near-prime","Non-prime")</f>
        <v>Near-prime</v>
      </c>
      <c r="M542" s="19" t="n">
        <f aca="false">IF(K542&lt;=Inputs!$C$19,1,0)</f>
        <v>1</v>
      </c>
      <c r="N542" s="19" t="n">
        <f aca="false">IF(F542&lt;=Inputs!$C$20,1,0)</f>
        <v>0</v>
      </c>
      <c r="O542" s="19" t="n">
        <f aca="false">IF(J542&lt;=Inputs!$C$21,1,0)</f>
        <v>1</v>
      </c>
      <c r="P542" s="19" t="n">
        <f aca="false">IF(D542&gt;=Inputs!$C$22,1,0)</f>
        <v>1</v>
      </c>
      <c r="Q542" s="19" t="n">
        <f aca="false">IF(I542&lt;=Inputs!$C$23,1,0)</f>
        <v>1</v>
      </c>
      <c r="R542" s="19" t="n">
        <f aca="false">M542*N542*O542*P542*Q542</f>
        <v>0</v>
      </c>
      <c r="S542" s="14" t="n">
        <f aca="false">I542*R542</f>
        <v>0</v>
      </c>
      <c r="T542" s="19" t="n">
        <f aca="false">IF(F542&gt;72,1,0)</f>
        <v>1</v>
      </c>
      <c r="U542" s="19" t="n">
        <f aca="false">IF(J542&gt;1.25,1,0)</f>
        <v>0</v>
      </c>
    </row>
    <row r="543" customFormat="false" ht="15" hidden="false" customHeight="false" outlineLevel="0" collapsed="false">
      <c r="B543" s="13" t="s">
        <v>763</v>
      </c>
      <c r="C543" s="13" t="s">
        <v>217</v>
      </c>
      <c r="D543" s="19" t="n">
        <v>678</v>
      </c>
      <c r="E543" s="23" t="n">
        <v>0.2151</v>
      </c>
      <c r="F543" s="19" t="n">
        <v>75</v>
      </c>
      <c r="G543" s="19" t="n">
        <v>1</v>
      </c>
      <c r="H543" s="14" t="n">
        <v>8180</v>
      </c>
      <c r="I543" s="14" t="n">
        <v>8127.45</v>
      </c>
      <c r="J543" s="24" t="n">
        <v>0.845</v>
      </c>
      <c r="K543" s="19" t="n">
        <v>15</v>
      </c>
      <c r="L543" s="13" t="str">
        <f aca="false">IF(D543&gt;=Inputs!$C$14,"Near-prime","Non-prime")</f>
        <v>Near-prime</v>
      </c>
      <c r="M543" s="19" t="n">
        <f aca="false">IF(K543&lt;=Inputs!$C$19,1,0)</f>
        <v>1</v>
      </c>
      <c r="N543" s="19" t="n">
        <f aca="false">IF(F543&lt;=Inputs!$C$20,1,0)</f>
        <v>1</v>
      </c>
      <c r="O543" s="19" t="n">
        <f aca="false">IF(J543&lt;=Inputs!$C$21,1,0)</f>
        <v>1</v>
      </c>
      <c r="P543" s="19" t="n">
        <f aca="false">IF(D543&gt;=Inputs!$C$22,1,0)</f>
        <v>1</v>
      </c>
      <c r="Q543" s="19" t="n">
        <f aca="false">IF(I543&lt;=Inputs!$C$23,1,0)</f>
        <v>1</v>
      </c>
      <c r="R543" s="19" t="n">
        <f aca="false">M543*N543*O543*P543*Q543</f>
        <v>1</v>
      </c>
      <c r="S543" s="14" t="n">
        <f aca="false">I543*R543</f>
        <v>8127.45</v>
      </c>
      <c r="T543" s="19" t="n">
        <f aca="false">IF(F543&gt;72,1,0)</f>
        <v>1</v>
      </c>
      <c r="U543" s="19" t="n">
        <f aca="false">IF(J543&gt;1.25,1,0)</f>
        <v>0</v>
      </c>
    </row>
    <row r="544" customFormat="false" ht="15" hidden="false" customHeight="false" outlineLevel="0" collapsed="false">
      <c r="B544" s="13" t="s">
        <v>764</v>
      </c>
      <c r="C544" s="13" t="s">
        <v>237</v>
      </c>
      <c r="D544" s="19" t="n">
        <v>607</v>
      </c>
      <c r="E544" s="23" t="n">
        <v>0.2044</v>
      </c>
      <c r="F544" s="19" t="n">
        <v>66</v>
      </c>
      <c r="G544" s="19" t="n">
        <v>7</v>
      </c>
      <c r="H544" s="14" t="n">
        <v>32980</v>
      </c>
      <c r="I544" s="14" t="n">
        <v>30959.72</v>
      </c>
      <c r="J544" s="24" t="n">
        <v>1.084</v>
      </c>
      <c r="K544" s="19" t="n">
        <v>0</v>
      </c>
      <c r="L544" s="13" t="str">
        <f aca="false">IF(D544&gt;=Inputs!$C$14,"Near-prime","Non-prime")</f>
        <v>Non-prime</v>
      </c>
      <c r="M544" s="19" t="n">
        <f aca="false">IF(K544&lt;=Inputs!$C$19,1,0)</f>
        <v>1</v>
      </c>
      <c r="N544" s="19" t="n">
        <f aca="false">IF(F544&lt;=Inputs!$C$20,1,0)</f>
        <v>1</v>
      </c>
      <c r="O544" s="19" t="n">
        <f aca="false">IF(J544&lt;=Inputs!$C$21,1,0)</f>
        <v>1</v>
      </c>
      <c r="P544" s="19" t="n">
        <f aca="false">IF(D544&gt;=Inputs!$C$22,1,0)</f>
        <v>1</v>
      </c>
      <c r="Q544" s="19" t="n">
        <f aca="false">IF(I544&lt;=Inputs!$C$23,1,0)</f>
        <v>1</v>
      </c>
      <c r="R544" s="19" t="n">
        <f aca="false">M544*N544*O544*P544*Q544</f>
        <v>1</v>
      </c>
      <c r="S544" s="14" t="n">
        <f aca="false">I544*R544</f>
        <v>30959.72</v>
      </c>
      <c r="T544" s="19" t="n">
        <f aca="false">IF(F544&gt;72,1,0)</f>
        <v>0</v>
      </c>
      <c r="U544" s="19" t="n">
        <f aca="false">IF(J544&gt;1.25,1,0)</f>
        <v>0</v>
      </c>
    </row>
    <row r="545" customFormat="false" ht="15" hidden="false" customHeight="false" outlineLevel="0" collapsed="false">
      <c r="B545" s="13" t="s">
        <v>765</v>
      </c>
      <c r="C545" s="13" t="s">
        <v>252</v>
      </c>
      <c r="D545" s="19" t="n">
        <v>590</v>
      </c>
      <c r="E545" s="23" t="n">
        <v>0.1905</v>
      </c>
      <c r="F545" s="19" t="n">
        <v>60</v>
      </c>
      <c r="G545" s="19" t="n">
        <v>7</v>
      </c>
      <c r="H545" s="14" t="n">
        <v>28020</v>
      </c>
      <c r="I545" s="14" t="n">
        <v>25943.53</v>
      </c>
      <c r="J545" s="24" t="n">
        <v>1.012</v>
      </c>
      <c r="K545" s="19" t="n">
        <v>0</v>
      </c>
      <c r="L545" s="13" t="str">
        <f aca="false">IF(D545&gt;=Inputs!$C$14,"Near-prime","Non-prime")</f>
        <v>Non-prime</v>
      </c>
      <c r="M545" s="19" t="n">
        <f aca="false">IF(K545&lt;=Inputs!$C$19,1,0)</f>
        <v>1</v>
      </c>
      <c r="N545" s="19" t="n">
        <f aca="false">IF(F545&lt;=Inputs!$C$20,1,0)</f>
        <v>1</v>
      </c>
      <c r="O545" s="19" t="n">
        <f aca="false">IF(J545&lt;=Inputs!$C$21,1,0)</f>
        <v>1</v>
      </c>
      <c r="P545" s="19" t="n">
        <f aca="false">IF(D545&gt;=Inputs!$C$22,1,0)</f>
        <v>1</v>
      </c>
      <c r="Q545" s="19" t="n">
        <f aca="false">IF(I545&lt;=Inputs!$C$23,1,0)</f>
        <v>1</v>
      </c>
      <c r="R545" s="19" t="n">
        <f aca="false">M545*N545*O545*P545*Q545</f>
        <v>1</v>
      </c>
      <c r="S545" s="14" t="n">
        <f aca="false">I545*R545</f>
        <v>25943.53</v>
      </c>
      <c r="T545" s="19" t="n">
        <f aca="false">IF(F545&gt;72,1,0)</f>
        <v>0</v>
      </c>
      <c r="U545" s="19" t="n">
        <f aca="false">IF(J545&gt;1.25,1,0)</f>
        <v>0</v>
      </c>
    </row>
    <row r="546" customFormat="false" ht="15" hidden="false" customHeight="false" outlineLevel="0" collapsed="false">
      <c r="B546" s="13" t="s">
        <v>766</v>
      </c>
      <c r="C546" s="13" t="s">
        <v>252</v>
      </c>
      <c r="D546" s="19" t="n">
        <v>630</v>
      </c>
      <c r="E546" s="23" t="n">
        <v>0.1892</v>
      </c>
      <c r="F546" s="19" t="n">
        <v>72</v>
      </c>
      <c r="G546" s="19" t="n">
        <v>2</v>
      </c>
      <c r="H546" s="14" t="n">
        <v>29840</v>
      </c>
      <c r="I546" s="14" t="n">
        <v>29385.01</v>
      </c>
      <c r="J546" s="24" t="n">
        <v>1.178</v>
      </c>
      <c r="K546" s="19" t="n">
        <v>0</v>
      </c>
      <c r="L546" s="13" t="str">
        <f aca="false">IF(D546&gt;=Inputs!$C$14,"Near-prime","Non-prime")</f>
        <v>Near-prime</v>
      </c>
      <c r="M546" s="19" t="n">
        <f aca="false">IF(K546&lt;=Inputs!$C$19,1,0)</f>
        <v>1</v>
      </c>
      <c r="N546" s="19" t="n">
        <f aca="false">IF(F546&lt;=Inputs!$C$20,1,0)</f>
        <v>1</v>
      </c>
      <c r="O546" s="19" t="n">
        <f aca="false">IF(J546&lt;=Inputs!$C$21,1,0)</f>
        <v>1</v>
      </c>
      <c r="P546" s="19" t="n">
        <f aca="false">IF(D546&gt;=Inputs!$C$22,1,0)</f>
        <v>1</v>
      </c>
      <c r="Q546" s="19" t="n">
        <f aca="false">IF(I546&lt;=Inputs!$C$23,1,0)</f>
        <v>1</v>
      </c>
      <c r="R546" s="19" t="n">
        <f aca="false">M546*N546*O546*P546*Q546</f>
        <v>1</v>
      </c>
      <c r="S546" s="14" t="n">
        <f aca="false">I546*R546</f>
        <v>29385.01</v>
      </c>
      <c r="T546" s="19" t="n">
        <f aca="false">IF(F546&gt;72,1,0)</f>
        <v>0</v>
      </c>
      <c r="U546" s="19" t="n">
        <f aca="false">IF(J546&gt;1.25,1,0)</f>
        <v>0</v>
      </c>
    </row>
    <row r="547" customFormat="false" ht="15" hidden="false" customHeight="false" outlineLevel="0" collapsed="false">
      <c r="B547" s="13" t="s">
        <v>767</v>
      </c>
      <c r="C547" s="13" t="s">
        <v>257</v>
      </c>
      <c r="D547" s="19" t="n">
        <v>618</v>
      </c>
      <c r="E547" s="23" t="n">
        <v>0.2168</v>
      </c>
      <c r="F547" s="19" t="n">
        <v>72</v>
      </c>
      <c r="G547" s="19" t="n">
        <v>7</v>
      </c>
      <c r="H547" s="14" t="n">
        <v>18450</v>
      </c>
      <c r="I547" s="14" t="n">
        <v>17513.19</v>
      </c>
      <c r="J547" s="24" t="n">
        <v>1.235</v>
      </c>
      <c r="K547" s="19" t="n">
        <v>0</v>
      </c>
      <c r="L547" s="13" t="str">
        <f aca="false">IF(D547&gt;=Inputs!$C$14,"Near-prime","Non-prime")</f>
        <v>Non-prime</v>
      </c>
      <c r="M547" s="19" t="n">
        <f aca="false">IF(K547&lt;=Inputs!$C$19,1,0)</f>
        <v>1</v>
      </c>
      <c r="N547" s="19" t="n">
        <f aca="false">IF(F547&lt;=Inputs!$C$20,1,0)</f>
        <v>1</v>
      </c>
      <c r="O547" s="19" t="n">
        <f aca="false">IF(J547&lt;=Inputs!$C$21,1,0)</f>
        <v>1</v>
      </c>
      <c r="P547" s="19" t="n">
        <f aca="false">IF(D547&gt;=Inputs!$C$22,1,0)</f>
        <v>1</v>
      </c>
      <c r="Q547" s="19" t="n">
        <f aca="false">IF(I547&lt;=Inputs!$C$23,1,0)</f>
        <v>1</v>
      </c>
      <c r="R547" s="19" t="n">
        <f aca="false">M547*N547*O547*P547*Q547</f>
        <v>1</v>
      </c>
      <c r="S547" s="14" t="n">
        <f aca="false">I547*R547</f>
        <v>17513.19</v>
      </c>
      <c r="T547" s="19" t="n">
        <f aca="false">IF(F547&gt;72,1,0)</f>
        <v>0</v>
      </c>
      <c r="U547" s="19" t="n">
        <f aca="false">IF(J547&gt;1.25,1,0)</f>
        <v>0</v>
      </c>
    </row>
    <row r="548" customFormat="false" ht="15" hidden="false" customHeight="false" outlineLevel="0" collapsed="false">
      <c r="B548" s="13" t="s">
        <v>768</v>
      </c>
      <c r="C548" s="13" t="s">
        <v>237</v>
      </c>
      <c r="D548" s="19" t="n">
        <v>631</v>
      </c>
      <c r="E548" s="23" t="n">
        <v>0.1939</v>
      </c>
      <c r="F548" s="19" t="n">
        <v>75</v>
      </c>
      <c r="G548" s="19" t="n">
        <v>10</v>
      </c>
      <c r="H548" s="14" t="n">
        <v>42340</v>
      </c>
      <c r="I548" s="14" t="n">
        <v>39177.25</v>
      </c>
      <c r="J548" s="24" t="n">
        <v>1.045</v>
      </c>
      <c r="K548" s="19" t="n">
        <v>0</v>
      </c>
      <c r="L548" s="13" t="str">
        <f aca="false">IF(D548&gt;=Inputs!$C$14,"Near-prime","Non-prime")</f>
        <v>Near-prime</v>
      </c>
      <c r="M548" s="19" t="n">
        <f aca="false">IF(K548&lt;=Inputs!$C$19,1,0)</f>
        <v>1</v>
      </c>
      <c r="N548" s="19" t="n">
        <f aca="false">IF(F548&lt;=Inputs!$C$20,1,0)</f>
        <v>1</v>
      </c>
      <c r="O548" s="19" t="n">
        <f aca="false">IF(J548&lt;=Inputs!$C$21,1,0)</f>
        <v>1</v>
      </c>
      <c r="P548" s="19" t="n">
        <f aca="false">IF(D548&gt;=Inputs!$C$22,1,0)</f>
        <v>1</v>
      </c>
      <c r="Q548" s="19" t="n">
        <f aca="false">IF(I548&lt;=Inputs!$C$23,1,0)</f>
        <v>1</v>
      </c>
      <c r="R548" s="19" t="n">
        <f aca="false">M548*N548*O548*P548*Q548</f>
        <v>1</v>
      </c>
      <c r="S548" s="14" t="n">
        <f aca="false">I548*R548</f>
        <v>39177.25</v>
      </c>
      <c r="T548" s="19" t="n">
        <f aca="false">IF(F548&gt;72,1,0)</f>
        <v>1</v>
      </c>
      <c r="U548" s="19" t="n">
        <f aca="false">IF(J548&gt;1.25,1,0)</f>
        <v>0</v>
      </c>
    </row>
    <row r="549" customFormat="false" ht="15" hidden="false" customHeight="false" outlineLevel="0" collapsed="false">
      <c r="B549" s="13" t="s">
        <v>769</v>
      </c>
      <c r="C549" s="13" t="s">
        <v>217</v>
      </c>
      <c r="D549" s="19" t="n">
        <v>591</v>
      </c>
      <c r="E549" s="23" t="n">
        <v>0.2367</v>
      </c>
      <c r="F549" s="19" t="n">
        <v>72</v>
      </c>
      <c r="G549" s="19" t="n">
        <v>8</v>
      </c>
      <c r="H549" s="14" t="n">
        <v>18110</v>
      </c>
      <c r="I549" s="14" t="n">
        <v>17115.88</v>
      </c>
      <c r="J549" s="24" t="n">
        <v>0.986</v>
      </c>
      <c r="K549" s="19" t="n">
        <v>0</v>
      </c>
      <c r="L549" s="13" t="str">
        <f aca="false">IF(D549&gt;=Inputs!$C$14,"Near-prime","Non-prime")</f>
        <v>Non-prime</v>
      </c>
      <c r="M549" s="19" t="n">
        <f aca="false">IF(K549&lt;=Inputs!$C$19,1,0)</f>
        <v>1</v>
      </c>
      <c r="N549" s="19" t="n">
        <f aca="false">IF(F549&lt;=Inputs!$C$20,1,0)</f>
        <v>1</v>
      </c>
      <c r="O549" s="19" t="n">
        <f aca="false">IF(J549&lt;=Inputs!$C$21,1,0)</f>
        <v>1</v>
      </c>
      <c r="P549" s="19" t="n">
        <f aca="false">IF(D549&gt;=Inputs!$C$22,1,0)</f>
        <v>1</v>
      </c>
      <c r="Q549" s="19" t="n">
        <f aca="false">IF(I549&lt;=Inputs!$C$23,1,0)</f>
        <v>1</v>
      </c>
      <c r="R549" s="19" t="n">
        <f aca="false">M549*N549*O549*P549*Q549</f>
        <v>1</v>
      </c>
      <c r="S549" s="14" t="n">
        <f aca="false">I549*R549</f>
        <v>17115.88</v>
      </c>
      <c r="T549" s="19" t="n">
        <f aca="false">IF(F549&gt;72,1,0)</f>
        <v>0</v>
      </c>
      <c r="U549" s="19" t="n">
        <f aca="false">IF(J549&gt;1.25,1,0)</f>
        <v>0</v>
      </c>
    </row>
    <row r="550" customFormat="false" ht="15" hidden="false" customHeight="false" outlineLevel="0" collapsed="false">
      <c r="B550" s="13" t="s">
        <v>770</v>
      </c>
      <c r="C550" s="13" t="s">
        <v>237</v>
      </c>
      <c r="D550" s="19" t="n">
        <v>704</v>
      </c>
      <c r="E550" s="23" t="n">
        <v>0.194</v>
      </c>
      <c r="F550" s="19" t="n">
        <v>75</v>
      </c>
      <c r="G550" s="19" t="n">
        <v>9</v>
      </c>
      <c r="H550" s="14" t="n">
        <v>32760</v>
      </c>
      <c r="I550" s="14" t="n">
        <v>30576.33</v>
      </c>
      <c r="J550" s="24" t="n">
        <v>1.206</v>
      </c>
      <c r="K550" s="19" t="n">
        <v>15</v>
      </c>
      <c r="L550" s="13" t="str">
        <f aca="false">IF(D550&gt;=Inputs!$C$14,"Near-prime","Non-prime")</f>
        <v>Near-prime</v>
      </c>
      <c r="M550" s="19" t="n">
        <f aca="false">IF(K550&lt;=Inputs!$C$19,1,0)</f>
        <v>1</v>
      </c>
      <c r="N550" s="19" t="n">
        <f aca="false">IF(F550&lt;=Inputs!$C$20,1,0)</f>
        <v>1</v>
      </c>
      <c r="O550" s="19" t="n">
        <f aca="false">IF(J550&lt;=Inputs!$C$21,1,0)</f>
        <v>1</v>
      </c>
      <c r="P550" s="19" t="n">
        <f aca="false">IF(D550&gt;=Inputs!$C$22,1,0)</f>
        <v>1</v>
      </c>
      <c r="Q550" s="19" t="n">
        <f aca="false">IF(I550&lt;=Inputs!$C$23,1,0)</f>
        <v>1</v>
      </c>
      <c r="R550" s="19" t="n">
        <f aca="false">M550*N550*O550*P550*Q550</f>
        <v>1</v>
      </c>
      <c r="S550" s="14" t="n">
        <f aca="false">I550*R550</f>
        <v>30576.33</v>
      </c>
      <c r="T550" s="19" t="n">
        <f aca="false">IF(F550&gt;72,1,0)</f>
        <v>1</v>
      </c>
      <c r="U550" s="19" t="n">
        <f aca="false">IF(J550&gt;1.25,1,0)</f>
        <v>0</v>
      </c>
    </row>
    <row r="551" customFormat="false" ht="15" hidden="false" customHeight="false" outlineLevel="0" collapsed="false">
      <c r="B551" s="13" t="s">
        <v>771</v>
      </c>
      <c r="C551" s="13" t="s">
        <v>252</v>
      </c>
      <c r="D551" s="19" t="n">
        <v>634</v>
      </c>
      <c r="E551" s="23" t="n">
        <v>0.2146</v>
      </c>
      <c r="F551" s="19" t="n">
        <v>72</v>
      </c>
      <c r="G551" s="19" t="n">
        <v>10</v>
      </c>
      <c r="H551" s="14" t="n">
        <v>22950</v>
      </c>
      <c r="I551" s="14" t="n">
        <v>21226.95</v>
      </c>
      <c r="J551" s="24" t="n">
        <v>0.964</v>
      </c>
      <c r="K551" s="19" t="n">
        <v>45</v>
      </c>
      <c r="L551" s="13" t="str">
        <f aca="false">IF(D551&gt;=Inputs!$C$14,"Near-prime","Non-prime")</f>
        <v>Near-prime</v>
      </c>
      <c r="M551" s="19" t="n">
        <f aca="false">IF(K551&lt;=Inputs!$C$19,1,0)</f>
        <v>1</v>
      </c>
      <c r="N551" s="19" t="n">
        <f aca="false">IF(F551&lt;=Inputs!$C$20,1,0)</f>
        <v>1</v>
      </c>
      <c r="O551" s="19" t="n">
        <f aca="false">IF(J551&lt;=Inputs!$C$21,1,0)</f>
        <v>1</v>
      </c>
      <c r="P551" s="19" t="n">
        <f aca="false">IF(D551&gt;=Inputs!$C$22,1,0)</f>
        <v>1</v>
      </c>
      <c r="Q551" s="19" t="n">
        <f aca="false">IF(I551&lt;=Inputs!$C$23,1,0)</f>
        <v>1</v>
      </c>
      <c r="R551" s="19" t="n">
        <f aca="false">M551*N551*O551*P551*Q551</f>
        <v>1</v>
      </c>
      <c r="S551" s="14" t="n">
        <f aca="false">I551*R551</f>
        <v>21226.95</v>
      </c>
      <c r="T551" s="19" t="n">
        <f aca="false">IF(F551&gt;72,1,0)</f>
        <v>0</v>
      </c>
      <c r="U551" s="19" t="n">
        <f aca="false">IF(J551&gt;1.25,1,0)</f>
        <v>0</v>
      </c>
    </row>
    <row r="552" customFormat="false" ht="15" hidden="false" customHeight="false" outlineLevel="0" collapsed="false">
      <c r="B552" s="13" t="s">
        <v>772</v>
      </c>
      <c r="C552" s="13" t="s">
        <v>217</v>
      </c>
      <c r="D552" s="19" t="n">
        <v>671</v>
      </c>
      <c r="E552" s="23" t="n">
        <v>0.2089</v>
      </c>
      <c r="F552" s="19" t="n">
        <v>60</v>
      </c>
      <c r="G552" s="19" t="n">
        <v>2</v>
      </c>
      <c r="H552" s="14" t="n">
        <v>12140</v>
      </c>
      <c r="I552" s="14" t="n">
        <v>11905.29</v>
      </c>
      <c r="J552" s="24" t="n">
        <v>1.119</v>
      </c>
      <c r="K552" s="19" t="n">
        <v>0</v>
      </c>
      <c r="L552" s="13" t="str">
        <f aca="false">IF(D552&gt;=Inputs!$C$14,"Near-prime","Non-prime")</f>
        <v>Near-prime</v>
      </c>
      <c r="M552" s="19" t="n">
        <f aca="false">IF(K552&lt;=Inputs!$C$19,1,0)</f>
        <v>1</v>
      </c>
      <c r="N552" s="19" t="n">
        <f aca="false">IF(F552&lt;=Inputs!$C$20,1,0)</f>
        <v>1</v>
      </c>
      <c r="O552" s="19" t="n">
        <f aca="false">IF(J552&lt;=Inputs!$C$21,1,0)</f>
        <v>1</v>
      </c>
      <c r="P552" s="19" t="n">
        <f aca="false">IF(D552&gt;=Inputs!$C$22,1,0)</f>
        <v>1</v>
      </c>
      <c r="Q552" s="19" t="n">
        <f aca="false">IF(I552&lt;=Inputs!$C$23,1,0)</f>
        <v>1</v>
      </c>
      <c r="R552" s="19" t="n">
        <f aca="false">M552*N552*O552*P552*Q552</f>
        <v>1</v>
      </c>
      <c r="S552" s="14" t="n">
        <f aca="false">I552*R552</f>
        <v>11905.29</v>
      </c>
      <c r="T552" s="19" t="n">
        <f aca="false">IF(F552&gt;72,1,0)</f>
        <v>0</v>
      </c>
      <c r="U552" s="19" t="n">
        <f aca="false">IF(J552&gt;1.25,1,0)</f>
        <v>0</v>
      </c>
    </row>
    <row r="553" customFormat="false" ht="15" hidden="false" customHeight="false" outlineLevel="0" collapsed="false">
      <c r="B553" s="13" t="s">
        <v>773</v>
      </c>
      <c r="C553" s="13" t="s">
        <v>223</v>
      </c>
      <c r="D553" s="19" t="n">
        <v>563</v>
      </c>
      <c r="E553" s="23" t="n">
        <v>0.2383</v>
      </c>
      <c r="F553" s="19" t="n">
        <v>84</v>
      </c>
      <c r="G553" s="19" t="n">
        <v>9</v>
      </c>
      <c r="H553" s="14" t="n">
        <v>29660</v>
      </c>
      <c r="I553" s="14" t="n">
        <v>28298.04</v>
      </c>
      <c r="J553" s="24" t="n">
        <v>1.1</v>
      </c>
      <c r="K553" s="19" t="n">
        <v>0</v>
      </c>
      <c r="L553" s="13" t="str">
        <f aca="false">IF(D553&gt;=Inputs!$C$14,"Near-prime","Non-prime")</f>
        <v>Non-prime</v>
      </c>
      <c r="M553" s="19" t="n">
        <f aca="false">IF(K553&lt;=Inputs!$C$19,1,0)</f>
        <v>1</v>
      </c>
      <c r="N553" s="19" t="n">
        <f aca="false">IF(F553&lt;=Inputs!$C$20,1,0)</f>
        <v>0</v>
      </c>
      <c r="O553" s="19" t="n">
        <f aca="false">IF(J553&lt;=Inputs!$C$21,1,0)</f>
        <v>1</v>
      </c>
      <c r="P553" s="19" t="n">
        <f aca="false">IF(D553&gt;=Inputs!$C$22,1,0)</f>
        <v>1</v>
      </c>
      <c r="Q553" s="19" t="n">
        <f aca="false">IF(I553&lt;=Inputs!$C$23,1,0)</f>
        <v>1</v>
      </c>
      <c r="R553" s="19" t="n">
        <f aca="false">M553*N553*O553*P553*Q553</f>
        <v>0</v>
      </c>
      <c r="S553" s="14" t="n">
        <f aca="false">I553*R553</f>
        <v>0</v>
      </c>
      <c r="T553" s="19" t="n">
        <f aca="false">IF(F553&gt;72,1,0)</f>
        <v>1</v>
      </c>
      <c r="U553" s="19" t="n">
        <f aca="false">IF(J553&gt;1.25,1,0)</f>
        <v>0</v>
      </c>
    </row>
    <row r="554" customFormat="false" ht="15" hidden="false" customHeight="false" outlineLevel="0" collapsed="false">
      <c r="B554" s="13" t="s">
        <v>774</v>
      </c>
      <c r="C554" s="13" t="s">
        <v>221</v>
      </c>
      <c r="D554" s="19" t="n">
        <v>617</v>
      </c>
      <c r="E554" s="23" t="n">
        <v>0.2147</v>
      </c>
      <c r="F554" s="19" t="n">
        <v>60</v>
      </c>
      <c r="G554" s="19" t="n">
        <v>10</v>
      </c>
      <c r="H554" s="14" t="n">
        <v>24020</v>
      </c>
      <c r="I554" s="14" t="n">
        <v>21564.41</v>
      </c>
      <c r="J554" s="24" t="n">
        <v>0.999</v>
      </c>
      <c r="K554" s="19" t="n">
        <v>0</v>
      </c>
      <c r="L554" s="13" t="str">
        <f aca="false">IF(D554&gt;=Inputs!$C$14,"Near-prime","Non-prime")</f>
        <v>Non-prime</v>
      </c>
      <c r="M554" s="19" t="n">
        <f aca="false">IF(K554&lt;=Inputs!$C$19,1,0)</f>
        <v>1</v>
      </c>
      <c r="N554" s="19" t="n">
        <f aca="false">IF(F554&lt;=Inputs!$C$20,1,0)</f>
        <v>1</v>
      </c>
      <c r="O554" s="19" t="n">
        <f aca="false">IF(J554&lt;=Inputs!$C$21,1,0)</f>
        <v>1</v>
      </c>
      <c r="P554" s="19" t="n">
        <f aca="false">IF(D554&gt;=Inputs!$C$22,1,0)</f>
        <v>1</v>
      </c>
      <c r="Q554" s="19" t="n">
        <f aca="false">IF(I554&lt;=Inputs!$C$23,1,0)</f>
        <v>1</v>
      </c>
      <c r="R554" s="19" t="n">
        <f aca="false">M554*N554*O554*P554*Q554</f>
        <v>1</v>
      </c>
      <c r="S554" s="14" t="n">
        <f aca="false">I554*R554</f>
        <v>21564.41</v>
      </c>
      <c r="T554" s="19" t="n">
        <f aca="false">IF(F554&gt;72,1,0)</f>
        <v>0</v>
      </c>
      <c r="U554" s="19" t="n">
        <f aca="false">IF(J554&gt;1.25,1,0)</f>
        <v>0</v>
      </c>
    </row>
    <row r="555" customFormat="false" ht="15" hidden="false" customHeight="false" outlineLevel="0" collapsed="false">
      <c r="B555" s="13" t="s">
        <v>775</v>
      </c>
      <c r="C555" s="13" t="s">
        <v>257</v>
      </c>
      <c r="D555" s="19" t="n">
        <v>731</v>
      </c>
      <c r="E555" s="23" t="n">
        <v>0.1929</v>
      </c>
      <c r="F555" s="19" t="n">
        <v>66</v>
      </c>
      <c r="G555" s="19" t="n">
        <v>1</v>
      </c>
      <c r="H555" s="14" t="n">
        <v>18140</v>
      </c>
      <c r="I555" s="14" t="n">
        <v>17983.63</v>
      </c>
      <c r="J555" s="24" t="n">
        <v>0.958</v>
      </c>
      <c r="K555" s="19" t="n">
        <v>0</v>
      </c>
      <c r="L555" s="13" t="str">
        <f aca="false">IF(D555&gt;=Inputs!$C$14,"Near-prime","Non-prime")</f>
        <v>Near-prime</v>
      </c>
      <c r="M555" s="19" t="n">
        <f aca="false">IF(K555&lt;=Inputs!$C$19,1,0)</f>
        <v>1</v>
      </c>
      <c r="N555" s="19" t="n">
        <f aca="false">IF(F555&lt;=Inputs!$C$20,1,0)</f>
        <v>1</v>
      </c>
      <c r="O555" s="19" t="n">
        <f aca="false">IF(J555&lt;=Inputs!$C$21,1,0)</f>
        <v>1</v>
      </c>
      <c r="P555" s="19" t="n">
        <f aca="false">IF(D555&gt;=Inputs!$C$22,1,0)</f>
        <v>1</v>
      </c>
      <c r="Q555" s="19" t="n">
        <f aca="false">IF(I555&lt;=Inputs!$C$23,1,0)</f>
        <v>1</v>
      </c>
      <c r="R555" s="19" t="n">
        <f aca="false">M555*N555*O555*P555*Q555</f>
        <v>1</v>
      </c>
      <c r="S555" s="14" t="n">
        <f aca="false">I555*R555</f>
        <v>17983.63</v>
      </c>
      <c r="T555" s="19" t="n">
        <f aca="false">IF(F555&gt;72,1,0)</f>
        <v>0</v>
      </c>
      <c r="U555" s="19" t="n">
        <f aca="false">IF(J555&gt;1.25,1,0)</f>
        <v>0</v>
      </c>
    </row>
    <row r="556" customFormat="false" ht="15" hidden="false" customHeight="false" outlineLevel="0" collapsed="false">
      <c r="B556" s="13" t="s">
        <v>776</v>
      </c>
      <c r="C556" s="13" t="s">
        <v>257</v>
      </c>
      <c r="D556" s="19" t="n">
        <v>602</v>
      </c>
      <c r="E556" s="23" t="n">
        <v>0.1936</v>
      </c>
      <c r="F556" s="19" t="n">
        <v>72</v>
      </c>
      <c r="G556" s="19" t="n">
        <v>5</v>
      </c>
      <c r="H556" s="14" t="n">
        <v>22340</v>
      </c>
      <c r="I556" s="14" t="n">
        <v>21480.55</v>
      </c>
      <c r="J556" s="24" t="n">
        <v>1.203</v>
      </c>
      <c r="K556" s="19" t="n">
        <v>0</v>
      </c>
      <c r="L556" s="13" t="str">
        <f aca="false">IF(D556&gt;=Inputs!$C$14,"Near-prime","Non-prime")</f>
        <v>Non-prime</v>
      </c>
      <c r="M556" s="19" t="n">
        <f aca="false">IF(K556&lt;=Inputs!$C$19,1,0)</f>
        <v>1</v>
      </c>
      <c r="N556" s="19" t="n">
        <f aca="false">IF(F556&lt;=Inputs!$C$20,1,0)</f>
        <v>1</v>
      </c>
      <c r="O556" s="19" t="n">
        <f aca="false">IF(J556&lt;=Inputs!$C$21,1,0)</f>
        <v>1</v>
      </c>
      <c r="P556" s="19" t="n">
        <f aca="false">IF(D556&gt;=Inputs!$C$22,1,0)</f>
        <v>1</v>
      </c>
      <c r="Q556" s="19" t="n">
        <f aca="false">IF(I556&lt;=Inputs!$C$23,1,0)</f>
        <v>1</v>
      </c>
      <c r="R556" s="19" t="n">
        <f aca="false">M556*N556*O556*P556*Q556</f>
        <v>1</v>
      </c>
      <c r="S556" s="14" t="n">
        <f aca="false">I556*R556</f>
        <v>21480.55</v>
      </c>
      <c r="T556" s="19" t="n">
        <f aca="false">IF(F556&gt;72,1,0)</f>
        <v>0</v>
      </c>
      <c r="U556" s="19" t="n">
        <f aca="false">IF(J556&gt;1.25,1,0)</f>
        <v>0</v>
      </c>
    </row>
    <row r="557" customFormat="false" ht="15" hidden="false" customHeight="false" outlineLevel="0" collapsed="false">
      <c r="B557" s="13" t="s">
        <v>777</v>
      </c>
      <c r="C557" s="13" t="s">
        <v>217</v>
      </c>
      <c r="D557" s="19" t="n">
        <v>662</v>
      </c>
      <c r="E557" s="23" t="n">
        <v>0.1895</v>
      </c>
      <c r="F557" s="19" t="n">
        <v>72</v>
      </c>
      <c r="G557" s="19" t="n">
        <v>5</v>
      </c>
      <c r="H557" s="14" t="n">
        <v>61860</v>
      </c>
      <c r="I557" s="14" t="n">
        <v>59447.8</v>
      </c>
      <c r="J557" s="24" t="n">
        <v>1.129</v>
      </c>
      <c r="K557" s="19" t="n">
        <v>0</v>
      </c>
      <c r="L557" s="13" t="str">
        <f aca="false">IF(D557&gt;=Inputs!$C$14,"Near-prime","Non-prime")</f>
        <v>Near-prime</v>
      </c>
      <c r="M557" s="19" t="n">
        <f aca="false">IF(K557&lt;=Inputs!$C$19,1,0)</f>
        <v>1</v>
      </c>
      <c r="N557" s="19" t="n">
        <f aca="false">IF(F557&lt;=Inputs!$C$20,1,0)</f>
        <v>1</v>
      </c>
      <c r="O557" s="19" t="n">
        <f aca="false">IF(J557&lt;=Inputs!$C$21,1,0)</f>
        <v>1</v>
      </c>
      <c r="P557" s="19" t="n">
        <f aca="false">IF(D557&gt;=Inputs!$C$22,1,0)</f>
        <v>1</v>
      </c>
      <c r="Q557" s="19" t="n">
        <f aca="false">IF(I557&lt;=Inputs!$C$23,1,0)</f>
        <v>0</v>
      </c>
      <c r="R557" s="19" t="n">
        <f aca="false">M557*N557*O557*P557*Q557</f>
        <v>0</v>
      </c>
      <c r="S557" s="14" t="n">
        <f aca="false">I557*R557</f>
        <v>0</v>
      </c>
      <c r="T557" s="19" t="n">
        <f aca="false">IF(F557&gt;72,1,0)</f>
        <v>0</v>
      </c>
      <c r="U557" s="19" t="n">
        <f aca="false">IF(J557&gt;1.25,1,0)</f>
        <v>0</v>
      </c>
    </row>
    <row r="558" customFormat="false" ht="15" hidden="false" customHeight="false" outlineLevel="0" collapsed="false">
      <c r="B558" s="13" t="s">
        <v>778</v>
      </c>
      <c r="C558" s="13" t="s">
        <v>221</v>
      </c>
      <c r="D558" s="19" t="n">
        <v>756</v>
      </c>
      <c r="E558" s="23" t="n">
        <v>0.188</v>
      </c>
      <c r="F558" s="19" t="n">
        <v>72</v>
      </c>
      <c r="G558" s="19" t="n">
        <v>3</v>
      </c>
      <c r="H558" s="14" t="n">
        <v>18630</v>
      </c>
      <c r="I558" s="14" t="n">
        <v>18198.79</v>
      </c>
      <c r="J558" s="24" t="n">
        <v>0.904</v>
      </c>
      <c r="K558" s="19" t="n">
        <v>15</v>
      </c>
      <c r="L558" s="13" t="str">
        <f aca="false">IF(D558&gt;=Inputs!$C$14,"Near-prime","Non-prime")</f>
        <v>Near-prime</v>
      </c>
      <c r="M558" s="19" t="n">
        <f aca="false">IF(K558&lt;=Inputs!$C$19,1,0)</f>
        <v>1</v>
      </c>
      <c r="N558" s="19" t="n">
        <f aca="false">IF(F558&lt;=Inputs!$C$20,1,0)</f>
        <v>1</v>
      </c>
      <c r="O558" s="19" t="n">
        <f aca="false">IF(J558&lt;=Inputs!$C$21,1,0)</f>
        <v>1</v>
      </c>
      <c r="P558" s="19" t="n">
        <f aca="false">IF(D558&gt;=Inputs!$C$22,1,0)</f>
        <v>1</v>
      </c>
      <c r="Q558" s="19" t="n">
        <f aca="false">IF(I558&lt;=Inputs!$C$23,1,0)</f>
        <v>1</v>
      </c>
      <c r="R558" s="19" t="n">
        <f aca="false">M558*N558*O558*P558*Q558</f>
        <v>1</v>
      </c>
      <c r="S558" s="14" t="n">
        <f aca="false">I558*R558</f>
        <v>18198.79</v>
      </c>
      <c r="T558" s="19" t="n">
        <f aca="false">IF(F558&gt;72,1,0)</f>
        <v>0</v>
      </c>
      <c r="U558" s="19" t="n">
        <f aca="false">IF(J558&gt;1.25,1,0)</f>
        <v>0</v>
      </c>
    </row>
    <row r="559" customFormat="false" ht="15" hidden="false" customHeight="false" outlineLevel="0" collapsed="false">
      <c r="B559" s="13" t="s">
        <v>779</v>
      </c>
      <c r="C559" s="13" t="s">
        <v>257</v>
      </c>
      <c r="D559" s="19" t="n">
        <v>648</v>
      </c>
      <c r="E559" s="23" t="n">
        <v>0.2081</v>
      </c>
      <c r="F559" s="19" t="n">
        <v>72</v>
      </c>
      <c r="G559" s="19" t="n">
        <v>6</v>
      </c>
      <c r="H559" s="14" t="n">
        <v>33500</v>
      </c>
      <c r="I559" s="14" t="n">
        <v>32013.15</v>
      </c>
      <c r="J559" s="24" t="n">
        <v>0.869</v>
      </c>
      <c r="K559" s="19" t="n">
        <v>0</v>
      </c>
      <c r="L559" s="13" t="str">
        <f aca="false">IF(D559&gt;=Inputs!$C$14,"Near-prime","Non-prime")</f>
        <v>Near-prime</v>
      </c>
      <c r="M559" s="19" t="n">
        <f aca="false">IF(K559&lt;=Inputs!$C$19,1,0)</f>
        <v>1</v>
      </c>
      <c r="N559" s="19" t="n">
        <f aca="false">IF(F559&lt;=Inputs!$C$20,1,0)</f>
        <v>1</v>
      </c>
      <c r="O559" s="19" t="n">
        <f aca="false">IF(J559&lt;=Inputs!$C$21,1,0)</f>
        <v>1</v>
      </c>
      <c r="P559" s="19" t="n">
        <f aca="false">IF(D559&gt;=Inputs!$C$22,1,0)</f>
        <v>1</v>
      </c>
      <c r="Q559" s="19" t="n">
        <f aca="false">IF(I559&lt;=Inputs!$C$23,1,0)</f>
        <v>1</v>
      </c>
      <c r="R559" s="19" t="n">
        <f aca="false">M559*N559*O559*P559*Q559</f>
        <v>1</v>
      </c>
      <c r="S559" s="14" t="n">
        <f aca="false">I559*R559</f>
        <v>32013.15</v>
      </c>
      <c r="T559" s="19" t="n">
        <f aca="false">IF(F559&gt;72,1,0)</f>
        <v>0</v>
      </c>
      <c r="U559" s="19" t="n">
        <f aca="false">IF(J559&gt;1.25,1,0)</f>
        <v>0</v>
      </c>
    </row>
    <row r="560" customFormat="false" ht="15" hidden="false" customHeight="false" outlineLevel="0" collapsed="false">
      <c r="B560" s="13" t="s">
        <v>780</v>
      </c>
      <c r="C560" s="13" t="s">
        <v>252</v>
      </c>
      <c r="D560" s="19" t="n">
        <v>726</v>
      </c>
      <c r="E560" s="23" t="n">
        <v>0.1845</v>
      </c>
      <c r="F560" s="19" t="n">
        <v>60</v>
      </c>
      <c r="G560" s="19" t="n">
        <v>0</v>
      </c>
      <c r="H560" s="14" t="n">
        <v>22310</v>
      </c>
      <c r="I560" s="14" t="n">
        <v>22310</v>
      </c>
      <c r="J560" s="24" t="n">
        <v>1.245</v>
      </c>
      <c r="K560" s="19" t="n">
        <v>0</v>
      </c>
      <c r="L560" s="13" t="str">
        <f aca="false">IF(D560&gt;=Inputs!$C$14,"Near-prime","Non-prime")</f>
        <v>Near-prime</v>
      </c>
      <c r="M560" s="19" t="n">
        <f aca="false">IF(K560&lt;=Inputs!$C$19,1,0)</f>
        <v>1</v>
      </c>
      <c r="N560" s="19" t="n">
        <f aca="false">IF(F560&lt;=Inputs!$C$20,1,0)</f>
        <v>1</v>
      </c>
      <c r="O560" s="19" t="n">
        <f aca="false">IF(J560&lt;=Inputs!$C$21,1,0)</f>
        <v>1</v>
      </c>
      <c r="P560" s="19" t="n">
        <f aca="false">IF(D560&gt;=Inputs!$C$22,1,0)</f>
        <v>1</v>
      </c>
      <c r="Q560" s="19" t="n">
        <f aca="false">IF(I560&lt;=Inputs!$C$23,1,0)</f>
        <v>1</v>
      </c>
      <c r="R560" s="19" t="n">
        <f aca="false">M560*N560*O560*P560*Q560</f>
        <v>1</v>
      </c>
      <c r="S560" s="14" t="n">
        <f aca="false">I560*R560</f>
        <v>22310</v>
      </c>
      <c r="T560" s="19" t="n">
        <f aca="false">IF(F560&gt;72,1,0)</f>
        <v>0</v>
      </c>
      <c r="U560" s="19" t="n">
        <f aca="false">IF(J560&gt;1.25,1,0)</f>
        <v>0</v>
      </c>
    </row>
    <row r="561" customFormat="false" ht="15" hidden="false" customHeight="false" outlineLevel="0" collapsed="false">
      <c r="B561" s="13" t="s">
        <v>781</v>
      </c>
      <c r="C561" s="13" t="s">
        <v>257</v>
      </c>
      <c r="D561" s="19" t="n">
        <v>601</v>
      </c>
      <c r="E561" s="23" t="n">
        <v>0.2073</v>
      </c>
      <c r="F561" s="19" t="n">
        <v>72</v>
      </c>
      <c r="G561" s="19" t="n">
        <v>0</v>
      </c>
      <c r="H561" s="14" t="n">
        <v>25220</v>
      </c>
      <c r="I561" s="14" t="n">
        <v>25220</v>
      </c>
      <c r="J561" s="24" t="n">
        <v>1.39</v>
      </c>
      <c r="K561" s="19" t="n">
        <v>0</v>
      </c>
      <c r="L561" s="13" t="str">
        <f aca="false">IF(D561&gt;=Inputs!$C$14,"Near-prime","Non-prime")</f>
        <v>Non-prime</v>
      </c>
      <c r="M561" s="19" t="n">
        <f aca="false">IF(K561&lt;=Inputs!$C$19,1,0)</f>
        <v>1</v>
      </c>
      <c r="N561" s="19" t="n">
        <f aca="false">IF(F561&lt;=Inputs!$C$20,1,0)</f>
        <v>1</v>
      </c>
      <c r="O561" s="19" t="n">
        <f aca="false">IF(J561&lt;=Inputs!$C$21,1,0)</f>
        <v>1</v>
      </c>
      <c r="P561" s="19" t="n">
        <f aca="false">IF(D561&gt;=Inputs!$C$22,1,0)</f>
        <v>1</v>
      </c>
      <c r="Q561" s="19" t="n">
        <f aca="false">IF(I561&lt;=Inputs!$C$23,1,0)</f>
        <v>1</v>
      </c>
      <c r="R561" s="19" t="n">
        <f aca="false">M561*N561*O561*P561*Q561</f>
        <v>1</v>
      </c>
      <c r="S561" s="14" t="n">
        <f aca="false">I561*R561</f>
        <v>25220</v>
      </c>
      <c r="T561" s="19" t="n">
        <f aca="false">IF(F561&gt;72,1,0)</f>
        <v>0</v>
      </c>
      <c r="U561" s="19" t="n">
        <f aca="false">IF(J561&gt;1.25,1,0)</f>
        <v>1</v>
      </c>
    </row>
    <row r="562" customFormat="false" ht="15" hidden="false" customHeight="false" outlineLevel="0" collapsed="false">
      <c r="B562" s="13" t="s">
        <v>782</v>
      </c>
      <c r="C562" s="13" t="s">
        <v>252</v>
      </c>
      <c r="D562" s="19" t="n">
        <v>623</v>
      </c>
      <c r="E562" s="23" t="n">
        <v>0.2204</v>
      </c>
      <c r="F562" s="19" t="n">
        <v>72</v>
      </c>
      <c r="G562" s="19" t="n">
        <v>4</v>
      </c>
      <c r="H562" s="14" t="n">
        <v>32940</v>
      </c>
      <c r="I562" s="14" t="n">
        <v>32021.32</v>
      </c>
      <c r="J562" s="24" t="n">
        <v>1.058</v>
      </c>
      <c r="K562" s="19" t="n">
        <v>0</v>
      </c>
      <c r="L562" s="13" t="str">
        <f aca="false">IF(D562&gt;=Inputs!$C$14,"Near-prime","Non-prime")</f>
        <v>Near-prime</v>
      </c>
      <c r="M562" s="19" t="n">
        <f aca="false">IF(K562&lt;=Inputs!$C$19,1,0)</f>
        <v>1</v>
      </c>
      <c r="N562" s="19" t="n">
        <f aca="false">IF(F562&lt;=Inputs!$C$20,1,0)</f>
        <v>1</v>
      </c>
      <c r="O562" s="19" t="n">
        <f aca="false">IF(J562&lt;=Inputs!$C$21,1,0)</f>
        <v>1</v>
      </c>
      <c r="P562" s="19" t="n">
        <f aca="false">IF(D562&gt;=Inputs!$C$22,1,0)</f>
        <v>1</v>
      </c>
      <c r="Q562" s="19" t="n">
        <f aca="false">IF(I562&lt;=Inputs!$C$23,1,0)</f>
        <v>1</v>
      </c>
      <c r="R562" s="19" t="n">
        <f aca="false">M562*N562*O562*P562*Q562</f>
        <v>1</v>
      </c>
      <c r="S562" s="14" t="n">
        <f aca="false">I562*R562</f>
        <v>32021.32</v>
      </c>
      <c r="T562" s="19" t="n">
        <f aca="false">IF(F562&gt;72,1,0)</f>
        <v>0</v>
      </c>
      <c r="U562" s="19" t="n">
        <f aca="false">IF(J562&gt;1.25,1,0)</f>
        <v>0</v>
      </c>
    </row>
    <row r="563" customFormat="false" ht="15" hidden="false" customHeight="false" outlineLevel="0" collapsed="false">
      <c r="B563" s="13" t="s">
        <v>783</v>
      </c>
      <c r="C563" s="13" t="s">
        <v>217</v>
      </c>
      <c r="D563" s="19" t="n">
        <v>645</v>
      </c>
      <c r="E563" s="23" t="n">
        <v>0.2097</v>
      </c>
      <c r="F563" s="19" t="n">
        <v>60</v>
      </c>
      <c r="G563" s="19" t="n">
        <v>9</v>
      </c>
      <c r="H563" s="14" t="n">
        <v>32780</v>
      </c>
      <c r="I563" s="14" t="n">
        <v>29753.74</v>
      </c>
      <c r="J563" s="24" t="n">
        <v>1.049</v>
      </c>
      <c r="K563" s="19" t="n">
        <v>0</v>
      </c>
      <c r="L563" s="13" t="str">
        <f aca="false">IF(D563&gt;=Inputs!$C$14,"Near-prime","Non-prime")</f>
        <v>Near-prime</v>
      </c>
      <c r="M563" s="19" t="n">
        <f aca="false">IF(K563&lt;=Inputs!$C$19,1,0)</f>
        <v>1</v>
      </c>
      <c r="N563" s="19" t="n">
        <f aca="false">IF(F563&lt;=Inputs!$C$20,1,0)</f>
        <v>1</v>
      </c>
      <c r="O563" s="19" t="n">
        <f aca="false">IF(J563&lt;=Inputs!$C$21,1,0)</f>
        <v>1</v>
      </c>
      <c r="P563" s="19" t="n">
        <f aca="false">IF(D563&gt;=Inputs!$C$22,1,0)</f>
        <v>1</v>
      </c>
      <c r="Q563" s="19" t="n">
        <f aca="false">IF(I563&lt;=Inputs!$C$23,1,0)</f>
        <v>1</v>
      </c>
      <c r="R563" s="19" t="n">
        <f aca="false">M563*N563*O563*P563*Q563</f>
        <v>1</v>
      </c>
      <c r="S563" s="14" t="n">
        <f aca="false">I563*R563</f>
        <v>29753.74</v>
      </c>
      <c r="T563" s="19" t="n">
        <f aca="false">IF(F563&gt;72,1,0)</f>
        <v>0</v>
      </c>
      <c r="U563" s="19" t="n">
        <f aca="false">IF(J563&gt;1.25,1,0)</f>
        <v>0</v>
      </c>
    </row>
    <row r="564" customFormat="false" ht="15" hidden="false" customHeight="false" outlineLevel="0" collapsed="false">
      <c r="B564" s="13" t="s">
        <v>784</v>
      </c>
      <c r="C564" s="13" t="s">
        <v>221</v>
      </c>
      <c r="D564" s="19" t="n">
        <v>620</v>
      </c>
      <c r="E564" s="23" t="n">
        <v>0.2079</v>
      </c>
      <c r="F564" s="19" t="n">
        <v>72</v>
      </c>
      <c r="G564" s="19" t="n">
        <v>5</v>
      </c>
      <c r="H564" s="14" t="n">
        <v>27270</v>
      </c>
      <c r="I564" s="14" t="n">
        <v>26269.49</v>
      </c>
      <c r="J564" s="24" t="n">
        <v>1.209</v>
      </c>
      <c r="K564" s="19" t="n">
        <v>0</v>
      </c>
      <c r="L564" s="13" t="str">
        <f aca="false">IF(D564&gt;=Inputs!$C$14,"Near-prime","Non-prime")</f>
        <v>Near-prime</v>
      </c>
      <c r="M564" s="19" t="n">
        <f aca="false">IF(K564&lt;=Inputs!$C$19,1,0)</f>
        <v>1</v>
      </c>
      <c r="N564" s="19" t="n">
        <f aca="false">IF(F564&lt;=Inputs!$C$20,1,0)</f>
        <v>1</v>
      </c>
      <c r="O564" s="19" t="n">
        <f aca="false">IF(J564&lt;=Inputs!$C$21,1,0)</f>
        <v>1</v>
      </c>
      <c r="P564" s="19" t="n">
        <f aca="false">IF(D564&gt;=Inputs!$C$22,1,0)</f>
        <v>1</v>
      </c>
      <c r="Q564" s="19" t="n">
        <f aca="false">IF(I564&lt;=Inputs!$C$23,1,0)</f>
        <v>1</v>
      </c>
      <c r="R564" s="19" t="n">
        <f aca="false">M564*N564*O564*P564*Q564</f>
        <v>1</v>
      </c>
      <c r="S564" s="14" t="n">
        <f aca="false">I564*R564</f>
        <v>26269.49</v>
      </c>
      <c r="T564" s="19" t="n">
        <f aca="false">IF(F564&gt;72,1,0)</f>
        <v>0</v>
      </c>
      <c r="U564" s="19" t="n">
        <f aca="false">IF(J564&gt;1.25,1,0)</f>
        <v>0</v>
      </c>
    </row>
    <row r="565" customFormat="false" ht="15" hidden="false" customHeight="false" outlineLevel="0" collapsed="false">
      <c r="B565" s="13" t="s">
        <v>785</v>
      </c>
      <c r="C565" s="13" t="s">
        <v>221</v>
      </c>
      <c r="D565" s="19" t="n">
        <v>665</v>
      </c>
      <c r="E565" s="23" t="n">
        <v>0.2274</v>
      </c>
      <c r="F565" s="19" t="n">
        <v>60</v>
      </c>
      <c r="G565" s="19" t="n">
        <v>10</v>
      </c>
      <c r="H565" s="14" t="n">
        <v>16620</v>
      </c>
      <c r="I565" s="14" t="n">
        <v>14973.45</v>
      </c>
      <c r="J565" s="24" t="n">
        <v>0.98</v>
      </c>
      <c r="K565" s="19" t="n">
        <v>0</v>
      </c>
      <c r="L565" s="13" t="str">
        <f aca="false">IF(D565&gt;=Inputs!$C$14,"Near-prime","Non-prime")</f>
        <v>Near-prime</v>
      </c>
      <c r="M565" s="19" t="n">
        <f aca="false">IF(K565&lt;=Inputs!$C$19,1,0)</f>
        <v>1</v>
      </c>
      <c r="N565" s="19" t="n">
        <f aca="false">IF(F565&lt;=Inputs!$C$20,1,0)</f>
        <v>1</v>
      </c>
      <c r="O565" s="19" t="n">
        <f aca="false">IF(J565&lt;=Inputs!$C$21,1,0)</f>
        <v>1</v>
      </c>
      <c r="P565" s="19" t="n">
        <f aca="false">IF(D565&gt;=Inputs!$C$22,1,0)</f>
        <v>1</v>
      </c>
      <c r="Q565" s="19" t="n">
        <f aca="false">IF(I565&lt;=Inputs!$C$23,1,0)</f>
        <v>1</v>
      </c>
      <c r="R565" s="19" t="n">
        <f aca="false">M565*N565*O565*P565*Q565</f>
        <v>1</v>
      </c>
      <c r="S565" s="14" t="n">
        <f aca="false">I565*R565</f>
        <v>14973.45</v>
      </c>
      <c r="T565" s="19" t="n">
        <f aca="false">IF(F565&gt;72,1,0)</f>
        <v>0</v>
      </c>
      <c r="U565" s="19" t="n">
        <f aca="false">IF(J565&gt;1.25,1,0)</f>
        <v>0</v>
      </c>
    </row>
    <row r="566" customFormat="false" ht="15" hidden="false" customHeight="false" outlineLevel="0" collapsed="false">
      <c r="B566" s="13" t="s">
        <v>786</v>
      </c>
      <c r="C566" s="13" t="s">
        <v>228</v>
      </c>
      <c r="D566" s="19" t="n">
        <v>555</v>
      </c>
      <c r="E566" s="23" t="n">
        <v>0.2233</v>
      </c>
      <c r="F566" s="19" t="n">
        <v>66</v>
      </c>
      <c r="G566" s="19" t="n">
        <v>6</v>
      </c>
      <c r="H566" s="14" t="n">
        <v>26000</v>
      </c>
      <c r="I566" s="14" t="n">
        <v>24720.28</v>
      </c>
      <c r="J566" s="24" t="n">
        <v>0.87</v>
      </c>
      <c r="K566" s="19" t="n">
        <v>0</v>
      </c>
      <c r="L566" s="13" t="str">
        <f aca="false">IF(D566&gt;=Inputs!$C$14,"Near-prime","Non-prime")</f>
        <v>Non-prime</v>
      </c>
      <c r="M566" s="19" t="n">
        <f aca="false">IF(K566&lt;=Inputs!$C$19,1,0)</f>
        <v>1</v>
      </c>
      <c r="N566" s="19" t="n">
        <f aca="false">IF(F566&lt;=Inputs!$C$20,1,0)</f>
        <v>1</v>
      </c>
      <c r="O566" s="19" t="n">
        <f aca="false">IF(J566&lt;=Inputs!$C$21,1,0)</f>
        <v>1</v>
      </c>
      <c r="P566" s="19" t="n">
        <f aca="false">IF(D566&gt;=Inputs!$C$22,1,0)</f>
        <v>1</v>
      </c>
      <c r="Q566" s="19" t="n">
        <f aca="false">IF(I566&lt;=Inputs!$C$23,1,0)</f>
        <v>1</v>
      </c>
      <c r="R566" s="19" t="n">
        <f aca="false">M566*N566*O566*P566*Q566</f>
        <v>1</v>
      </c>
      <c r="S566" s="14" t="n">
        <f aca="false">I566*R566</f>
        <v>24720.28</v>
      </c>
      <c r="T566" s="19" t="n">
        <f aca="false">IF(F566&gt;72,1,0)</f>
        <v>0</v>
      </c>
      <c r="U566" s="19" t="n">
        <f aca="false">IF(J566&gt;1.25,1,0)</f>
        <v>0</v>
      </c>
    </row>
    <row r="567" customFormat="false" ht="15" hidden="false" customHeight="false" outlineLevel="0" collapsed="false">
      <c r="B567" s="13" t="s">
        <v>787</v>
      </c>
      <c r="C567" s="13" t="s">
        <v>223</v>
      </c>
      <c r="D567" s="19" t="n">
        <v>592</v>
      </c>
      <c r="E567" s="23" t="n">
        <v>0.21</v>
      </c>
      <c r="F567" s="19" t="n">
        <v>66</v>
      </c>
      <c r="G567" s="19" t="n">
        <v>3</v>
      </c>
      <c r="H567" s="14" t="n">
        <v>25490</v>
      </c>
      <c r="I567" s="14" t="n">
        <v>24854.39</v>
      </c>
      <c r="J567" s="24" t="n">
        <v>1.19</v>
      </c>
      <c r="K567" s="19" t="n">
        <v>0</v>
      </c>
      <c r="L567" s="13" t="str">
        <f aca="false">IF(D567&gt;=Inputs!$C$14,"Near-prime","Non-prime")</f>
        <v>Non-prime</v>
      </c>
      <c r="M567" s="19" t="n">
        <f aca="false">IF(K567&lt;=Inputs!$C$19,1,0)</f>
        <v>1</v>
      </c>
      <c r="N567" s="19" t="n">
        <f aca="false">IF(F567&lt;=Inputs!$C$20,1,0)</f>
        <v>1</v>
      </c>
      <c r="O567" s="19" t="n">
        <f aca="false">IF(J567&lt;=Inputs!$C$21,1,0)</f>
        <v>1</v>
      </c>
      <c r="P567" s="19" t="n">
        <f aca="false">IF(D567&gt;=Inputs!$C$22,1,0)</f>
        <v>1</v>
      </c>
      <c r="Q567" s="19" t="n">
        <f aca="false">IF(I567&lt;=Inputs!$C$23,1,0)</f>
        <v>1</v>
      </c>
      <c r="R567" s="19" t="n">
        <f aca="false">M567*N567*O567*P567*Q567</f>
        <v>1</v>
      </c>
      <c r="S567" s="14" t="n">
        <f aca="false">I567*R567</f>
        <v>24854.39</v>
      </c>
      <c r="T567" s="19" t="n">
        <f aca="false">IF(F567&gt;72,1,0)</f>
        <v>0</v>
      </c>
      <c r="U567" s="19" t="n">
        <f aca="false">IF(J567&gt;1.25,1,0)</f>
        <v>0</v>
      </c>
    </row>
    <row r="568" customFormat="false" ht="15" hidden="false" customHeight="false" outlineLevel="0" collapsed="false">
      <c r="B568" s="13" t="s">
        <v>788</v>
      </c>
      <c r="C568" s="13" t="s">
        <v>217</v>
      </c>
      <c r="D568" s="19" t="n">
        <v>716</v>
      </c>
      <c r="E568" s="23" t="n">
        <v>0.2063</v>
      </c>
      <c r="F568" s="19" t="n">
        <v>60</v>
      </c>
      <c r="G568" s="19" t="n">
        <v>3</v>
      </c>
      <c r="H568" s="14" t="n">
        <v>19090</v>
      </c>
      <c r="I568" s="14" t="n">
        <v>18527.56</v>
      </c>
      <c r="J568" s="24" t="n">
        <v>1.045</v>
      </c>
      <c r="K568" s="19" t="n">
        <v>0</v>
      </c>
      <c r="L568" s="13" t="str">
        <f aca="false">IF(D568&gt;=Inputs!$C$14,"Near-prime","Non-prime")</f>
        <v>Near-prime</v>
      </c>
      <c r="M568" s="19" t="n">
        <f aca="false">IF(K568&lt;=Inputs!$C$19,1,0)</f>
        <v>1</v>
      </c>
      <c r="N568" s="19" t="n">
        <f aca="false">IF(F568&lt;=Inputs!$C$20,1,0)</f>
        <v>1</v>
      </c>
      <c r="O568" s="19" t="n">
        <f aca="false">IF(J568&lt;=Inputs!$C$21,1,0)</f>
        <v>1</v>
      </c>
      <c r="P568" s="19" t="n">
        <f aca="false">IF(D568&gt;=Inputs!$C$22,1,0)</f>
        <v>1</v>
      </c>
      <c r="Q568" s="19" t="n">
        <f aca="false">IF(I568&lt;=Inputs!$C$23,1,0)</f>
        <v>1</v>
      </c>
      <c r="R568" s="19" t="n">
        <f aca="false">M568*N568*O568*P568*Q568</f>
        <v>1</v>
      </c>
      <c r="S568" s="14" t="n">
        <f aca="false">I568*R568</f>
        <v>18527.56</v>
      </c>
      <c r="T568" s="19" t="n">
        <f aca="false">IF(F568&gt;72,1,0)</f>
        <v>0</v>
      </c>
      <c r="U568" s="19" t="n">
        <f aca="false">IF(J568&gt;1.25,1,0)</f>
        <v>0</v>
      </c>
    </row>
    <row r="569" customFormat="false" ht="15" hidden="false" customHeight="false" outlineLevel="0" collapsed="false">
      <c r="B569" s="13" t="s">
        <v>789</v>
      </c>
      <c r="C569" s="13" t="s">
        <v>237</v>
      </c>
      <c r="D569" s="19" t="n">
        <v>654</v>
      </c>
      <c r="E569" s="23" t="n">
        <v>0.1936</v>
      </c>
      <c r="F569" s="19" t="n">
        <v>66</v>
      </c>
      <c r="G569" s="19" t="n">
        <v>1</v>
      </c>
      <c r="H569" s="14" t="n">
        <v>16210</v>
      </c>
      <c r="I569" s="14" t="n">
        <v>16070.58</v>
      </c>
      <c r="J569" s="24" t="n">
        <v>1.285</v>
      </c>
      <c r="K569" s="19" t="n">
        <v>0</v>
      </c>
      <c r="L569" s="13" t="str">
        <f aca="false">IF(D569&gt;=Inputs!$C$14,"Near-prime","Non-prime")</f>
        <v>Near-prime</v>
      </c>
      <c r="M569" s="19" t="n">
        <f aca="false">IF(K569&lt;=Inputs!$C$19,1,0)</f>
        <v>1</v>
      </c>
      <c r="N569" s="19" t="n">
        <f aca="false">IF(F569&lt;=Inputs!$C$20,1,0)</f>
        <v>1</v>
      </c>
      <c r="O569" s="19" t="n">
        <f aca="false">IF(J569&lt;=Inputs!$C$21,1,0)</f>
        <v>1</v>
      </c>
      <c r="P569" s="19" t="n">
        <f aca="false">IF(D569&gt;=Inputs!$C$22,1,0)</f>
        <v>1</v>
      </c>
      <c r="Q569" s="19" t="n">
        <f aca="false">IF(I569&lt;=Inputs!$C$23,1,0)</f>
        <v>1</v>
      </c>
      <c r="R569" s="19" t="n">
        <f aca="false">M569*N569*O569*P569*Q569</f>
        <v>1</v>
      </c>
      <c r="S569" s="14" t="n">
        <f aca="false">I569*R569</f>
        <v>16070.58</v>
      </c>
      <c r="T569" s="19" t="n">
        <f aca="false">IF(F569&gt;72,1,0)</f>
        <v>0</v>
      </c>
      <c r="U569" s="19" t="n">
        <f aca="false">IF(J569&gt;1.25,1,0)</f>
        <v>1</v>
      </c>
    </row>
    <row r="570" customFormat="false" ht="15" hidden="false" customHeight="false" outlineLevel="0" collapsed="false">
      <c r="B570" s="13" t="s">
        <v>790</v>
      </c>
      <c r="C570" s="13" t="s">
        <v>221</v>
      </c>
      <c r="D570" s="19" t="n">
        <v>673</v>
      </c>
      <c r="E570" s="23" t="n">
        <v>0.1924</v>
      </c>
      <c r="F570" s="19" t="n">
        <v>60</v>
      </c>
      <c r="G570" s="19" t="n">
        <v>10</v>
      </c>
      <c r="H570" s="14" t="n">
        <v>36120</v>
      </c>
      <c r="I570" s="14" t="n">
        <v>32220.61</v>
      </c>
      <c r="J570" s="24" t="n">
        <v>1.11</v>
      </c>
      <c r="K570" s="19" t="n">
        <v>0</v>
      </c>
      <c r="L570" s="13" t="str">
        <f aca="false">IF(D570&gt;=Inputs!$C$14,"Near-prime","Non-prime")</f>
        <v>Near-prime</v>
      </c>
      <c r="M570" s="19" t="n">
        <f aca="false">IF(K570&lt;=Inputs!$C$19,1,0)</f>
        <v>1</v>
      </c>
      <c r="N570" s="19" t="n">
        <f aca="false">IF(F570&lt;=Inputs!$C$20,1,0)</f>
        <v>1</v>
      </c>
      <c r="O570" s="19" t="n">
        <f aca="false">IF(J570&lt;=Inputs!$C$21,1,0)</f>
        <v>1</v>
      </c>
      <c r="P570" s="19" t="n">
        <f aca="false">IF(D570&gt;=Inputs!$C$22,1,0)</f>
        <v>1</v>
      </c>
      <c r="Q570" s="19" t="n">
        <f aca="false">IF(I570&lt;=Inputs!$C$23,1,0)</f>
        <v>1</v>
      </c>
      <c r="R570" s="19" t="n">
        <f aca="false">M570*N570*O570*P570*Q570</f>
        <v>1</v>
      </c>
      <c r="S570" s="14" t="n">
        <f aca="false">I570*R570</f>
        <v>32220.61</v>
      </c>
      <c r="T570" s="19" t="n">
        <f aca="false">IF(F570&gt;72,1,0)</f>
        <v>0</v>
      </c>
      <c r="U570" s="19" t="n">
        <f aca="false">IF(J570&gt;1.25,1,0)</f>
        <v>0</v>
      </c>
    </row>
    <row r="571" customFormat="false" ht="15" hidden="false" customHeight="false" outlineLevel="0" collapsed="false">
      <c r="B571" s="13" t="s">
        <v>791</v>
      </c>
      <c r="C571" s="13" t="s">
        <v>221</v>
      </c>
      <c r="D571" s="19" t="n">
        <v>735</v>
      </c>
      <c r="E571" s="23" t="n">
        <v>0.1917</v>
      </c>
      <c r="F571" s="19" t="n">
        <v>72</v>
      </c>
      <c r="G571" s="19" t="n">
        <v>10</v>
      </c>
      <c r="H571" s="14" t="n">
        <v>15700</v>
      </c>
      <c r="I571" s="14" t="n">
        <v>14434.29</v>
      </c>
      <c r="J571" s="24" t="n">
        <v>1.201</v>
      </c>
      <c r="K571" s="19" t="n">
        <v>45</v>
      </c>
      <c r="L571" s="13" t="str">
        <f aca="false">IF(D571&gt;=Inputs!$C$14,"Near-prime","Non-prime")</f>
        <v>Near-prime</v>
      </c>
      <c r="M571" s="19" t="n">
        <f aca="false">IF(K571&lt;=Inputs!$C$19,1,0)</f>
        <v>1</v>
      </c>
      <c r="N571" s="19" t="n">
        <f aca="false">IF(F571&lt;=Inputs!$C$20,1,0)</f>
        <v>1</v>
      </c>
      <c r="O571" s="19" t="n">
        <f aca="false">IF(J571&lt;=Inputs!$C$21,1,0)</f>
        <v>1</v>
      </c>
      <c r="P571" s="19" t="n">
        <f aca="false">IF(D571&gt;=Inputs!$C$22,1,0)</f>
        <v>1</v>
      </c>
      <c r="Q571" s="19" t="n">
        <f aca="false">IF(I571&lt;=Inputs!$C$23,1,0)</f>
        <v>1</v>
      </c>
      <c r="R571" s="19" t="n">
        <f aca="false">M571*N571*O571*P571*Q571</f>
        <v>1</v>
      </c>
      <c r="S571" s="14" t="n">
        <f aca="false">I571*R571</f>
        <v>14434.29</v>
      </c>
      <c r="T571" s="19" t="n">
        <f aca="false">IF(F571&gt;72,1,0)</f>
        <v>0</v>
      </c>
      <c r="U571" s="19" t="n">
        <f aca="false">IF(J571&gt;1.25,1,0)</f>
        <v>0</v>
      </c>
    </row>
    <row r="572" customFormat="false" ht="15" hidden="false" customHeight="false" outlineLevel="0" collapsed="false">
      <c r="B572" s="13" t="s">
        <v>792</v>
      </c>
      <c r="C572" s="13" t="s">
        <v>233</v>
      </c>
      <c r="D572" s="19" t="n">
        <v>557</v>
      </c>
      <c r="E572" s="23" t="n">
        <v>0.2469</v>
      </c>
      <c r="F572" s="19" t="n">
        <v>48</v>
      </c>
      <c r="G572" s="19" t="n">
        <v>7</v>
      </c>
      <c r="H572" s="14" t="n">
        <v>29940</v>
      </c>
      <c r="I572" s="14" t="n">
        <v>27173.07</v>
      </c>
      <c r="J572" s="24" t="n">
        <v>0.974</v>
      </c>
      <c r="K572" s="19" t="n">
        <v>0</v>
      </c>
      <c r="L572" s="13" t="str">
        <f aca="false">IF(D572&gt;=Inputs!$C$14,"Near-prime","Non-prime")</f>
        <v>Non-prime</v>
      </c>
      <c r="M572" s="19" t="n">
        <f aca="false">IF(K572&lt;=Inputs!$C$19,1,0)</f>
        <v>1</v>
      </c>
      <c r="N572" s="19" t="n">
        <f aca="false">IF(F572&lt;=Inputs!$C$20,1,0)</f>
        <v>1</v>
      </c>
      <c r="O572" s="19" t="n">
        <f aca="false">IF(J572&lt;=Inputs!$C$21,1,0)</f>
        <v>1</v>
      </c>
      <c r="P572" s="19" t="n">
        <f aca="false">IF(D572&gt;=Inputs!$C$22,1,0)</f>
        <v>1</v>
      </c>
      <c r="Q572" s="19" t="n">
        <f aca="false">IF(I572&lt;=Inputs!$C$23,1,0)</f>
        <v>1</v>
      </c>
      <c r="R572" s="19" t="n">
        <f aca="false">M572*N572*O572*P572*Q572</f>
        <v>1</v>
      </c>
      <c r="S572" s="14" t="n">
        <f aca="false">I572*R572</f>
        <v>27173.07</v>
      </c>
      <c r="T572" s="19" t="n">
        <f aca="false">IF(F572&gt;72,1,0)</f>
        <v>0</v>
      </c>
      <c r="U572" s="19" t="n">
        <f aca="false">IF(J572&gt;1.25,1,0)</f>
        <v>0</v>
      </c>
    </row>
    <row r="573" customFormat="false" ht="15" hidden="false" customHeight="false" outlineLevel="0" collapsed="false">
      <c r="B573" s="13" t="s">
        <v>793</v>
      </c>
      <c r="C573" s="13" t="s">
        <v>219</v>
      </c>
      <c r="D573" s="19" t="n">
        <v>520</v>
      </c>
      <c r="E573" s="23" t="n">
        <v>0.2291</v>
      </c>
      <c r="F573" s="19" t="n">
        <v>60</v>
      </c>
      <c r="G573" s="19" t="n">
        <v>4</v>
      </c>
      <c r="H573" s="14" t="n">
        <v>18140</v>
      </c>
      <c r="I573" s="14" t="n">
        <v>17464.5</v>
      </c>
      <c r="J573" s="24" t="n">
        <v>1.166</v>
      </c>
      <c r="K573" s="19" t="n">
        <v>0</v>
      </c>
      <c r="L573" s="13" t="str">
        <f aca="false">IF(D573&gt;=Inputs!$C$14,"Near-prime","Non-prime")</f>
        <v>Non-prime</v>
      </c>
      <c r="M573" s="19" t="n">
        <f aca="false">IF(K573&lt;=Inputs!$C$19,1,0)</f>
        <v>1</v>
      </c>
      <c r="N573" s="19" t="n">
        <f aca="false">IF(F573&lt;=Inputs!$C$20,1,0)</f>
        <v>1</v>
      </c>
      <c r="O573" s="19" t="n">
        <f aca="false">IF(J573&lt;=Inputs!$C$21,1,0)</f>
        <v>1</v>
      </c>
      <c r="P573" s="19" t="n">
        <f aca="false">IF(D573&gt;=Inputs!$C$22,1,0)</f>
        <v>0</v>
      </c>
      <c r="Q573" s="19" t="n">
        <f aca="false">IF(I573&lt;=Inputs!$C$23,1,0)</f>
        <v>1</v>
      </c>
      <c r="R573" s="19" t="n">
        <f aca="false">M573*N573*O573*P573*Q573</f>
        <v>0</v>
      </c>
      <c r="S573" s="14" t="n">
        <f aca="false">I573*R573</f>
        <v>0</v>
      </c>
      <c r="T573" s="19" t="n">
        <f aca="false">IF(F573&gt;72,1,0)</f>
        <v>0</v>
      </c>
      <c r="U573" s="19" t="n">
        <f aca="false">IF(J573&gt;1.25,1,0)</f>
        <v>0</v>
      </c>
    </row>
    <row r="574" customFormat="false" ht="15" hidden="false" customHeight="false" outlineLevel="0" collapsed="false">
      <c r="B574" s="13" t="s">
        <v>794</v>
      </c>
      <c r="C574" s="13" t="s">
        <v>219</v>
      </c>
      <c r="D574" s="19" t="n">
        <v>740</v>
      </c>
      <c r="E574" s="23" t="n">
        <v>0.1611</v>
      </c>
      <c r="F574" s="19" t="n">
        <v>48</v>
      </c>
      <c r="G574" s="19" t="n">
        <v>5</v>
      </c>
      <c r="H574" s="14" t="n">
        <v>29740</v>
      </c>
      <c r="I574" s="14" t="n">
        <v>27453.13</v>
      </c>
      <c r="J574" s="24" t="n">
        <v>1.013</v>
      </c>
      <c r="K574" s="19" t="n">
        <v>0</v>
      </c>
      <c r="L574" s="13" t="str">
        <f aca="false">IF(D574&gt;=Inputs!$C$14,"Near-prime","Non-prime")</f>
        <v>Near-prime</v>
      </c>
      <c r="M574" s="19" t="n">
        <f aca="false">IF(K574&lt;=Inputs!$C$19,1,0)</f>
        <v>1</v>
      </c>
      <c r="N574" s="19" t="n">
        <f aca="false">IF(F574&lt;=Inputs!$C$20,1,0)</f>
        <v>1</v>
      </c>
      <c r="O574" s="19" t="n">
        <f aca="false">IF(J574&lt;=Inputs!$C$21,1,0)</f>
        <v>1</v>
      </c>
      <c r="P574" s="19" t="n">
        <f aca="false">IF(D574&gt;=Inputs!$C$22,1,0)</f>
        <v>1</v>
      </c>
      <c r="Q574" s="19" t="n">
        <f aca="false">IF(I574&lt;=Inputs!$C$23,1,0)</f>
        <v>1</v>
      </c>
      <c r="R574" s="19" t="n">
        <f aca="false">M574*N574*O574*P574*Q574</f>
        <v>1</v>
      </c>
      <c r="S574" s="14" t="n">
        <f aca="false">I574*R574</f>
        <v>27453.13</v>
      </c>
      <c r="T574" s="19" t="n">
        <f aca="false">IF(F574&gt;72,1,0)</f>
        <v>0</v>
      </c>
      <c r="U574" s="19" t="n">
        <f aca="false">IF(J574&gt;1.25,1,0)</f>
        <v>0</v>
      </c>
    </row>
    <row r="575" customFormat="false" ht="15" hidden="false" customHeight="false" outlineLevel="0" collapsed="false">
      <c r="B575" s="13" t="s">
        <v>795</v>
      </c>
      <c r="C575" s="13" t="s">
        <v>228</v>
      </c>
      <c r="D575" s="19" t="n">
        <v>576</v>
      </c>
      <c r="E575" s="23" t="n">
        <v>0.2365</v>
      </c>
      <c r="F575" s="19" t="n">
        <v>72</v>
      </c>
      <c r="G575" s="19" t="n">
        <v>3</v>
      </c>
      <c r="H575" s="14" t="n">
        <v>11880</v>
      </c>
      <c r="I575" s="14" t="n">
        <v>11647.15</v>
      </c>
      <c r="J575" s="24" t="n">
        <v>1.229</v>
      </c>
      <c r="K575" s="19" t="n">
        <v>0</v>
      </c>
      <c r="L575" s="13" t="str">
        <f aca="false">IF(D575&gt;=Inputs!$C$14,"Near-prime","Non-prime")</f>
        <v>Non-prime</v>
      </c>
      <c r="M575" s="19" t="n">
        <f aca="false">IF(K575&lt;=Inputs!$C$19,1,0)</f>
        <v>1</v>
      </c>
      <c r="N575" s="19" t="n">
        <f aca="false">IF(F575&lt;=Inputs!$C$20,1,0)</f>
        <v>1</v>
      </c>
      <c r="O575" s="19" t="n">
        <f aca="false">IF(J575&lt;=Inputs!$C$21,1,0)</f>
        <v>1</v>
      </c>
      <c r="P575" s="19" t="n">
        <f aca="false">IF(D575&gt;=Inputs!$C$22,1,0)</f>
        <v>1</v>
      </c>
      <c r="Q575" s="19" t="n">
        <f aca="false">IF(I575&lt;=Inputs!$C$23,1,0)</f>
        <v>1</v>
      </c>
      <c r="R575" s="19" t="n">
        <f aca="false">M575*N575*O575*P575*Q575</f>
        <v>1</v>
      </c>
      <c r="S575" s="14" t="n">
        <f aca="false">I575*R575</f>
        <v>11647.15</v>
      </c>
      <c r="T575" s="19" t="n">
        <f aca="false">IF(F575&gt;72,1,0)</f>
        <v>0</v>
      </c>
      <c r="U575" s="19" t="n">
        <f aca="false">IF(J575&gt;1.25,1,0)</f>
        <v>0</v>
      </c>
    </row>
    <row r="576" customFormat="false" ht="15" hidden="false" customHeight="false" outlineLevel="0" collapsed="false">
      <c r="B576" s="13" t="s">
        <v>796</v>
      </c>
      <c r="C576" s="13" t="s">
        <v>237</v>
      </c>
      <c r="D576" s="19" t="n">
        <v>651</v>
      </c>
      <c r="E576" s="23" t="n">
        <v>0.2056</v>
      </c>
      <c r="F576" s="19" t="n">
        <v>75</v>
      </c>
      <c r="G576" s="19" t="n">
        <v>9</v>
      </c>
      <c r="H576" s="14" t="n">
        <v>32030</v>
      </c>
      <c r="I576" s="14" t="n">
        <v>29975.52</v>
      </c>
      <c r="J576" s="24" t="n">
        <v>1.312</v>
      </c>
      <c r="K576" s="19" t="n">
        <v>0</v>
      </c>
      <c r="L576" s="13" t="str">
        <f aca="false">IF(D576&gt;=Inputs!$C$14,"Near-prime","Non-prime")</f>
        <v>Near-prime</v>
      </c>
      <c r="M576" s="19" t="n">
        <f aca="false">IF(K576&lt;=Inputs!$C$19,1,0)</f>
        <v>1</v>
      </c>
      <c r="N576" s="19" t="n">
        <f aca="false">IF(F576&lt;=Inputs!$C$20,1,0)</f>
        <v>1</v>
      </c>
      <c r="O576" s="19" t="n">
        <f aca="false">IF(J576&lt;=Inputs!$C$21,1,0)</f>
        <v>1</v>
      </c>
      <c r="P576" s="19" t="n">
        <f aca="false">IF(D576&gt;=Inputs!$C$22,1,0)</f>
        <v>1</v>
      </c>
      <c r="Q576" s="19" t="n">
        <f aca="false">IF(I576&lt;=Inputs!$C$23,1,0)</f>
        <v>1</v>
      </c>
      <c r="R576" s="19" t="n">
        <f aca="false">M576*N576*O576*P576*Q576</f>
        <v>1</v>
      </c>
      <c r="S576" s="14" t="n">
        <f aca="false">I576*R576</f>
        <v>29975.52</v>
      </c>
      <c r="T576" s="19" t="n">
        <f aca="false">IF(F576&gt;72,1,0)</f>
        <v>1</v>
      </c>
      <c r="U576" s="19" t="n">
        <f aca="false">IF(J576&gt;1.25,1,0)</f>
        <v>1</v>
      </c>
    </row>
    <row r="577" customFormat="false" ht="15" hidden="false" customHeight="false" outlineLevel="0" collapsed="false">
      <c r="B577" s="13" t="s">
        <v>797</v>
      </c>
      <c r="C577" s="13" t="s">
        <v>233</v>
      </c>
      <c r="D577" s="19" t="n">
        <v>563</v>
      </c>
      <c r="E577" s="23" t="n">
        <v>0.237</v>
      </c>
      <c r="F577" s="19" t="n">
        <v>66</v>
      </c>
      <c r="G577" s="19" t="n">
        <v>1</v>
      </c>
      <c r="H577" s="14" t="n">
        <v>21120</v>
      </c>
      <c r="I577" s="14" t="n">
        <v>20961.74</v>
      </c>
      <c r="J577" s="24" t="n">
        <v>1.057</v>
      </c>
      <c r="K577" s="19" t="n">
        <v>0</v>
      </c>
      <c r="L577" s="13" t="str">
        <f aca="false">IF(D577&gt;=Inputs!$C$14,"Near-prime","Non-prime")</f>
        <v>Non-prime</v>
      </c>
      <c r="M577" s="19" t="n">
        <f aca="false">IF(K577&lt;=Inputs!$C$19,1,0)</f>
        <v>1</v>
      </c>
      <c r="N577" s="19" t="n">
        <f aca="false">IF(F577&lt;=Inputs!$C$20,1,0)</f>
        <v>1</v>
      </c>
      <c r="O577" s="19" t="n">
        <f aca="false">IF(J577&lt;=Inputs!$C$21,1,0)</f>
        <v>1</v>
      </c>
      <c r="P577" s="19" t="n">
        <f aca="false">IF(D577&gt;=Inputs!$C$22,1,0)</f>
        <v>1</v>
      </c>
      <c r="Q577" s="19" t="n">
        <f aca="false">IF(I577&lt;=Inputs!$C$23,1,0)</f>
        <v>1</v>
      </c>
      <c r="R577" s="19" t="n">
        <f aca="false">M577*N577*O577*P577*Q577</f>
        <v>1</v>
      </c>
      <c r="S577" s="14" t="n">
        <f aca="false">I577*R577</f>
        <v>20961.74</v>
      </c>
      <c r="T577" s="19" t="n">
        <f aca="false">IF(F577&gt;72,1,0)</f>
        <v>0</v>
      </c>
      <c r="U577" s="19" t="n">
        <f aca="false">IF(J577&gt;1.25,1,0)</f>
        <v>0</v>
      </c>
    </row>
    <row r="578" customFormat="false" ht="15" hidden="false" customHeight="false" outlineLevel="0" collapsed="false">
      <c r="B578" s="13" t="s">
        <v>798</v>
      </c>
      <c r="C578" s="13" t="s">
        <v>219</v>
      </c>
      <c r="D578" s="19" t="n">
        <v>520</v>
      </c>
      <c r="E578" s="23" t="n">
        <v>0.2408</v>
      </c>
      <c r="F578" s="19" t="n">
        <v>75</v>
      </c>
      <c r="G578" s="19" t="n">
        <v>1</v>
      </c>
      <c r="H578" s="14" t="n">
        <v>16870</v>
      </c>
      <c r="I578" s="14" t="n">
        <v>16771.52</v>
      </c>
      <c r="J578" s="24" t="n">
        <v>1.042</v>
      </c>
      <c r="K578" s="19" t="n">
        <v>75</v>
      </c>
      <c r="L578" s="13" t="str">
        <f aca="false">IF(D578&gt;=Inputs!$C$14,"Near-prime","Non-prime")</f>
        <v>Non-prime</v>
      </c>
      <c r="M578" s="19" t="n">
        <f aca="false">IF(K578&lt;=Inputs!$C$19,1,0)</f>
        <v>0</v>
      </c>
      <c r="N578" s="19" t="n">
        <f aca="false">IF(F578&lt;=Inputs!$C$20,1,0)</f>
        <v>1</v>
      </c>
      <c r="O578" s="19" t="n">
        <f aca="false">IF(J578&lt;=Inputs!$C$21,1,0)</f>
        <v>1</v>
      </c>
      <c r="P578" s="19" t="n">
        <f aca="false">IF(D578&gt;=Inputs!$C$22,1,0)</f>
        <v>0</v>
      </c>
      <c r="Q578" s="19" t="n">
        <f aca="false">IF(I578&lt;=Inputs!$C$23,1,0)</f>
        <v>1</v>
      </c>
      <c r="R578" s="19" t="n">
        <f aca="false">M578*N578*O578*P578*Q578</f>
        <v>0</v>
      </c>
      <c r="S578" s="14" t="n">
        <f aca="false">I578*R578</f>
        <v>0</v>
      </c>
      <c r="T578" s="19" t="n">
        <f aca="false">IF(F578&gt;72,1,0)</f>
        <v>1</v>
      </c>
      <c r="U578" s="19" t="n">
        <f aca="false">IF(J578&gt;1.25,1,0)</f>
        <v>0</v>
      </c>
    </row>
    <row r="579" customFormat="false" ht="15" hidden="false" customHeight="false" outlineLevel="0" collapsed="false">
      <c r="B579" s="13" t="s">
        <v>799</v>
      </c>
      <c r="C579" s="13" t="s">
        <v>252</v>
      </c>
      <c r="D579" s="19" t="n">
        <v>643</v>
      </c>
      <c r="E579" s="23" t="n">
        <v>0.2233</v>
      </c>
      <c r="F579" s="19" t="n">
        <v>72</v>
      </c>
      <c r="G579" s="19" t="n">
        <v>9</v>
      </c>
      <c r="H579" s="14" t="n">
        <v>47170</v>
      </c>
      <c r="I579" s="14" t="n">
        <v>44098.05</v>
      </c>
      <c r="J579" s="24" t="n">
        <v>0.792</v>
      </c>
      <c r="K579" s="19" t="n">
        <v>0</v>
      </c>
      <c r="L579" s="13" t="str">
        <f aca="false">IF(D579&gt;=Inputs!$C$14,"Near-prime","Non-prime")</f>
        <v>Near-prime</v>
      </c>
      <c r="M579" s="19" t="n">
        <f aca="false">IF(K579&lt;=Inputs!$C$19,1,0)</f>
        <v>1</v>
      </c>
      <c r="N579" s="19" t="n">
        <f aca="false">IF(F579&lt;=Inputs!$C$20,1,0)</f>
        <v>1</v>
      </c>
      <c r="O579" s="19" t="n">
        <f aca="false">IF(J579&lt;=Inputs!$C$21,1,0)</f>
        <v>1</v>
      </c>
      <c r="P579" s="19" t="n">
        <f aca="false">IF(D579&gt;=Inputs!$C$22,1,0)</f>
        <v>1</v>
      </c>
      <c r="Q579" s="19" t="n">
        <f aca="false">IF(I579&lt;=Inputs!$C$23,1,0)</f>
        <v>1</v>
      </c>
      <c r="R579" s="19" t="n">
        <f aca="false">M579*N579*O579*P579*Q579</f>
        <v>1</v>
      </c>
      <c r="S579" s="14" t="n">
        <f aca="false">I579*R579</f>
        <v>44098.05</v>
      </c>
      <c r="T579" s="19" t="n">
        <f aca="false">IF(F579&gt;72,1,0)</f>
        <v>0</v>
      </c>
      <c r="U579" s="19" t="n">
        <f aca="false">IF(J579&gt;1.25,1,0)</f>
        <v>0</v>
      </c>
    </row>
    <row r="580" customFormat="false" ht="15" hidden="false" customHeight="false" outlineLevel="0" collapsed="false">
      <c r="B580" s="13" t="s">
        <v>800</v>
      </c>
      <c r="C580" s="13" t="s">
        <v>223</v>
      </c>
      <c r="D580" s="19" t="n">
        <v>671</v>
      </c>
      <c r="E580" s="23" t="n">
        <v>0.2029</v>
      </c>
      <c r="F580" s="19" t="n">
        <v>72</v>
      </c>
      <c r="G580" s="19" t="n">
        <v>2</v>
      </c>
      <c r="H580" s="14" t="n">
        <v>23310</v>
      </c>
      <c r="I580" s="14" t="n">
        <v>22970.89</v>
      </c>
      <c r="J580" s="24" t="n">
        <v>1.372</v>
      </c>
      <c r="K580" s="19" t="n">
        <v>0</v>
      </c>
      <c r="L580" s="13" t="str">
        <f aca="false">IF(D580&gt;=Inputs!$C$14,"Near-prime","Non-prime")</f>
        <v>Near-prime</v>
      </c>
      <c r="M580" s="19" t="n">
        <f aca="false">IF(K580&lt;=Inputs!$C$19,1,0)</f>
        <v>1</v>
      </c>
      <c r="N580" s="19" t="n">
        <f aca="false">IF(F580&lt;=Inputs!$C$20,1,0)</f>
        <v>1</v>
      </c>
      <c r="O580" s="19" t="n">
        <f aca="false">IF(J580&lt;=Inputs!$C$21,1,0)</f>
        <v>1</v>
      </c>
      <c r="P580" s="19" t="n">
        <f aca="false">IF(D580&gt;=Inputs!$C$22,1,0)</f>
        <v>1</v>
      </c>
      <c r="Q580" s="19" t="n">
        <f aca="false">IF(I580&lt;=Inputs!$C$23,1,0)</f>
        <v>1</v>
      </c>
      <c r="R580" s="19" t="n">
        <f aca="false">M580*N580*O580*P580*Q580</f>
        <v>1</v>
      </c>
      <c r="S580" s="14" t="n">
        <f aca="false">I580*R580</f>
        <v>22970.89</v>
      </c>
      <c r="T580" s="19" t="n">
        <f aca="false">IF(F580&gt;72,1,0)</f>
        <v>0</v>
      </c>
      <c r="U580" s="19" t="n">
        <f aca="false">IF(J580&gt;1.25,1,0)</f>
        <v>1</v>
      </c>
    </row>
    <row r="581" customFormat="false" ht="15" hidden="false" customHeight="false" outlineLevel="0" collapsed="false">
      <c r="B581" s="13" t="s">
        <v>801</v>
      </c>
      <c r="C581" s="13" t="s">
        <v>217</v>
      </c>
      <c r="D581" s="19" t="n">
        <v>604</v>
      </c>
      <c r="E581" s="23" t="n">
        <v>0.1942</v>
      </c>
      <c r="F581" s="19" t="n">
        <v>66</v>
      </c>
      <c r="G581" s="19" t="n">
        <v>1</v>
      </c>
      <c r="H581" s="14" t="n">
        <v>25400</v>
      </c>
      <c r="I581" s="14" t="n">
        <v>25181.94</v>
      </c>
      <c r="J581" s="24" t="n">
        <v>1.404</v>
      </c>
      <c r="K581" s="19" t="n">
        <v>0</v>
      </c>
      <c r="L581" s="13" t="str">
        <f aca="false">IF(D581&gt;=Inputs!$C$14,"Near-prime","Non-prime")</f>
        <v>Non-prime</v>
      </c>
      <c r="M581" s="19" t="n">
        <f aca="false">IF(K581&lt;=Inputs!$C$19,1,0)</f>
        <v>1</v>
      </c>
      <c r="N581" s="19" t="n">
        <f aca="false">IF(F581&lt;=Inputs!$C$20,1,0)</f>
        <v>1</v>
      </c>
      <c r="O581" s="19" t="n">
        <f aca="false">IF(J581&lt;=Inputs!$C$21,1,0)</f>
        <v>1</v>
      </c>
      <c r="P581" s="19" t="n">
        <f aca="false">IF(D581&gt;=Inputs!$C$22,1,0)</f>
        <v>1</v>
      </c>
      <c r="Q581" s="19" t="n">
        <f aca="false">IF(I581&lt;=Inputs!$C$23,1,0)</f>
        <v>1</v>
      </c>
      <c r="R581" s="19" t="n">
        <f aca="false">M581*N581*O581*P581*Q581</f>
        <v>1</v>
      </c>
      <c r="S581" s="14" t="n">
        <f aca="false">I581*R581</f>
        <v>25181.94</v>
      </c>
      <c r="T581" s="19" t="n">
        <f aca="false">IF(F581&gt;72,1,0)</f>
        <v>0</v>
      </c>
      <c r="U581" s="19" t="n">
        <f aca="false">IF(J581&gt;1.25,1,0)</f>
        <v>1</v>
      </c>
    </row>
    <row r="582" customFormat="false" ht="15" hidden="false" customHeight="false" outlineLevel="0" collapsed="false">
      <c r="B582" s="13" t="s">
        <v>802</v>
      </c>
      <c r="C582" s="13" t="s">
        <v>252</v>
      </c>
      <c r="D582" s="19" t="n">
        <v>520</v>
      </c>
      <c r="E582" s="23" t="n">
        <v>0.2336</v>
      </c>
      <c r="F582" s="19" t="n">
        <v>75</v>
      </c>
      <c r="G582" s="19" t="n">
        <v>0</v>
      </c>
      <c r="H582" s="14" t="n">
        <v>24920</v>
      </c>
      <c r="I582" s="14" t="n">
        <v>24920</v>
      </c>
      <c r="J582" s="24" t="n">
        <v>1.282</v>
      </c>
      <c r="K582" s="19" t="n">
        <v>0</v>
      </c>
      <c r="L582" s="13" t="str">
        <f aca="false">IF(D582&gt;=Inputs!$C$14,"Near-prime","Non-prime")</f>
        <v>Non-prime</v>
      </c>
      <c r="M582" s="19" t="n">
        <f aca="false">IF(K582&lt;=Inputs!$C$19,1,0)</f>
        <v>1</v>
      </c>
      <c r="N582" s="19" t="n">
        <f aca="false">IF(F582&lt;=Inputs!$C$20,1,0)</f>
        <v>1</v>
      </c>
      <c r="O582" s="19" t="n">
        <f aca="false">IF(J582&lt;=Inputs!$C$21,1,0)</f>
        <v>1</v>
      </c>
      <c r="P582" s="19" t="n">
        <f aca="false">IF(D582&gt;=Inputs!$C$22,1,0)</f>
        <v>0</v>
      </c>
      <c r="Q582" s="19" t="n">
        <f aca="false">IF(I582&lt;=Inputs!$C$23,1,0)</f>
        <v>1</v>
      </c>
      <c r="R582" s="19" t="n">
        <f aca="false">M582*N582*O582*P582*Q582</f>
        <v>0</v>
      </c>
      <c r="S582" s="14" t="n">
        <f aca="false">I582*R582</f>
        <v>0</v>
      </c>
      <c r="T582" s="19" t="n">
        <f aca="false">IF(F582&gt;72,1,0)</f>
        <v>1</v>
      </c>
      <c r="U582" s="19" t="n">
        <f aca="false">IF(J582&gt;1.25,1,0)</f>
        <v>1</v>
      </c>
    </row>
    <row r="583" customFormat="false" ht="15" hidden="false" customHeight="false" outlineLevel="0" collapsed="false">
      <c r="B583" s="13" t="s">
        <v>803</v>
      </c>
      <c r="C583" s="13" t="s">
        <v>217</v>
      </c>
      <c r="D583" s="19" t="n">
        <v>663</v>
      </c>
      <c r="E583" s="23" t="n">
        <v>0.2221</v>
      </c>
      <c r="F583" s="19" t="n">
        <v>60</v>
      </c>
      <c r="G583" s="19" t="n">
        <v>7</v>
      </c>
      <c r="H583" s="14" t="n">
        <v>30800</v>
      </c>
      <c r="I583" s="14" t="n">
        <v>28696.02</v>
      </c>
      <c r="J583" s="24" t="n">
        <v>0.881</v>
      </c>
      <c r="K583" s="19" t="n">
        <v>30</v>
      </c>
      <c r="L583" s="13" t="str">
        <f aca="false">IF(D583&gt;=Inputs!$C$14,"Near-prime","Non-prime")</f>
        <v>Near-prime</v>
      </c>
      <c r="M583" s="19" t="n">
        <f aca="false">IF(K583&lt;=Inputs!$C$19,1,0)</f>
        <v>1</v>
      </c>
      <c r="N583" s="19" t="n">
        <f aca="false">IF(F583&lt;=Inputs!$C$20,1,0)</f>
        <v>1</v>
      </c>
      <c r="O583" s="19" t="n">
        <f aca="false">IF(J583&lt;=Inputs!$C$21,1,0)</f>
        <v>1</v>
      </c>
      <c r="P583" s="19" t="n">
        <f aca="false">IF(D583&gt;=Inputs!$C$22,1,0)</f>
        <v>1</v>
      </c>
      <c r="Q583" s="19" t="n">
        <f aca="false">IF(I583&lt;=Inputs!$C$23,1,0)</f>
        <v>1</v>
      </c>
      <c r="R583" s="19" t="n">
        <f aca="false">M583*N583*O583*P583*Q583</f>
        <v>1</v>
      </c>
      <c r="S583" s="14" t="n">
        <f aca="false">I583*R583</f>
        <v>28696.02</v>
      </c>
      <c r="T583" s="19" t="n">
        <f aca="false">IF(F583&gt;72,1,0)</f>
        <v>0</v>
      </c>
      <c r="U583" s="19" t="n">
        <f aca="false">IF(J583&gt;1.25,1,0)</f>
        <v>0</v>
      </c>
    </row>
    <row r="584" customFormat="false" ht="15" hidden="false" customHeight="false" outlineLevel="0" collapsed="false">
      <c r="B584" s="13" t="s">
        <v>804</v>
      </c>
      <c r="C584" s="13" t="s">
        <v>217</v>
      </c>
      <c r="D584" s="19" t="n">
        <v>745</v>
      </c>
      <c r="E584" s="23" t="n">
        <v>0.2066</v>
      </c>
      <c r="F584" s="19" t="n">
        <v>66</v>
      </c>
      <c r="G584" s="19" t="n">
        <v>6</v>
      </c>
      <c r="H584" s="14" t="n">
        <v>19550</v>
      </c>
      <c r="I584" s="14" t="n">
        <v>18538.86</v>
      </c>
      <c r="J584" s="24" t="n">
        <v>1.068</v>
      </c>
      <c r="K584" s="19" t="n">
        <v>30</v>
      </c>
      <c r="L584" s="13" t="str">
        <f aca="false">IF(D584&gt;=Inputs!$C$14,"Near-prime","Non-prime")</f>
        <v>Near-prime</v>
      </c>
      <c r="M584" s="19" t="n">
        <f aca="false">IF(K584&lt;=Inputs!$C$19,1,0)</f>
        <v>1</v>
      </c>
      <c r="N584" s="19" t="n">
        <f aca="false">IF(F584&lt;=Inputs!$C$20,1,0)</f>
        <v>1</v>
      </c>
      <c r="O584" s="19" t="n">
        <f aca="false">IF(J584&lt;=Inputs!$C$21,1,0)</f>
        <v>1</v>
      </c>
      <c r="P584" s="19" t="n">
        <f aca="false">IF(D584&gt;=Inputs!$C$22,1,0)</f>
        <v>1</v>
      </c>
      <c r="Q584" s="19" t="n">
        <f aca="false">IF(I584&lt;=Inputs!$C$23,1,0)</f>
        <v>1</v>
      </c>
      <c r="R584" s="19" t="n">
        <f aca="false">M584*N584*O584*P584*Q584</f>
        <v>1</v>
      </c>
      <c r="S584" s="14" t="n">
        <f aca="false">I584*R584</f>
        <v>18538.86</v>
      </c>
      <c r="T584" s="19" t="n">
        <f aca="false">IF(F584&gt;72,1,0)</f>
        <v>0</v>
      </c>
      <c r="U584" s="19" t="n">
        <f aca="false">IF(J584&gt;1.25,1,0)</f>
        <v>0</v>
      </c>
    </row>
    <row r="585" customFormat="false" ht="15" hidden="false" customHeight="false" outlineLevel="0" collapsed="false">
      <c r="B585" s="13" t="s">
        <v>805</v>
      </c>
      <c r="C585" s="13" t="s">
        <v>237</v>
      </c>
      <c r="D585" s="19" t="n">
        <v>557</v>
      </c>
      <c r="E585" s="23" t="n">
        <v>0.2412</v>
      </c>
      <c r="F585" s="19" t="n">
        <v>60</v>
      </c>
      <c r="G585" s="19" t="n">
        <v>2</v>
      </c>
      <c r="H585" s="14" t="n">
        <v>41360</v>
      </c>
      <c r="I585" s="14" t="n">
        <v>40629.96</v>
      </c>
      <c r="J585" s="24" t="n">
        <v>0.941</v>
      </c>
      <c r="K585" s="19" t="n">
        <v>0</v>
      </c>
      <c r="L585" s="13" t="str">
        <f aca="false">IF(D585&gt;=Inputs!$C$14,"Near-prime","Non-prime")</f>
        <v>Non-prime</v>
      </c>
      <c r="M585" s="19" t="n">
        <f aca="false">IF(K585&lt;=Inputs!$C$19,1,0)</f>
        <v>1</v>
      </c>
      <c r="N585" s="19" t="n">
        <f aca="false">IF(F585&lt;=Inputs!$C$20,1,0)</f>
        <v>1</v>
      </c>
      <c r="O585" s="19" t="n">
        <f aca="false">IF(J585&lt;=Inputs!$C$21,1,0)</f>
        <v>1</v>
      </c>
      <c r="P585" s="19" t="n">
        <f aca="false">IF(D585&gt;=Inputs!$C$22,1,0)</f>
        <v>1</v>
      </c>
      <c r="Q585" s="19" t="n">
        <f aca="false">IF(I585&lt;=Inputs!$C$23,1,0)</f>
        <v>1</v>
      </c>
      <c r="R585" s="19" t="n">
        <f aca="false">M585*N585*O585*P585*Q585</f>
        <v>1</v>
      </c>
      <c r="S585" s="14" t="n">
        <f aca="false">I585*R585</f>
        <v>40629.96</v>
      </c>
      <c r="T585" s="19" t="n">
        <f aca="false">IF(F585&gt;72,1,0)</f>
        <v>0</v>
      </c>
      <c r="U585" s="19" t="n">
        <f aca="false">IF(J585&gt;1.25,1,0)</f>
        <v>0</v>
      </c>
    </row>
    <row r="586" customFormat="false" ht="15" hidden="false" customHeight="false" outlineLevel="0" collapsed="false">
      <c r="B586" s="13" t="s">
        <v>806</v>
      </c>
      <c r="C586" s="13" t="s">
        <v>219</v>
      </c>
      <c r="D586" s="19" t="n">
        <v>686</v>
      </c>
      <c r="E586" s="23" t="n">
        <v>0.2009</v>
      </c>
      <c r="F586" s="19" t="n">
        <v>60</v>
      </c>
      <c r="G586" s="19" t="n">
        <v>9</v>
      </c>
      <c r="H586" s="14" t="n">
        <v>17800</v>
      </c>
      <c r="I586" s="14" t="n">
        <v>16120.3</v>
      </c>
      <c r="J586" s="24" t="n">
        <v>1.105</v>
      </c>
      <c r="K586" s="19" t="n">
        <v>0</v>
      </c>
      <c r="L586" s="13" t="str">
        <f aca="false">IF(D586&gt;=Inputs!$C$14,"Near-prime","Non-prime")</f>
        <v>Near-prime</v>
      </c>
      <c r="M586" s="19" t="n">
        <f aca="false">IF(K586&lt;=Inputs!$C$19,1,0)</f>
        <v>1</v>
      </c>
      <c r="N586" s="19" t="n">
        <f aca="false">IF(F586&lt;=Inputs!$C$20,1,0)</f>
        <v>1</v>
      </c>
      <c r="O586" s="19" t="n">
        <f aca="false">IF(J586&lt;=Inputs!$C$21,1,0)</f>
        <v>1</v>
      </c>
      <c r="P586" s="19" t="n">
        <f aca="false">IF(D586&gt;=Inputs!$C$22,1,0)</f>
        <v>1</v>
      </c>
      <c r="Q586" s="19" t="n">
        <f aca="false">IF(I586&lt;=Inputs!$C$23,1,0)</f>
        <v>1</v>
      </c>
      <c r="R586" s="19" t="n">
        <f aca="false">M586*N586*O586*P586*Q586</f>
        <v>1</v>
      </c>
      <c r="S586" s="14" t="n">
        <f aca="false">I586*R586</f>
        <v>16120.3</v>
      </c>
      <c r="T586" s="19" t="n">
        <f aca="false">IF(F586&gt;72,1,0)</f>
        <v>0</v>
      </c>
      <c r="U586" s="19" t="n">
        <f aca="false">IF(J586&gt;1.25,1,0)</f>
        <v>0</v>
      </c>
    </row>
    <row r="587" customFormat="false" ht="15" hidden="false" customHeight="false" outlineLevel="0" collapsed="false">
      <c r="B587" s="13" t="s">
        <v>807</v>
      </c>
      <c r="C587" s="13" t="s">
        <v>217</v>
      </c>
      <c r="D587" s="19" t="n">
        <v>661</v>
      </c>
      <c r="E587" s="23" t="n">
        <v>0.1903</v>
      </c>
      <c r="F587" s="19" t="n">
        <v>72</v>
      </c>
      <c r="G587" s="19" t="n">
        <v>3</v>
      </c>
      <c r="H587" s="14" t="n">
        <v>19480</v>
      </c>
      <c r="I587" s="14" t="n">
        <v>19032.6</v>
      </c>
      <c r="J587" s="24" t="n">
        <v>1.021</v>
      </c>
      <c r="K587" s="19" t="n">
        <v>0</v>
      </c>
      <c r="L587" s="13" t="str">
        <f aca="false">IF(D587&gt;=Inputs!$C$14,"Near-prime","Non-prime")</f>
        <v>Near-prime</v>
      </c>
      <c r="M587" s="19" t="n">
        <f aca="false">IF(K587&lt;=Inputs!$C$19,1,0)</f>
        <v>1</v>
      </c>
      <c r="N587" s="19" t="n">
        <f aca="false">IF(F587&lt;=Inputs!$C$20,1,0)</f>
        <v>1</v>
      </c>
      <c r="O587" s="19" t="n">
        <f aca="false">IF(J587&lt;=Inputs!$C$21,1,0)</f>
        <v>1</v>
      </c>
      <c r="P587" s="19" t="n">
        <f aca="false">IF(D587&gt;=Inputs!$C$22,1,0)</f>
        <v>1</v>
      </c>
      <c r="Q587" s="19" t="n">
        <f aca="false">IF(I587&lt;=Inputs!$C$23,1,0)</f>
        <v>1</v>
      </c>
      <c r="R587" s="19" t="n">
        <f aca="false">M587*N587*O587*P587*Q587</f>
        <v>1</v>
      </c>
      <c r="S587" s="14" t="n">
        <f aca="false">I587*R587</f>
        <v>19032.6</v>
      </c>
      <c r="T587" s="19" t="n">
        <f aca="false">IF(F587&gt;72,1,0)</f>
        <v>0</v>
      </c>
      <c r="U587" s="19" t="n">
        <f aca="false">IF(J587&gt;1.25,1,0)</f>
        <v>0</v>
      </c>
    </row>
    <row r="588" customFormat="false" ht="15" hidden="false" customHeight="false" outlineLevel="0" collapsed="false">
      <c r="B588" s="13" t="s">
        <v>808</v>
      </c>
      <c r="C588" s="13" t="s">
        <v>217</v>
      </c>
      <c r="D588" s="19" t="n">
        <v>550</v>
      </c>
      <c r="E588" s="23" t="n">
        <v>0.247</v>
      </c>
      <c r="F588" s="19" t="n">
        <v>60</v>
      </c>
      <c r="G588" s="19" t="n">
        <v>4</v>
      </c>
      <c r="H588" s="14" t="n">
        <v>25310</v>
      </c>
      <c r="I588" s="14" t="n">
        <v>24412.88</v>
      </c>
      <c r="J588" s="24" t="n">
        <v>1.038</v>
      </c>
      <c r="K588" s="19" t="n">
        <v>15</v>
      </c>
      <c r="L588" s="13" t="str">
        <f aca="false">IF(D588&gt;=Inputs!$C$14,"Near-prime","Non-prime")</f>
        <v>Non-prime</v>
      </c>
      <c r="M588" s="19" t="n">
        <f aca="false">IF(K588&lt;=Inputs!$C$19,1,0)</f>
        <v>1</v>
      </c>
      <c r="N588" s="19" t="n">
        <f aca="false">IF(F588&lt;=Inputs!$C$20,1,0)</f>
        <v>1</v>
      </c>
      <c r="O588" s="19" t="n">
        <f aca="false">IF(J588&lt;=Inputs!$C$21,1,0)</f>
        <v>1</v>
      </c>
      <c r="P588" s="19" t="n">
        <f aca="false">IF(D588&gt;=Inputs!$C$22,1,0)</f>
        <v>1</v>
      </c>
      <c r="Q588" s="19" t="n">
        <f aca="false">IF(I588&lt;=Inputs!$C$23,1,0)</f>
        <v>1</v>
      </c>
      <c r="R588" s="19" t="n">
        <f aca="false">M588*N588*O588*P588*Q588</f>
        <v>1</v>
      </c>
      <c r="S588" s="14" t="n">
        <f aca="false">I588*R588</f>
        <v>24412.88</v>
      </c>
      <c r="T588" s="19" t="n">
        <f aca="false">IF(F588&gt;72,1,0)</f>
        <v>0</v>
      </c>
      <c r="U588" s="19" t="n">
        <f aca="false">IF(J588&gt;1.25,1,0)</f>
        <v>0</v>
      </c>
    </row>
    <row r="589" customFormat="false" ht="15" hidden="false" customHeight="false" outlineLevel="0" collapsed="false">
      <c r="B589" s="13" t="s">
        <v>809</v>
      </c>
      <c r="C589" s="13" t="s">
        <v>252</v>
      </c>
      <c r="D589" s="19" t="n">
        <v>699</v>
      </c>
      <c r="E589" s="23" t="n">
        <v>0.1828</v>
      </c>
      <c r="F589" s="19" t="n">
        <v>75</v>
      </c>
      <c r="G589" s="19" t="n">
        <v>8</v>
      </c>
      <c r="H589" s="14" t="n">
        <v>49700</v>
      </c>
      <c r="I589" s="14" t="n">
        <v>46668.4</v>
      </c>
      <c r="J589" s="24" t="n">
        <v>0.735</v>
      </c>
      <c r="K589" s="19" t="n">
        <v>0</v>
      </c>
      <c r="L589" s="13" t="str">
        <f aca="false">IF(D589&gt;=Inputs!$C$14,"Near-prime","Non-prime")</f>
        <v>Near-prime</v>
      </c>
      <c r="M589" s="19" t="n">
        <f aca="false">IF(K589&lt;=Inputs!$C$19,1,0)</f>
        <v>1</v>
      </c>
      <c r="N589" s="19" t="n">
        <f aca="false">IF(F589&lt;=Inputs!$C$20,1,0)</f>
        <v>1</v>
      </c>
      <c r="O589" s="19" t="n">
        <f aca="false">IF(J589&lt;=Inputs!$C$21,1,0)</f>
        <v>1</v>
      </c>
      <c r="P589" s="19" t="n">
        <f aca="false">IF(D589&gt;=Inputs!$C$22,1,0)</f>
        <v>1</v>
      </c>
      <c r="Q589" s="19" t="n">
        <f aca="false">IF(I589&lt;=Inputs!$C$23,1,0)</f>
        <v>1</v>
      </c>
      <c r="R589" s="19" t="n">
        <f aca="false">M589*N589*O589*P589*Q589</f>
        <v>1</v>
      </c>
      <c r="S589" s="14" t="n">
        <f aca="false">I589*R589</f>
        <v>46668.4</v>
      </c>
      <c r="T589" s="19" t="n">
        <f aca="false">IF(F589&gt;72,1,0)</f>
        <v>1</v>
      </c>
      <c r="U589" s="19" t="n">
        <f aca="false">IF(J589&gt;1.25,1,0)</f>
        <v>0</v>
      </c>
    </row>
    <row r="590" customFormat="false" ht="15" hidden="false" customHeight="false" outlineLevel="0" collapsed="false">
      <c r="B590" s="13" t="s">
        <v>810</v>
      </c>
      <c r="C590" s="13" t="s">
        <v>221</v>
      </c>
      <c r="D590" s="19" t="n">
        <v>656</v>
      </c>
      <c r="E590" s="23" t="n">
        <v>0.205</v>
      </c>
      <c r="F590" s="19" t="n">
        <v>60</v>
      </c>
      <c r="G590" s="19" t="n">
        <v>3</v>
      </c>
      <c r="H590" s="14" t="n">
        <v>20000</v>
      </c>
      <c r="I590" s="14" t="n">
        <v>19408.64</v>
      </c>
      <c r="J590" s="24" t="n">
        <v>1.071</v>
      </c>
      <c r="K590" s="19" t="n">
        <v>0</v>
      </c>
      <c r="L590" s="13" t="str">
        <f aca="false">IF(D590&gt;=Inputs!$C$14,"Near-prime","Non-prime")</f>
        <v>Near-prime</v>
      </c>
      <c r="M590" s="19" t="n">
        <f aca="false">IF(K590&lt;=Inputs!$C$19,1,0)</f>
        <v>1</v>
      </c>
      <c r="N590" s="19" t="n">
        <f aca="false">IF(F590&lt;=Inputs!$C$20,1,0)</f>
        <v>1</v>
      </c>
      <c r="O590" s="19" t="n">
        <f aca="false">IF(J590&lt;=Inputs!$C$21,1,0)</f>
        <v>1</v>
      </c>
      <c r="P590" s="19" t="n">
        <f aca="false">IF(D590&gt;=Inputs!$C$22,1,0)</f>
        <v>1</v>
      </c>
      <c r="Q590" s="19" t="n">
        <f aca="false">IF(I590&lt;=Inputs!$C$23,1,0)</f>
        <v>1</v>
      </c>
      <c r="R590" s="19" t="n">
        <f aca="false">M590*N590*O590*P590*Q590</f>
        <v>1</v>
      </c>
      <c r="S590" s="14" t="n">
        <f aca="false">I590*R590</f>
        <v>19408.64</v>
      </c>
      <c r="T590" s="19" t="n">
        <f aca="false">IF(F590&gt;72,1,0)</f>
        <v>0</v>
      </c>
      <c r="U590" s="19" t="n">
        <f aca="false">IF(J590&gt;1.25,1,0)</f>
        <v>0</v>
      </c>
    </row>
    <row r="591" customFormat="false" ht="15" hidden="false" customHeight="false" outlineLevel="0" collapsed="false">
      <c r="B591" s="13" t="s">
        <v>811</v>
      </c>
      <c r="C591" s="13" t="s">
        <v>252</v>
      </c>
      <c r="D591" s="19" t="n">
        <v>639</v>
      </c>
      <c r="E591" s="23" t="n">
        <v>0.2055</v>
      </c>
      <c r="F591" s="19" t="n">
        <v>48</v>
      </c>
      <c r="G591" s="19" t="n">
        <v>8</v>
      </c>
      <c r="H591" s="14" t="n">
        <v>27130</v>
      </c>
      <c r="I591" s="14" t="n">
        <v>23995.34</v>
      </c>
      <c r="J591" s="24" t="n">
        <v>1.224</v>
      </c>
      <c r="K591" s="19" t="n">
        <v>0</v>
      </c>
      <c r="L591" s="13" t="str">
        <f aca="false">IF(D591&gt;=Inputs!$C$14,"Near-prime","Non-prime")</f>
        <v>Near-prime</v>
      </c>
      <c r="M591" s="19" t="n">
        <f aca="false">IF(K591&lt;=Inputs!$C$19,1,0)</f>
        <v>1</v>
      </c>
      <c r="N591" s="19" t="n">
        <f aca="false">IF(F591&lt;=Inputs!$C$20,1,0)</f>
        <v>1</v>
      </c>
      <c r="O591" s="19" t="n">
        <f aca="false">IF(J591&lt;=Inputs!$C$21,1,0)</f>
        <v>1</v>
      </c>
      <c r="P591" s="19" t="n">
        <f aca="false">IF(D591&gt;=Inputs!$C$22,1,0)</f>
        <v>1</v>
      </c>
      <c r="Q591" s="19" t="n">
        <f aca="false">IF(I591&lt;=Inputs!$C$23,1,0)</f>
        <v>1</v>
      </c>
      <c r="R591" s="19" t="n">
        <f aca="false">M591*N591*O591*P591*Q591</f>
        <v>1</v>
      </c>
      <c r="S591" s="14" t="n">
        <f aca="false">I591*R591</f>
        <v>23995.34</v>
      </c>
      <c r="T591" s="19" t="n">
        <f aca="false">IF(F591&gt;72,1,0)</f>
        <v>0</v>
      </c>
      <c r="U591" s="19" t="n">
        <f aca="false">IF(J591&gt;1.25,1,0)</f>
        <v>0</v>
      </c>
    </row>
    <row r="592" customFormat="false" ht="15" hidden="false" customHeight="false" outlineLevel="0" collapsed="false">
      <c r="B592" s="13" t="s">
        <v>812</v>
      </c>
      <c r="C592" s="13" t="s">
        <v>217</v>
      </c>
      <c r="D592" s="19" t="n">
        <v>713</v>
      </c>
      <c r="E592" s="23" t="n">
        <v>0.1985</v>
      </c>
      <c r="F592" s="19" t="n">
        <v>60</v>
      </c>
      <c r="G592" s="19" t="n">
        <v>1</v>
      </c>
      <c r="H592" s="14" t="n">
        <v>20240</v>
      </c>
      <c r="I592" s="14" t="n">
        <v>20040.26</v>
      </c>
      <c r="J592" s="24" t="n">
        <v>1.009</v>
      </c>
      <c r="K592" s="19" t="n">
        <v>30</v>
      </c>
      <c r="L592" s="13" t="str">
        <f aca="false">IF(D592&gt;=Inputs!$C$14,"Near-prime","Non-prime")</f>
        <v>Near-prime</v>
      </c>
      <c r="M592" s="19" t="n">
        <f aca="false">IF(K592&lt;=Inputs!$C$19,1,0)</f>
        <v>1</v>
      </c>
      <c r="N592" s="19" t="n">
        <f aca="false">IF(F592&lt;=Inputs!$C$20,1,0)</f>
        <v>1</v>
      </c>
      <c r="O592" s="19" t="n">
        <f aca="false">IF(J592&lt;=Inputs!$C$21,1,0)</f>
        <v>1</v>
      </c>
      <c r="P592" s="19" t="n">
        <f aca="false">IF(D592&gt;=Inputs!$C$22,1,0)</f>
        <v>1</v>
      </c>
      <c r="Q592" s="19" t="n">
        <f aca="false">IF(I592&lt;=Inputs!$C$23,1,0)</f>
        <v>1</v>
      </c>
      <c r="R592" s="19" t="n">
        <f aca="false">M592*N592*O592*P592*Q592</f>
        <v>1</v>
      </c>
      <c r="S592" s="14" t="n">
        <f aca="false">I592*R592</f>
        <v>20040.26</v>
      </c>
      <c r="T592" s="19" t="n">
        <f aca="false">IF(F592&gt;72,1,0)</f>
        <v>0</v>
      </c>
      <c r="U592" s="19" t="n">
        <f aca="false">IF(J592&gt;1.25,1,0)</f>
        <v>0</v>
      </c>
    </row>
    <row r="593" customFormat="false" ht="15" hidden="false" customHeight="false" outlineLevel="0" collapsed="false">
      <c r="B593" s="13" t="s">
        <v>813</v>
      </c>
      <c r="C593" s="13" t="s">
        <v>257</v>
      </c>
      <c r="D593" s="19" t="n">
        <v>648</v>
      </c>
      <c r="E593" s="23" t="n">
        <v>0.2139</v>
      </c>
      <c r="F593" s="19" t="n">
        <v>60</v>
      </c>
      <c r="G593" s="19" t="n">
        <v>2</v>
      </c>
      <c r="H593" s="14" t="n">
        <v>18140</v>
      </c>
      <c r="I593" s="14" t="n">
        <v>17794.16</v>
      </c>
      <c r="J593" s="24" t="n">
        <v>0.911</v>
      </c>
      <c r="K593" s="19" t="n">
        <v>75</v>
      </c>
      <c r="L593" s="13" t="str">
        <f aca="false">IF(D593&gt;=Inputs!$C$14,"Near-prime","Non-prime")</f>
        <v>Near-prime</v>
      </c>
      <c r="M593" s="19" t="n">
        <f aca="false">IF(K593&lt;=Inputs!$C$19,1,0)</f>
        <v>0</v>
      </c>
      <c r="N593" s="19" t="n">
        <f aca="false">IF(F593&lt;=Inputs!$C$20,1,0)</f>
        <v>1</v>
      </c>
      <c r="O593" s="19" t="n">
        <f aca="false">IF(J593&lt;=Inputs!$C$21,1,0)</f>
        <v>1</v>
      </c>
      <c r="P593" s="19" t="n">
        <f aca="false">IF(D593&gt;=Inputs!$C$22,1,0)</f>
        <v>1</v>
      </c>
      <c r="Q593" s="19" t="n">
        <f aca="false">IF(I593&lt;=Inputs!$C$23,1,0)</f>
        <v>1</v>
      </c>
      <c r="R593" s="19" t="n">
        <f aca="false">M593*N593*O593*P593*Q593</f>
        <v>0</v>
      </c>
      <c r="S593" s="14" t="n">
        <f aca="false">I593*R593</f>
        <v>0</v>
      </c>
      <c r="T593" s="19" t="n">
        <f aca="false">IF(F593&gt;72,1,0)</f>
        <v>0</v>
      </c>
      <c r="U593" s="19" t="n">
        <f aca="false">IF(J593&gt;1.25,1,0)</f>
        <v>0</v>
      </c>
    </row>
    <row r="594" customFormat="false" ht="15" hidden="false" customHeight="false" outlineLevel="0" collapsed="false">
      <c r="B594" s="13" t="s">
        <v>814</v>
      </c>
      <c r="C594" s="13" t="s">
        <v>223</v>
      </c>
      <c r="D594" s="19" t="n">
        <v>713</v>
      </c>
      <c r="E594" s="23" t="n">
        <v>0.227</v>
      </c>
      <c r="F594" s="19" t="n">
        <v>66</v>
      </c>
      <c r="G594" s="19" t="n">
        <v>8</v>
      </c>
      <c r="H594" s="14" t="n">
        <v>26110</v>
      </c>
      <c r="I594" s="14" t="n">
        <v>24382.57</v>
      </c>
      <c r="J594" s="24" t="n">
        <v>0.929</v>
      </c>
      <c r="K594" s="19" t="n">
        <v>0</v>
      </c>
      <c r="L594" s="13" t="str">
        <f aca="false">IF(D594&gt;=Inputs!$C$14,"Near-prime","Non-prime")</f>
        <v>Near-prime</v>
      </c>
      <c r="M594" s="19" t="n">
        <f aca="false">IF(K594&lt;=Inputs!$C$19,1,0)</f>
        <v>1</v>
      </c>
      <c r="N594" s="19" t="n">
        <f aca="false">IF(F594&lt;=Inputs!$C$20,1,0)</f>
        <v>1</v>
      </c>
      <c r="O594" s="19" t="n">
        <f aca="false">IF(J594&lt;=Inputs!$C$21,1,0)</f>
        <v>1</v>
      </c>
      <c r="P594" s="19" t="n">
        <f aca="false">IF(D594&gt;=Inputs!$C$22,1,0)</f>
        <v>1</v>
      </c>
      <c r="Q594" s="19" t="n">
        <f aca="false">IF(I594&lt;=Inputs!$C$23,1,0)</f>
        <v>1</v>
      </c>
      <c r="R594" s="19" t="n">
        <f aca="false">M594*N594*O594*P594*Q594</f>
        <v>1</v>
      </c>
      <c r="S594" s="14" t="n">
        <f aca="false">I594*R594</f>
        <v>24382.57</v>
      </c>
      <c r="T594" s="19" t="n">
        <f aca="false">IF(F594&gt;72,1,0)</f>
        <v>0</v>
      </c>
      <c r="U594" s="19" t="n">
        <f aca="false">IF(J594&gt;1.25,1,0)</f>
        <v>0</v>
      </c>
    </row>
    <row r="595" customFormat="false" ht="15" hidden="false" customHeight="false" outlineLevel="0" collapsed="false">
      <c r="B595" s="13" t="s">
        <v>815</v>
      </c>
      <c r="C595" s="13" t="s">
        <v>223</v>
      </c>
      <c r="D595" s="19" t="n">
        <v>783</v>
      </c>
      <c r="E595" s="23" t="n">
        <v>0.1956</v>
      </c>
      <c r="F595" s="19" t="n">
        <v>48</v>
      </c>
      <c r="G595" s="19" t="n">
        <v>2</v>
      </c>
      <c r="H595" s="14" t="n">
        <v>39720</v>
      </c>
      <c r="I595" s="14" t="n">
        <v>38607.07</v>
      </c>
      <c r="J595" s="24" t="n">
        <v>0.976</v>
      </c>
      <c r="K595" s="19" t="n">
        <v>0</v>
      </c>
      <c r="L595" s="13" t="str">
        <f aca="false">IF(D595&gt;=Inputs!$C$14,"Near-prime","Non-prime")</f>
        <v>Near-prime</v>
      </c>
      <c r="M595" s="19" t="n">
        <f aca="false">IF(K595&lt;=Inputs!$C$19,1,0)</f>
        <v>1</v>
      </c>
      <c r="N595" s="19" t="n">
        <f aca="false">IF(F595&lt;=Inputs!$C$20,1,0)</f>
        <v>1</v>
      </c>
      <c r="O595" s="19" t="n">
        <f aca="false">IF(J595&lt;=Inputs!$C$21,1,0)</f>
        <v>1</v>
      </c>
      <c r="P595" s="19" t="n">
        <f aca="false">IF(D595&gt;=Inputs!$C$22,1,0)</f>
        <v>1</v>
      </c>
      <c r="Q595" s="19" t="n">
        <f aca="false">IF(I595&lt;=Inputs!$C$23,1,0)</f>
        <v>1</v>
      </c>
      <c r="R595" s="19" t="n">
        <f aca="false">M595*N595*O595*P595*Q595</f>
        <v>1</v>
      </c>
      <c r="S595" s="14" t="n">
        <f aca="false">I595*R595</f>
        <v>38607.07</v>
      </c>
      <c r="T595" s="19" t="n">
        <f aca="false">IF(F595&gt;72,1,0)</f>
        <v>0</v>
      </c>
      <c r="U595" s="19" t="n">
        <f aca="false">IF(J595&gt;1.25,1,0)</f>
        <v>0</v>
      </c>
    </row>
    <row r="596" customFormat="false" ht="15" hidden="false" customHeight="false" outlineLevel="0" collapsed="false">
      <c r="B596" s="13" t="s">
        <v>816</v>
      </c>
      <c r="C596" s="13" t="s">
        <v>221</v>
      </c>
      <c r="D596" s="19" t="n">
        <v>658</v>
      </c>
      <c r="E596" s="23" t="n">
        <v>0.2035</v>
      </c>
      <c r="F596" s="19" t="n">
        <v>60</v>
      </c>
      <c r="G596" s="19" t="n">
        <v>6</v>
      </c>
      <c r="H596" s="14" t="n">
        <v>14920</v>
      </c>
      <c r="I596" s="14" t="n">
        <v>14011.13</v>
      </c>
      <c r="J596" s="24" t="n">
        <v>0.99</v>
      </c>
      <c r="K596" s="19" t="n">
        <v>0</v>
      </c>
      <c r="L596" s="13" t="str">
        <f aca="false">IF(D596&gt;=Inputs!$C$14,"Near-prime","Non-prime")</f>
        <v>Near-prime</v>
      </c>
      <c r="M596" s="19" t="n">
        <f aca="false">IF(K596&lt;=Inputs!$C$19,1,0)</f>
        <v>1</v>
      </c>
      <c r="N596" s="19" t="n">
        <f aca="false">IF(F596&lt;=Inputs!$C$20,1,0)</f>
        <v>1</v>
      </c>
      <c r="O596" s="19" t="n">
        <f aca="false">IF(J596&lt;=Inputs!$C$21,1,0)</f>
        <v>1</v>
      </c>
      <c r="P596" s="19" t="n">
        <f aca="false">IF(D596&gt;=Inputs!$C$22,1,0)</f>
        <v>1</v>
      </c>
      <c r="Q596" s="19" t="n">
        <f aca="false">IF(I596&lt;=Inputs!$C$23,1,0)</f>
        <v>1</v>
      </c>
      <c r="R596" s="19" t="n">
        <f aca="false">M596*N596*O596*P596*Q596</f>
        <v>1</v>
      </c>
      <c r="S596" s="14" t="n">
        <f aca="false">I596*R596</f>
        <v>14011.13</v>
      </c>
      <c r="T596" s="19" t="n">
        <f aca="false">IF(F596&gt;72,1,0)</f>
        <v>0</v>
      </c>
      <c r="U596" s="19" t="n">
        <f aca="false">IF(J596&gt;1.25,1,0)</f>
        <v>0</v>
      </c>
    </row>
    <row r="597" customFormat="false" ht="15" hidden="false" customHeight="false" outlineLevel="0" collapsed="false">
      <c r="B597" s="13" t="s">
        <v>817</v>
      </c>
      <c r="C597" s="13" t="s">
        <v>252</v>
      </c>
      <c r="D597" s="19" t="n">
        <v>670</v>
      </c>
      <c r="E597" s="23" t="n">
        <v>0.1983</v>
      </c>
      <c r="F597" s="19" t="n">
        <v>66</v>
      </c>
      <c r="G597" s="19" t="n">
        <v>3</v>
      </c>
      <c r="H597" s="14" t="n">
        <v>25690</v>
      </c>
      <c r="I597" s="14" t="n">
        <v>25025.96</v>
      </c>
      <c r="J597" s="24" t="n">
        <v>0.987</v>
      </c>
      <c r="K597" s="19" t="n">
        <v>0</v>
      </c>
      <c r="L597" s="13" t="str">
        <f aca="false">IF(D597&gt;=Inputs!$C$14,"Near-prime","Non-prime")</f>
        <v>Near-prime</v>
      </c>
      <c r="M597" s="19" t="n">
        <f aca="false">IF(K597&lt;=Inputs!$C$19,1,0)</f>
        <v>1</v>
      </c>
      <c r="N597" s="19" t="n">
        <f aca="false">IF(F597&lt;=Inputs!$C$20,1,0)</f>
        <v>1</v>
      </c>
      <c r="O597" s="19" t="n">
        <f aca="false">IF(J597&lt;=Inputs!$C$21,1,0)</f>
        <v>1</v>
      </c>
      <c r="P597" s="19" t="n">
        <f aca="false">IF(D597&gt;=Inputs!$C$22,1,0)</f>
        <v>1</v>
      </c>
      <c r="Q597" s="19" t="n">
        <f aca="false">IF(I597&lt;=Inputs!$C$23,1,0)</f>
        <v>1</v>
      </c>
      <c r="R597" s="19" t="n">
        <f aca="false">M597*N597*O597*P597*Q597</f>
        <v>1</v>
      </c>
      <c r="S597" s="14" t="n">
        <f aca="false">I597*R597</f>
        <v>25025.96</v>
      </c>
      <c r="T597" s="19" t="n">
        <f aca="false">IF(F597&gt;72,1,0)</f>
        <v>0</v>
      </c>
      <c r="U597" s="19" t="n">
        <f aca="false">IF(J597&gt;1.25,1,0)</f>
        <v>0</v>
      </c>
    </row>
    <row r="598" customFormat="false" ht="15" hidden="false" customHeight="false" outlineLevel="0" collapsed="false">
      <c r="B598" s="13" t="s">
        <v>818</v>
      </c>
      <c r="C598" s="13" t="s">
        <v>233</v>
      </c>
      <c r="D598" s="19" t="n">
        <v>617</v>
      </c>
      <c r="E598" s="23" t="n">
        <v>0.199</v>
      </c>
      <c r="F598" s="19" t="n">
        <v>60</v>
      </c>
      <c r="G598" s="19" t="n">
        <v>6</v>
      </c>
      <c r="H598" s="14" t="n">
        <v>28420</v>
      </c>
      <c r="I598" s="14" t="n">
        <v>26668.31</v>
      </c>
      <c r="J598" s="24" t="n">
        <v>1.423</v>
      </c>
      <c r="K598" s="19" t="n">
        <v>0</v>
      </c>
      <c r="L598" s="13" t="str">
        <f aca="false">IF(D598&gt;=Inputs!$C$14,"Near-prime","Non-prime")</f>
        <v>Non-prime</v>
      </c>
      <c r="M598" s="19" t="n">
        <f aca="false">IF(K598&lt;=Inputs!$C$19,1,0)</f>
        <v>1</v>
      </c>
      <c r="N598" s="19" t="n">
        <f aca="false">IF(F598&lt;=Inputs!$C$20,1,0)</f>
        <v>1</v>
      </c>
      <c r="O598" s="19" t="n">
        <f aca="false">IF(J598&lt;=Inputs!$C$21,1,0)</f>
        <v>1</v>
      </c>
      <c r="P598" s="19" t="n">
        <f aca="false">IF(D598&gt;=Inputs!$C$22,1,0)</f>
        <v>1</v>
      </c>
      <c r="Q598" s="19" t="n">
        <f aca="false">IF(I598&lt;=Inputs!$C$23,1,0)</f>
        <v>1</v>
      </c>
      <c r="R598" s="19" t="n">
        <f aca="false">M598*N598*O598*P598*Q598</f>
        <v>1</v>
      </c>
      <c r="S598" s="14" t="n">
        <f aca="false">I598*R598</f>
        <v>26668.31</v>
      </c>
      <c r="T598" s="19" t="n">
        <f aca="false">IF(F598&gt;72,1,0)</f>
        <v>0</v>
      </c>
      <c r="U598" s="19" t="n">
        <f aca="false">IF(J598&gt;1.25,1,0)</f>
        <v>1</v>
      </c>
    </row>
    <row r="599" customFormat="false" ht="15" hidden="false" customHeight="false" outlineLevel="0" collapsed="false">
      <c r="B599" s="13" t="s">
        <v>819</v>
      </c>
      <c r="C599" s="13" t="s">
        <v>217</v>
      </c>
      <c r="D599" s="19" t="n">
        <v>727</v>
      </c>
      <c r="E599" s="23" t="n">
        <v>0.1988</v>
      </c>
      <c r="F599" s="19" t="n">
        <v>60</v>
      </c>
      <c r="G599" s="19" t="n">
        <v>5</v>
      </c>
      <c r="H599" s="14" t="n">
        <v>21870</v>
      </c>
      <c r="I599" s="14" t="n">
        <v>20755.43</v>
      </c>
      <c r="J599" s="24" t="n">
        <v>0.972</v>
      </c>
      <c r="K599" s="19" t="n">
        <v>0</v>
      </c>
      <c r="L599" s="13" t="str">
        <f aca="false">IF(D599&gt;=Inputs!$C$14,"Near-prime","Non-prime")</f>
        <v>Near-prime</v>
      </c>
      <c r="M599" s="19" t="n">
        <f aca="false">IF(K599&lt;=Inputs!$C$19,1,0)</f>
        <v>1</v>
      </c>
      <c r="N599" s="19" t="n">
        <f aca="false">IF(F599&lt;=Inputs!$C$20,1,0)</f>
        <v>1</v>
      </c>
      <c r="O599" s="19" t="n">
        <f aca="false">IF(J599&lt;=Inputs!$C$21,1,0)</f>
        <v>1</v>
      </c>
      <c r="P599" s="19" t="n">
        <f aca="false">IF(D599&gt;=Inputs!$C$22,1,0)</f>
        <v>1</v>
      </c>
      <c r="Q599" s="19" t="n">
        <f aca="false">IF(I599&lt;=Inputs!$C$23,1,0)</f>
        <v>1</v>
      </c>
      <c r="R599" s="19" t="n">
        <f aca="false">M599*N599*O599*P599*Q599</f>
        <v>1</v>
      </c>
      <c r="S599" s="14" t="n">
        <f aca="false">I599*R599</f>
        <v>20755.43</v>
      </c>
      <c r="T599" s="19" t="n">
        <f aca="false">IF(F599&gt;72,1,0)</f>
        <v>0</v>
      </c>
      <c r="U599" s="19" t="n">
        <f aca="false">IF(J599&gt;1.25,1,0)</f>
        <v>0</v>
      </c>
    </row>
    <row r="600" customFormat="false" ht="15" hidden="false" customHeight="false" outlineLevel="0" collapsed="false">
      <c r="B600" s="13" t="s">
        <v>820</v>
      </c>
      <c r="C600" s="13" t="s">
        <v>217</v>
      </c>
      <c r="D600" s="19" t="n">
        <v>584</v>
      </c>
      <c r="E600" s="23" t="n">
        <v>0.199</v>
      </c>
      <c r="F600" s="19" t="n">
        <v>72</v>
      </c>
      <c r="G600" s="19" t="n">
        <v>2</v>
      </c>
      <c r="H600" s="14" t="n">
        <v>21200</v>
      </c>
      <c r="I600" s="14" t="n">
        <v>20887.42</v>
      </c>
      <c r="J600" s="24" t="n">
        <v>1.038</v>
      </c>
      <c r="K600" s="19" t="n">
        <v>0</v>
      </c>
      <c r="L600" s="13" t="str">
        <f aca="false">IF(D600&gt;=Inputs!$C$14,"Near-prime","Non-prime")</f>
        <v>Non-prime</v>
      </c>
      <c r="M600" s="19" t="n">
        <f aca="false">IF(K600&lt;=Inputs!$C$19,1,0)</f>
        <v>1</v>
      </c>
      <c r="N600" s="19" t="n">
        <f aca="false">IF(F600&lt;=Inputs!$C$20,1,0)</f>
        <v>1</v>
      </c>
      <c r="O600" s="19" t="n">
        <f aca="false">IF(J600&lt;=Inputs!$C$21,1,0)</f>
        <v>1</v>
      </c>
      <c r="P600" s="19" t="n">
        <f aca="false">IF(D600&gt;=Inputs!$C$22,1,0)</f>
        <v>1</v>
      </c>
      <c r="Q600" s="19" t="n">
        <f aca="false">IF(I600&lt;=Inputs!$C$23,1,0)</f>
        <v>1</v>
      </c>
      <c r="R600" s="19" t="n">
        <f aca="false">M600*N600*O600*P600*Q600</f>
        <v>1</v>
      </c>
      <c r="S600" s="14" t="n">
        <f aca="false">I600*R600</f>
        <v>20887.42</v>
      </c>
      <c r="T600" s="19" t="n">
        <f aca="false">IF(F600&gt;72,1,0)</f>
        <v>0</v>
      </c>
      <c r="U600" s="19" t="n">
        <f aca="false">IF(J600&gt;1.25,1,0)</f>
        <v>0</v>
      </c>
    </row>
    <row r="601" customFormat="false" ht="15" hidden="false" customHeight="false" outlineLevel="0" collapsed="false">
      <c r="B601" s="13" t="s">
        <v>821</v>
      </c>
      <c r="C601" s="13" t="s">
        <v>217</v>
      </c>
      <c r="D601" s="19" t="n">
        <v>621</v>
      </c>
      <c r="E601" s="23" t="n">
        <v>0.194</v>
      </c>
      <c r="F601" s="19" t="n">
        <v>72</v>
      </c>
      <c r="G601" s="19" t="n">
        <v>6</v>
      </c>
      <c r="H601" s="14" t="n">
        <v>17910</v>
      </c>
      <c r="I601" s="14" t="n">
        <v>17077.52</v>
      </c>
      <c r="J601" s="24" t="n">
        <v>1.205</v>
      </c>
      <c r="K601" s="19" t="n">
        <v>0</v>
      </c>
      <c r="L601" s="13" t="str">
        <f aca="false">IF(D601&gt;=Inputs!$C$14,"Near-prime","Non-prime")</f>
        <v>Near-prime</v>
      </c>
      <c r="M601" s="19" t="n">
        <f aca="false">IF(K601&lt;=Inputs!$C$19,1,0)</f>
        <v>1</v>
      </c>
      <c r="N601" s="19" t="n">
        <f aca="false">IF(F601&lt;=Inputs!$C$20,1,0)</f>
        <v>1</v>
      </c>
      <c r="O601" s="19" t="n">
        <f aca="false">IF(J601&lt;=Inputs!$C$21,1,0)</f>
        <v>1</v>
      </c>
      <c r="P601" s="19" t="n">
        <f aca="false">IF(D601&gt;=Inputs!$C$22,1,0)</f>
        <v>1</v>
      </c>
      <c r="Q601" s="19" t="n">
        <f aca="false">IF(I601&lt;=Inputs!$C$23,1,0)</f>
        <v>1</v>
      </c>
      <c r="R601" s="19" t="n">
        <f aca="false">M601*N601*O601*P601*Q601</f>
        <v>1</v>
      </c>
      <c r="S601" s="14" t="n">
        <f aca="false">I601*R601</f>
        <v>17077.52</v>
      </c>
      <c r="T601" s="19" t="n">
        <f aca="false">IF(F601&gt;72,1,0)</f>
        <v>0</v>
      </c>
      <c r="U601" s="19" t="n">
        <f aca="false">IF(J601&gt;1.25,1,0)</f>
        <v>0</v>
      </c>
    </row>
    <row r="602" customFormat="false" ht="15" hidden="false" customHeight="false" outlineLevel="0" collapsed="false">
      <c r="B602" s="13" t="s">
        <v>822</v>
      </c>
      <c r="C602" s="13" t="s">
        <v>226</v>
      </c>
      <c r="D602" s="19" t="n">
        <v>645</v>
      </c>
      <c r="E602" s="23" t="n">
        <v>0.2059</v>
      </c>
      <c r="F602" s="19" t="n">
        <v>66</v>
      </c>
      <c r="G602" s="19" t="n">
        <v>6</v>
      </c>
      <c r="H602" s="14" t="n">
        <v>20390</v>
      </c>
      <c r="I602" s="14" t="n">
        <v>19333.24</v>
      </c>
      <c r="J602" s="24" t="n">
        <v>1.105</v>
      </c>
      <c r="K602" s="19" t="n">
        <v>0</v>
      </c>
      <c r="L602" s="13" t="str">
        <f aca="false">IF(D602&gt;=Inputs!$C$14,"Near-prime","Non-prime")</f>
        <v>Near-prime</v>
      </c>
      <c r="M602" s="19" t="n">
        <f aca="false">IF(K602&lt;=Inputs!$C$19,1,0)</f>
        <v>1</v>
      </c>
      <c r="N602" s="19" t="n">
        <f aca="false">IF(F602&lt;=Inputs!$C$20,1,0)</f>
        <v>1</v>
      </c>
      <c r="O602" s="19" t="n">
        <f aca="false">IF(J602&lt;=Inputs!$C$21,1,0)</f>
        <v>1</v>
      </c>
      <c r="P602" s="19" t="n">
        <f aca="false">IF(D602&gt;=Inputs!$C$22,1,0)</f>
        <v>1</v>
      </c>
      <c r="Q602" s="19" t="n">
        <f aca="false">IF(I602&lt;=Inputs!$C$23,1,0)</f>
        <v>1</v>
      </c>
      <c r="R602" s="19" t="n">
        <f aca="false">M602*N602*O602*P602*Q602</f>
        <v>1</v>
      </c>
      <c r="S602" s="14" t="n">
        <f aca="false">I602*R602</f>
        <v>19333.24</v>
      </c>
      <c r="T602" s="19" t="n">
        <f aca="false">IF(F602&gt;72,1,0)</f>
        <v>0</v>
      </c>
      <c r="U602" s="19" t="n">
        <f aca="false">IF(J602&gt;1.25,1,0)</f>
        <v>0</v>
      </c>
    </row>
    <row r="603" customFormat="false" ht="15" hidden="false" customHeight="false" outlineLevel="0" collapsed="false">
      <c r="B603" s="13" t="s">
        <v>823</v>
      </c>
      <c r="C603" s="13" t="s">
        <v>223</v>
      </c>
      <c r="D603" s="19" t="n">
        <v>638</v>
      </c>
      <c r="E603" s="23" t="n">
        <v>0.2115</v>
      </c>
      <c r="F603" s="19" t="n">
        <v>66</v>
      </c>
      <c r="G603" s="19" t="n">
        <v>7</v>
      </c>
      <c r="H603" s="14" t="n">
        <v>19250</v>
      </c>
      <c r="I603" s="14" t="n">
        <v>18094.91</v>
      </c>
      <c r="J603" s="24" t="n">
        <v>0.922</v>
      </c>
      <c r="K603" s="19" t="n">
        <v>0</v>
      </c>
      <c r="L603" s="13" t="str">
        <f aca="false">IF(D603&gt;=Inputs!$C$14,"Near-prime","Non-prime")</f>
        <v>Near-prime</v>
      </c>
      <c r="M603" s="19" t="n">
        <f aca="false">IF(K603&lt;=Inputs!$C$19,1,0)</f>
        <v>1</v>
      </c>
      <c r="N603" s="19" t="n">
        <f aca="false">IF(F603&lt;=Inputs!$C$20,1,0)</f>
        <v>1</v>
      </c>
      <c r="O603" s="19" t="n">
        <f aca="false">IF(J603&lt;=Inputs!$C$21,1,0)</f>
        <v>1</v>
      </c>
      <c r="P603" s="19" t="n">
        <f aca="false">IF(D603&gt;=Inputs!$C$22,1,0)</f>
        <v>1</v>
      </c>
      <c r="Q603" s="19" t="n">
        <f aca="false">IF(I603&lt;=Inputs!$C$23,1,0)</f>
        <v>1</v>
      </c>
      <c r="R603" s="19" t="n">
        <f aca="false">M603*N603*O603*P603*Q603</f>
        <v>1</v>
      </c>
      <c r="S603" s="14" t="n">
        <f aca="false">I603*R603</f>
        <v>18094.91</v>
      </c>
      <c r="T603" s="19" t="n">
        <f aca="false">IF(F603&gt;72,1,0)</f>
        <v>0</v>
      </c>
      <c r="U603" s="19" t="n">
        <f aca="false">IF(J603&gt;1.25,1,0)</f>
        <v>0</v>
      </c>
    </row>
    <row r="604" customFormat="false" ht="15" hidden="false" customHeight="false" outlineLevel="0" collapsed="false">
      <c r="B604" s="13" t="s">
        <v>824</v>
      </c>
      <c r="C604" s="13" t="s">
        <v>228</v>
      </c>
      <c r="D604" s="19" t="n">
        <v>611</v>
      </c>
      <c r="E604" s="23" t="n">
        <v>0.2096</v>
      </c>
      <c r="F604" s="19" t="n">
        <v>66</v>
      </c>
      <c r="G604" s="19" t="n">
        <v>10</v>
      </c>
      <c r="H604" s="14" t="n">
        <v>32810</v>
      </c>
      <c r="I604" s="14" t="n">
        <v>29905.6</v>
      </c>
      <c r="J604" s="24" t="n">
        <v>0.986</v>
      </c>
      <c r="K604" s="19" t="n">
        <v>0</v>
      </c>
      <c r="L604" s="13" t="str">
        <f aca="false">IF(D604&gt;=Inputs!$C$14,"Near-prime","Non-prime")</f>
        <v>Non-prime</v>
      </c>
      <c r="M604" s="19" t="n">
        <f aca="false">IF(K604&lt;=Inputs!$C$19,1,0)</f>
        <v>1</v>
      </c>
      <c r="N604" s="19" t="n">
        <f aca="false">IF(F604&lt;=Inputs!$C$20,1,0)</f>
        <v>1</v>
      </c>
      <c r="O604" s="19" t="n">
        <f aca="false">IF(J604&lt;=Inputs!$C$21,1,0)</f>
        <v>1</v>
      </c>
      <c r="P604" s="19" t="n">
        <f aca="false">IF(D604&gt;=Inputs!$C$22,1,0)</f>
        <v>1</v>
      </c>
      <c r="Q604" s="19" t="n">
        <f aca="false">IF(I604&lt;=Inputs!$C$23,1,0)</f>
        <v>1</v>
      </c>
      <c r="R604" s="19" t="n">
        <f aca="false">M604*N604*O604*P604*Q604</f>
        <v>1</v>
      </c>
      <c r="S604" s="14" t="n">
        <f aca="false">I604*R604</f>
        <v>29905.6</v>
      </c>
      <c r="T604" s="19" t="n">
        <f aca="false">IF(F604&gt;72,1,0)</f>
        <v>0</v>
      </c>
      <c r="U604" s="19" t="n">
        <f aca="false">IF(J604&gt;1.25,1,0)</f>
        <v>0</v>
      </c>
    </row>
    <row r="605" customFormat="false" ht="15" hidden="false" customHeight="false" outlineLevel="0" collapsed="false">
      <c r="B605" s="13" t="s">
        <v>825</v>
      </c>
      <c r="C605" s="13" t="s">
        <v>217</v>
      </c>
      <c r="D605" s="19" t="n">
        <v>694</v>
      </c>
      <c r="E605" s="23" t="n">
        <v>0.2046</v>
      </c>
      <c r="F605" s="19" t="n">
        <v>60</v>
      </c>
      <c r="G605" s="19" t="n">
        <v>1</v>
      </c>
      <c r="H605" s="14" t="n">
        <v>19100</v>
      </c>
      <c r="I605" s="14" t="n">
        <v>18914.72</v>
      </c>
      <c r="J605" s="24" t="n">
        <v>1.063</v>
      </c>
      <c r="K605" s="19" t="n">
        <v>0</v>
      </c>
      <c r="L605" s="13" t="str">
        <f aca="false">IF(D605&gt;=Inputs!$C$14,"Near-prime","Non-prime")</f>
        <v>Near-prime</v>
      </c>
      <c r="M605" s="19" t="n">
        <f aca="false">IF(K605&lt;=Inputs!$C$19,1,0)</f>
        <v>1</v>
      </c>
      <c r="N605" s="19" t="n">
        <f aca="false">IF(F605&lt;=Inputs!$C$20,1,0)</f>
        <v>1</v>
      </c>
      <c r="O605" s="19" t="n">
        <f aca="false">IF(J605&lt;=Inputs!$C$21,1,0)</f>
        <v>1</v>
      </c>
      <c r="P605" s="19" t="n">
        <f aca="false">IF(D605&gt;=Inputs!$C$22,1,0)</f>
        <v>1</v>
      </c>
      <c r="Q605" s="19" t="n">
        <f aca="false">IF(I605&lt;=Inputs!$C$23,1,0)</f>
        <v>1</v>
      </c>
      <c r="R605" s="19" t="n">
        <f aca="false">M605*N605*O605*P605*Q605</f>
        <v>1</v>
      </c>
      <c r="S605" s="14" t="n">
        <f aca="false">I605*R605</f>
        <v>18914.72</v>
      </c>
      <c r="T605" s="19" t="n">
        <f aca="false">IF(F605&gt;72,1,0)</f>
        <v>0</v>
      </c>
      <c r="U605" s="19" t="n">
        <f aca="false">IF(J605&gt;1.25,1,0)</f>
        <v>0</v>
      </c>
    </row>
    <row r="606" customFormat="false" ht="15" hidden="false" customHeight="false" outlineLevel="0" collapsed="false">
      <c r="B606" s="13" t="s">
        <v>826</v>
      </c>
      <c r="C606" s="13" t="s">
        <v>252</v>
      </c>
      <c r="D606" s="19" t="n">
        <v>632</v>
      </c>
      <c r="E606" s="23" t="n">
        <v>0.2049</v>
      </c>
      <c r="F606" s="19" t="n">
        <v>84</v>
      </c>
      <c r="G606" s="19" t="n">
        <v>5</v>
      </c>
      <c r="H606" s="14" t="n">
        <v>26300</v>
      </c>
      <c r="I606" s="14" t="n">
        <v>25561.53</v>
      </c>
      <c r="J606" s="24" t="n">
        <v>1.134</v>
      </c>
      <c r="K606" s="19" t="n">
        <v>0</v>
      </c>
      <c r="L606" s="13" t="str">
        <f aca="false">IF(D606&gt;=Inputs!$C$14,"Near-prime","Non-prime")</f>
        <v>Near-prime</v>
      </c>
      <c r="M606" s="19" t="n">
        <f aca="false">IF(K606&lt;=Inputs!$C$19,1,0)</f>
        <v>1</v>
      </c>
      <c r="N606" s="19" t="n">
        <f aca="false">IF(F606&lt;=Inputs!$C$20,1,0)</f>
        <v>0</v>
      </c>
      <c r="O606" s="19" t="n">
        <f aca="false">IF(J606&lt;=Inputs!$C$21,1,0)</f>
        <v>1</v>
      </c>
      <c r="P606" s="19" t="n">
        <f aca="false">IF(D606&gt;=Inputs!$C$22,1,0)</f>
        <v>1</v>
      </c>
      <c r="Q606" s="19" t="n">
        <f aca="false">IF(I606&lt;=Inputs!$C$23,1,0)</f>
        <v>1</v>
      </c>
      <c r="R606" s="19" t="n">
        <f aca="false">M606*N606*O606*P606*Q606</f>
        <v>0</v>
      </c>
      <c r="S606" s="14" t="n">
        <f aca="false">I606*R606</f>
        <v>0</v>
      </c>
      <c r="T606" s="19" t="n">
        <f aca="false">IF(F606&gt;72,1,0)</f>
        <v>1</v>
      </c>
      <c r="U606" s="19" t="n">
        <f aca="false">IF(J606&gt;1.25,1,0)</f>
        <v>0</v>
      </c>
    </row>
    <row r="607" customFormat="false" ht="15" hidden="false" customHeight="false" outlineLevel="0" collapsed="false">
      <c r="B607" s="13" t="s">
        <v>827</v>
      </c>
      <c r="C607" s="13" t="s">
        <v>237</v>
      </c>
      <c r="D607" s="19" t="n">
        <v>536</v>
      </c>
      <c r="E607" s="23" t="n">
        <v>0.2489</v>
      </c>
      <c r="F607" s="19" t="n">
        <v>60</v>
      </c>
      <c r="G607" s="19" t="n">
        <v>6</v>
      </c>
      <c r="H607" s="14" t="n">
        <v>36650</v>
      </c>
      <c r="I607" s="14" t="n">
        <v>34670.73</v>
      </c>
      <c r="J607" s="24" t="n">
        <v>0.88</v>
      </c>
      <c r="K607" s="19" t="n">
        <v>0</v>
      </c>
      <c r="L607" s="13" t="str">
        <f aca="false">IF(D607&gt;=Inputs!$C$14,"Near-prime","Non-prime")</f>
        <v>Non-prime</v>
      </c>
      <c r="M607" s="19" t="n">
        <f aca="false">IF(K607&lt;=Inputs!$C$19,1,0)</f>
        <v>1</v>
      </c>
      <c r="N607" s="19" t="n">
        <f aca="false">IF(F607&lt;=Inputs!$C$20,1,0)</f>
        <v>1</v>
      </c>
      <c r="O607" s="19" t="n">
        <f aca="false">IF(J607&lt;=Inputs!$C$21,1,0)</f>
        <v>1</v>
      </c>
      <c r="P607" s="19" t="n">
        <f aca="false">IF(D607&gt;=Inputs!$C$22,1,0)</f>
        <v>0</v>
      </c>
      <c r="Q607" s="19" t="n">
        <f aca="false">IF(I607&lt;=Inputs!$C$23,1,0)</f>
        <v>1</v>
      </c>
      <c r="R607" s="19" t="n">
        <f aca="false">M607*N607*O607*P607*Q607</f>
        <v>0</v>
      </c>
      <c r="S607" s="14" t="n">
        <f aca="false">I607*R607</f>
        <v>0</v>
      </c>
      <c r="T607" s="19" t="n">
        <f aca="false">IF(F607&gt;72,1,0)</f>
        <v>0</v>
      </c>
      <c r="U607" s="19" t="n">
        <f aca="false">IF(J607&gt;1.25,1,0)</f>
        <v>0</v>
      </c>
    </row>
    <row r="608" customFormat="false" ht="15" hidden="false" customHeight="false" outlineLevel="0" collapsed="false">
      <c r="B608" s="13" t="s">
        <v>828</v>
      </c>
      <c r="C608" s="13" t="s">
        <v>221</v>
      </c>
      <c r="D608" s="19" t="n">
        <v>708</v>
      </c>
      <c r="E608" s="23" t="n">
        <v>0.1991</v>
      </c>
      <c r="F608" s="19" t="n">
        <v>72</v>
      </c>
      <c r="G608" s="19" t="n">
        <v>1</v>
      </c>
      <c r="H608" s="14" t="n">
        <v>16680</v>
      </c>
      <c r="I608" s="14" t="n">
        <v>16558.09</v>
      </c>
      <c r="J608" s="24" t="n">
        <v>1.216</v>
      </c>
      <c r="K608" s="19" t="n">
        <v>0</v>
      </c>
      <c r="L608" s="13" t="str">
        <f aca="false">IF(D608&gt;=Inputs!$C$14,"Near-prime","Non-prime")</f>
        <v>Near-prime</v>
      </c>
      <c r="M608" s="19" t="n">
        <f aca="false">IF(K608&lt;=Inputs!$C$19,1,0)</f>
        <v>1</v>
      </c>
      <c r="N608" s="19" t="n">
        <f aca="false">IF(F608&lt;=Inputs!$C$20,1,0)</f>
        <v>1</v>
      </c>
      <c r="O608" s="19" t="n">
        <f aca="false">IF(J608&lt;=Inputs!$C$21,1,0)</f>
        <v>1</v>
      </c>
      <c r="P608" s="19" t="n">
        <f aca="false">IF(D608&gt;=Inputs!$C$22,1,0)</f>
        <v>1</v>
      </c>
      <c r="Q608" s="19" t="n">
        <f aca="false">IF(I608&lt;=Inputs!$C$23,1,0)</f>
        <v>1</v>
      </c>
      <c r="R608" s="19" t="n">
        <f aca="false">M608*N608*O608*P608*Q608</f>
        <v>1</v>
      </c>
      <c r="S608" s="14" t="n">
        <f aca="false">I608*R608</f>
        <v>16558.09</v>
      </c>
      <c r="T608" s="19" t="n">
        <f aca="false">IF(F608&gt;72,1,0)</f>
        <v>0</v>
      </c>
      <c r="U608" s="19" t="n">
        <f aca="false">IF(J608&gt;1.25,1,0)</f>
        <v>0</v>
      </c>
    </row>
    <row r="609" customFormat="false" ht="15" hidden="false" customHeight="false" outlineLevel="0" collapsed="false">
      <c r="B609" s="13" t="s">
        <v>829</v>
      </c>
      <c r="C609" s="13" t="s">
        <v>221</v>
      </c>
      <c r="D609" s="19" t="n">
        <v>738</v>
      </c>
      <c r="E609" s="23" t="n">
        <v>0.1821</v>
      </c>
      <c r="F609" s="19" t="n">
        <v>60</v>
      </c>
      <c r="G609" s="19" t="n">
        <v>2</v>
      </c>
      <c r="H609" s="14" t="n">
        <v>17160</v>
      </c>
      <c r="I609" s="14" t="n">
        <v>16802.69</v>
      </c>
      <c r="J609" s="24" t="n">
        <v>1.228</v>
      </c>
      <c r="K609" s="19" t="n">
        <v>0</v>
      </c>
      <c r="L609" s="13" t="str">
        <f aca="false">IF(D609&gt;=Inputs!$C$14,"Near-prime","Non-prime")</f>
        <v>Near-prime</v>
      </c>
      <c r="M609" s="19" t="n">
        <f aca="false">IF(K609&lt;=Inputs!$C$19,1,0)</f>
        <v>1</v>
      </c>
      <c r="N609" s="19" t="n">
        <f aca="false">IF(F609&lt;=Inputs!$C$20,1,0)</f>
        <v>1</v>
      </c>
      <c r="O609" s="19" t="n">
        <f aca="false">IF(J609&lt;=Inputs!$C$21,1,0)</f>
        <v>1</v>
      </c>
      <c r="P609" s="19" t="n">
        <f aca="false">IF(D609&gt;=Inputs!$C$22,1,0)</f>
        <v>1</v>
      </c>
      <c r="Q609" s="19" t="n">
        <f aca="false">IF(I609&lt;=Inputs!$C$23,1,0)</f>
        <v>1</v>
      </c>
      <c r="R609" s="19" t="n">
        <f aca="false">M609*N609*O609*P609*Q609</f>
        <v>1</v>
      </c>
      <c r="S609" s="14" t="n">
        <f aca="false">I609*R609</f>
        <v>16802.69</v>
      </c>
      <c r="T609" s="19" t="n">
        <f aca="false">IF(F609&gt;72,1,0)</f>
        <v>0</v>
      </c>
      <c r="U609" s="19" t="n">
        <f aca="false">IF(J609&gt;1.25,1,0)</f>
        <v>0</v>
      </c>
    </row>
    <row r="610" customFormat="false" ht="15" hidden="false" customHeight="false" outlineLevel="0" collapsed="false">
      <c r="B610" s="13" t="s">
        <v>830</v>
      </c>
      <c r="C610" s="13" t="s">
        <v>226</v>
      </c>
      <c r="D610" s="19" t="n">
        <v>619</v>
      </c>
      <c r="E610" s="23" t="n">
        <v>0.2019</v>
      </c>
      <c r="F610" s="19" t="n">
        <v>75</v>
      </c>
      <c r="G610" s="19" t="n">
        <v>5</v>
      </c>
      <c r="H610" s="14" t="n">
        <v>23950</v>
      </c>
      <c r="I610" s="14" t="n">
        <v>23114.88</v>
      </c>
      <c r="J610" s="24" t="n">
        <v>0.962</v>
      </c>
      <c r="K610" s="19" t="n">
        <v>0</v>
      </c>
      <c r="L610" s="13" t="str">
        <f aca="false">IF(D610&gt;=Inputs!$C$14,"Near-prime","Non-prime")</f>
        <v>Non-prime</v>
      </c>
      <c r="M610" s="19" t="n">
        <f aca="false">IF(K610&lt;=Inputs!$C$19,1,0)</f>
        <v>1</v>
      </c>
      <c r="N610" s="19" t="n">
        <f aca="false">IF(F610&lt;=Inputs!$C$20,1,0)</f>
        <v>1</v>
      </c>
      <c r="O610" s="19" t="n">
        <f aca="false">IF(J610&lt;=Inputs!$C$21,1,0)</f>
        <v>1</v>
      </c>
      <c r="P610" s="19" t="n">
        <f aca="false">IF(D610&gt;=Inputs!$C$22,1,0)</f>
        <v>1</v>
      </c>
      <c r="Q610" s="19" t="n">
        <f aca="false">IF(I610&lt;=Inputs!$C$23,1,0)</f>
        <v>1</v>
      </c>
      <c r="R610" s="19" t="n">
        <f aca="false">M610*N610*O610*P610*Q610</f>
        <v>1</v>
      </c>
      <c r="S610" s="14" t="n">
        <f aca="false">I610*R610</f>
        <v>23114.88</v>
      </c>
      <c r="T610" s="19" t="n">
        <f aca="false">IF(F610&gt;72,1,0)</f>
        <v>1</v>
      </c>
      <c r="U610" s="19" t="n">
        <f aca="false">IF(J610&gt;1.25,1,0)</f>
        <v>0</v>
      </c>
    </row>
    <row r="611" customFormat="false" ht="15" hidden="false" customHeight="false" outlineLevel="0" collapsed="false">
      <c r="B611" s="13" t="s">
        <v>831</v>
      </c>
      <c r="C611" s="13" t="s">
        <v>221</v>
      </c>
      <c r="D611" s="19" t="n">
        <v>719</v>
      </c>
      <c r="E611" s="23" t="n">
        <v>0.2131</v>
      </c>
      <c r="F611" s="19" t="n">
        <v>75</v>
      </c>
      <c r="G611" s="19" t="n">
        <v>2</v>
      </c>
      <c r="H611" s="14" t="n">
        <v>19480</v>
      </c>
      <c r="I611" s="14" t="n">
        <v>19225.64</v>
      </c>
      <c r="J611" s="24" t="n">
        <v>1.057</v>
      </c>
      <c r="K611" s="19" t="n">
        <v>0</v>
      </c>
      <c r="L611" s="13" t="str">
        <f aca="false">IF(D611&gt;=Inputs!$C$14,"Near-prime","Non-prime")</f>
        <v>Near-prime</v>
      </c>
      <c r="M611" s="19" t="n">
        <f aca="false">IF(K611&lt;=Inputs!$C$19,1,0)</f>
        <v>1</v>
      </c>
      <c r="N611" s="19" t="n">
        <f aca="false">IF(F611&lt;=Inputs!$C$20,1,0)</f>
        <v>1</v>
      </c>
      <c r="O611" s="19" t="n">
        <f aca="false">IF(J611&lt;=Inputs!$C$21,1,0)</f>
        <v>1</v>
      </c>
      <c r="P611" s="19" t="n">
        <f aca="false">IF(D611&gt;=Inputs!$C$22,1,0)</f>
        <v>1</v>
      </c>
      <c r="Q611" s="19" t="n">
        <f aca="false">IF(I611&lt;=Inputs!$C$23,1,0)</f>
        <v>1</v>
      </c>
      <c r="R611" s="19" t="n">
        <f aca="false">M611*N611*O611*P611*Q611</f>
        <v>1</v>
      </c>
      <c r="S611" s="14" t="n">
        <f aca="false">I611*R611</f>
        <v>19225.64</v>
      </c>
      <c r="T611" s="19" t="n">
        <f aca="false">IF(F611&gt;72,1,0)</f>
        <v>1</v>
      </c>
      <c r="U611" s="19" t="n">
        <f aca="false">IF(J611&gt;1.25,1,0)</f>
        <v>0</v>
      </c>
    </row>
    <row r="612" customFormat="false" ht="15" hidden="false" customHeight="false" outlineLevel="0" collapsed="false">
      <c r="B612" s="13" t="s">
        <v>832</v>
      </c>
      <c r="C612" s="13" t="s">
        <v>228</v>
      </c>
      <c r="D612" s="19" t="n">
        <v>620</v>
      </c>
      <c r="E612" s="23" t="n">
        <v>0.2072</v>
      </c>
      <c r="F612" s="19" t="n">
        <v>72</v>
      </c>
      <c r="G612" s="19" t="n">
        <v>10</v>
      </c>
      <c r="H612" s="14" t="n">
        <v>33220</v>
      </c>
      <c r="I612" s="14" t="n">
        <v>30667.5</v>
      </c>
      <c r="J612" s="24" t="n">
        <v>1.186</v>
      </c>
      <c r="K612" s="19" t="n">
        <v>0</v>
      </c>
      <c r="L612" s="13" t="str">
        <f aca="false">IF(D612&gt;=Inputs!$C$14,"Near-prime","Non-prime")</f>
        <v>Near-prime</v>
      </c>
      <c r="M612" s="19" t="n">
        <f aca="false">IF(K612&lt;=Inputs!$C$19,1,0)</f>
        <v>1</v>
      </c>
      <c r="N612" s="19" t="n">
        <f aca="false">IF(F612&lt;=Inputs!$C$20,1,0)</f>
        <v>1</v>
      </c>
      <c r="O612" s="19" t="n">
        <f aca="false">IF(J612&lt;=Inputs!$C$21,1,0)</f>
        <v>1</v>
      </c>
      <c r="P612" s="19" t="n">
        <f aca="false">IF(D612&gt;=Inputs!$C$22,1,0)</f>
        <v>1</v>
      </c>
      <c r="Q612" s="19" t="n">
        <f aca="false">IF(I612&lt;=Inputs!$C$23,1,0)</f>
        <v>1</v>
      </c>
      <c r="R612" s="19" t="n">
        <f aca="false">M612*N612*O612*P612*Q612</f>
        <v>1</v>
      </c>
      <c r="S612" s="14" t="n">
        <f aca="false">I612*R612</f>
        <v>30667.5</v>
      </c>
      <c r="T612" s="19" t="n">
        <f aca="false">IF(F612&gt;72,1,0)</f>
        <v>0</v>
      </c>
      <c r="U612" s="19" t="n">
        <f aca="false">IF(J612&gt;1.25,1,0)</f>
        <v>0</v>
      </c>
    </row>
    <row r="613" customFormat="false" ht="15" hidden="false" customHeight="false" outlineLevel="0" collapsed="false">
      <c r="B613" s="13" t="s">
        <v>833</v>
      </c>
      <c r="C613" s="13" t="s">
        <v>217</v>
      </c>
      <c r="D613" s="19" t="n">
        <v>596</v>
      </c>
      <c r="E613" s="23" t="n">
        <v>0.1991</v>
      </c>
      <c r="F613" s="19" t="n">
        <v>72</v>
      </c>
      <c r="G613" s="19" t="n">
        <v>0</v>
      </c>
      <c r="H613" s="14" t="n">
        <v>31080</v>
      </c>
      <c r="I613" s="14" t="n">
        <v>31080</v>
      </c>
      <c r="J613" s="24" t="n">
        <v>1.009</v>
      </c>
      <c r="K613" s="19" t="n">
        <v>0</v>
      </c>
      <c r="L613" s="13" t="str">
        <f aca="false">IF(D613&gt;=Inputs!$C$14,"Near-prime","Non-prime")</f>
        <v>Non-prime</v>
      </c>
      <c r="M613" s="19" t="n">
        <f aca="false">IF(K613&lt;=Inputs!$C$19,1,0)</f>
        <v>1</v>
      </c>
      <c r="N613" s="19" t="n">
        <f aca="false">IF(F613&lt;=Inputs!$C$20,1,0)</f>
        <v>1</v>
      </c>
      <c r="O613" s="19" t="n">
        <f aca="false">IF(J613&lt;=Inputs!$C$21,1,0)</f>
        <v>1</v>
      </c>
      <c r="P613" s="19" t="n">
        <f aca="false">IF(D613&gt;=Inputs!$C$22,1,0)</f>
        <v>1</v>
      </c>
      <c r="Q613" s="19" t="n">
        <f aca="false">IF(I613&lt;=Inputs!$C$23,1,0)</f>
        <v>1</v>
      </c>
      <c r="R613" s="19" t="n">
        <f aca="false">M613*N613*O613*P613*Q613</f>
        <v>1</v>
      </c>
      <c r="S613" s="14" t="n">
        <f aca="false">I613*R613</f>
        <v>31080</v>
      </c>
      <c r="T613" s="19" t="n">
        <f aca="false">IF(F613&gt;72,1,0)</f>
        <v>0</v>
      </c>
      <c r="U613" s="19" t="n">
        <f aca="false">IF(J613&gt;1.25,1,0)</f>
        <v>0</v>
      </c>
    </row>
    <row r="614" customFormat="false" ht="15" hidden="false" customHeight="false" outlineLevel="0" collapsed="false">
      <c r="B614" s="13" t="s">
        <v>834</v>
      </c>
      <c r="C614" s="13" t="s">
        <v>252</v>
      </c>
      <c r="D614" s="19" t="n">
        <v>600</v>
      </c>
      <c r="E614" s="23" t="n">
        <v>0.2253</v>
      </c>
      <c r="F614" s="19" t="n">
        <v>75</v>
      </c>
      <c r="G614" s="19" t="n">
        <v>4</v>
      </c>
      <c r="H614" s="14" t="n">
        <v>26360</v>
      </c>
      <c r="I614" s="14" t="n">
        <v>25689.19</v>
      </c>
      <c r="J614" s="24" t="n">
        <v>0.707</v>
      </c>
      <c r="K614" s="19" t="n">
        <v>0</v>
      </c>
      <c r="L614" s="13" t="str">
        <f aca="false">IF(D614&gt;=Inputs!$C$14,"Near-prime","Non-prime")</f>
        <v>Non-prime</v>
      </c>
      <c r="M614" s="19" t="n">
        <f aca="false">IF(K614&lt;=Inputs!$C$19,1,0)</f>
        <v>1</v>
      </c>
      <c r="N614" s="19" t="n">
        <f aca="false">IF(F614&lt;=Inputs!$C$20,1,0)</f>
        <v>1</v>
      </c>
      <c r="O614" s="19" t="n">
        <f aca="false">IF(J614&lt;=Inputs!$C$21,1,0)</f>
        <v>1</v>
      </c>
      <c r="P614" s="19" t="n">
        <f aca="false">IF(D614&gt;=Inputs!$C$22,1,0)</f>
        <v>1</v>
      </c>
      <c r="Q614" s="19" t="n">
        <f aca="false">IF(I614&lt;=Inputs!$C$23,1,0)</f>
        <v>1</v>
      </c>
      <c r="R614" s="19" t="n">
        <f aca="false">M614*N614*O614*P614*Q614</f>
        <v>1</v>
      </c>
      <c r="S614" s="14" t="n">
        <f aca="false">I614*R614</f>
        <v>25689.19</v>
      </c>
      <c r="T614" s="19" t="n">
        <f aca="false">IF(F614&gt;72,1,0)</f>
        <v>1</v>
      </c>
      <c r="U614" s="19" t="n">
        <f aca="false">IF(J614&gt;1.25,1,0)</f>
        <v>0</v>
      </c>
    </row>
    <row r="615" customFormat="false" ht="15" hidden="false" customHeight="false" outlineLevel="0" collapsed="false">
      <c r="B615" s="13" t="s">
        <v>835</v>
      </c>
      <c r="C615" s="13" t="s">
        <v>219</v>
      </c>
      <c r="D615" s="19" t="n">
        <v>733</v>
      </c>
      <c r="E615" s="23" t="n">
        <v>0.1808</v>
      </c>
      <c r="F615" s="19" t="n">
        <v>60</v>
      </c>
      <c r="G615" s="19" t="n">
        <v>0</v>
      </c>
      <c r="H615" s="14" t="n">
        <v>35870</v>
      </c>
      <c r="I615" s="14" t="n">
        <v>35870</v>
      </c>
      <c r="J615" s="24" t="n">
        <v>0.935</v>
      </c>
      <c r="K615" s="19" t="n">
        <v>0</v>
      </c>
      <c r="L615" s="13" t="str">
        <f aca="false">IF(D615&gt;=Inputs!$C$14,"Near-prime","Non-prime")</f>
        <v>Near-prime</v>
      </c>
      <c r="M615" s="19" t="n">
        <f aca="false">IF(K615&lt;=Inputs!$C$19,1,0)</f>
        <v>1</v>
      </c>
      <c r="N615" s="19" t="n">
        <f aca="false">IF(F615&lt;=Inputs!$C$20,1,0)</f>
        <v>1</v>
      </c>
      <c r="O615" s="19" t="n">
        <f aca="false">IF(J615&lt;=Inputs!$C$21,1,0)</f>
        <v>1</v>
      </c>
      <c r="P615" s="19" t="n">
        <f aca="false">IF(D615&gt;=Inputs!$C$22,1,0)</f>
        <v>1</v>
      </c>
      <c r="Q615" s="19" t="n">
        <f aca="false">IF(I615&lt;=Inputs!$C$23,1,0)</f>
        <v>1</v>
      </c>
      <c r="R615" s="19" t="n">
        <f aca="false">M615*N615*O615*P615*Q615</f>
        <v>1</v>
      </c>
      <c r="S615" s="14" t="n">
        <f aca="false">I615*R615</f>
        <v>35870</v>
      </c>
      <c r="T615" s="19" t="n">
        <f aca="false">IF(F615&gt;72,1,0)</f>
        <v>0</v>
      </c>
      <c r="U615" s="19" t="n">
        <f aca="false">IF(J615&gt;1.25,1,0)</f>
        <v>0</v>
      </c>
    </row>
    <row r="616" customFormat="false" ht="15" hidden="false" customHeight="false" outlineLevel="0" collapsed="false">
      <c r="B616" s="13" t="s">
        <v>836</v>
      </c>
      <c r="C616" s="13" t="s">
        <v>228</v>
      </c>
      <c r="D616" s="19" t="n">
        <v>719</v>
      </c>
      <c r="E616" s="23" t="n">
        <v>0.2201</v>
      </c>
      <c r="F616" s="19" t="n">
        <v>60</v>
      </c>
      <c r="G616" s="19" t="n">
        <v>2</v>
      </c>
      <c r="H616" s="14" t="n">
        <v>21340</v>
      </c>
      <c r="I616" s="14" t="n">
        <v>20940.17</v>
      </c>
      <c r="J616" s="24" t="n">
        <v>1.501</v>
      </c>
      <c r="K616" s="19" t="n">
        <v>0</v>
      </c>
      <c r="L616" s="13" t="str">
        <f aca="false">IF(D616&gt;=Inputs!$C$14,"Near-prime","Non-prime")</f>
        <v>Near-prime</v>
      </c>
      <c r="M616" s="19" t="n">
        <f aca="false">IF(K616&lt;=Inputs!$C$19,1,0)</f>
        <v>1</v>
      </c>
      <c r="N616" s="19" t="n">
        <f aca="false">IF(F616&lt;=Inputs!$C$20,1,0)</f>
        <v>1</v>
      </c>
      <c r="O616" s="19" t="n">
        <f aca="false">IF(J616&lt;=Inputs!$C$21,1,0)</f>
        <v>0</v>
      </c>
      <c r="P616" s="19" t="n">
        <f aca="false">IF(D616&gt;=Inputs!$C$22,1,0)</f>
        <v>1</v>
      </c>
      <c r="Q616" s="19" t="n">
        <f aca="false">IF(I616&lt;=Inputs!$C$23,1,0)</f>
        <v>1</v>
      </c>
      <c r="R616" s="19" t="n">
        <f aca="false">M616*N616*O616*P616*Q616</f>
        <v>0</v>
      </c>
      <c r="S616" s="14" t="n">
        <f aca="false">I616*R616</f>
        <v>0</v>
      </c>
      <c r="T616" s="19" t="n">
        <f aca="false">IF(F616&gt;72,1,0)</f>
        <v>0</v>
      </c>
      <c r="U616" s="19" t="n">
        <f aca="false">IF(J616&gt;1.25,1,0)</f>
        <v>1</v>
      </c>
    </row>
    <row r="617" customFormat="false" ht="15" hidden="false" customHeight="false" outlineLevel="0" collapsed="false">
      <c r="B617" s="13" t="s">
        <v>837</v>
      </c>
      <c r="C617" s="13" t="s">
        <v>217</v>
      </c>
      <c r="D617" s="19" t="n">
        <v>684</v>
      </c>
      <c r="E617" s="23" t="n">
        <v>0.1925</v>
      </c>
      <c r="F617" s="19" t="n">
        <v>84</v>
      </c>
      <c r="G617" s="19" t="n">
        <v>4</v>
      </c>
      <c r="H617" s="14" t="n">
        <v>24540</v>
      </c>
      <c r="I617" s="14" t="n">
        <v>23965.36</v>
      </c>
      <c r="J617" s="24" t="n">
        <v>0.934</v>
      </c>
      <c r="K617" s="19" t="n">
        <v>0</v>
      </c>
      <c r="L617" s="13" t="str">
        <f aca="false">IF(D617&gt;=Inputs!$C$14,"Near-prime","Non-prime")</f>
        <v>Near-prime</v>
      </c>
      <c r="M617" s="19" t="n">
        <f aca="false">IF(K617&lt;=Inputs!$C$19,1,0)</f>
        <v>1</v>
      </c>
      <c r="N617" s="19" t="n">
        <f aca="false">IF(F617&lt;=Inputs!$C$20,1,0)</f>
        <v>0</v>
      </c>
      <c r="O617" s="19" t="n">
        <f aca="false">IF(J617&lt;=Inputs!$C$21,1,0)</f>
        <v>1</v>
      </c>
      <c r="P617" s="19" t="n">
        <f aca="false">IF(D617&gt;=Inputs!$C$22,1,0)</f>
        <v>1</v>
      </c>
      <c r="Q617" s="19" t="n">
        <f aca="false">IF(I617&lt;=Inputs!$C$23,1,0)</f>
        <v>1</v>
      </c>
      <c r="R617" s="19" t="n">
        <f aca="false">M617*N617*O617*P617*Q617</f>
        <v>0</v>
      </c>
      <c r="S617" s="14" t="n">
        <f aca="false">I617*R617</f>
        <v>0</v>
      </c>
      <c r="T617" s="19" t="n">
        <f aca="false">IF(F617&gt;72,1,0)</f>
        <v>1</v>
      </c>
      <c r="U617" s="19" t="n">
        <f aca="false">IF(J617&gt;1.25,1,0)</f>
        <v>0</v>
      </c>
    </row>
    <row r="618" customFormat="false" ht="15" hidden="false" customHeight="false" outlineLevel="0" collapsed="false">
      <c r="B618" s="13" t="s">
        <v>838</v>
      </c>
      <c r="C618" s="13" t="s">
        <v>226</v>
      </c>
      <c r="D618" s="19" t="n">
        <v>595</v>
      </c>
      <c r="E618" s="23" t="n">
        <v>0.2018</v>
      </c>
      <c r="F618" s="19" t="n">
        <v>72</v>
      </c>
      <c r="G618" s="19" t="n">
        <v>3</v>
      </c>
      <c r="H618" s="14" t="n">
        <v>35790</v>
      </c>
      <c r="I618" s="14" t="n">
        <v>34999.43</v>
      </c>
      <c r="J618" s="24" t="n">
        <v>1.037</v>
      </c>
      <c r="K618" s="19" t="n">
        <v>0</v>
      </c>
      <c r="L618" s="13" t="str">
        <f aca="false">IF(D618&gt;=Inputs!$C$14,"Near-prime","Non-prime")</f>
        <v>Non-prime</v>
      </c>
      <c r="M618" s="19" t="n">
        <f aca="false">IF(K618&lt;=Inputs!$C$19,1,0)</f>
        <v>1</v>
      </c>
      <c r="N618" s="19" t="n">
        <f aca="false">IF(F618&lt;=Inputs!$C$20,1,0)</f>
        <v>1</v>
      </c>
      <c r="O618" s="19" t="n">
        <f aca="false">IF(J618&lt;=Inputs!$C$21,1,0)</f>
        <v>1</v>
      </c>
      <c r="P618" s="19" t="n">
        <f aca="false">IF(D618&gt;=Inputs!$C$22,1,0)</f>
        <v>1</v>
      </c>
      <c r="Q618" s="19" t="n">
        <f aca="false">IF(I618&lt;=Inputs!$C$23,1,0)</f>
        <v>1</v>
      </c>
      <c r="R618" s="19" t="n">
        <f aca="false">M618*N618*O618*P618*Q618</f>
        <v>1</v>
      </c>
      <c r="S618" s="14" t="n">
        <f aca="false">I618*R618</f>
        <v>34999.43</v>
      </c>
      <c r="T618" s="19" t="n">
        <f aca="false">IF(F618&gt;72,1,0)</f>
        <v>0</v>
      </c>
      <c r="U618" s="19" t="n">
        <f aca="false">IF(J618&gt;1.25,1,0)</f>
        <v>0</v>
      </c>
    </row>
    <row r="619" customFormat="false" ht="15" hidden="false" customHeight="false" outlineLevel="0" collapsed="false">
      <c r="B619" s="13" t="s">
        <v>839</v>
      </c>
      <c r="C619" s="13" t="s">
        <v>219</v>
      </c>
      <c r="D619" s="19" t="n">
        <v>690</v>
      </c>
      <c r="E619" s="23" t="n">
        <v>0.1787</v>
      </c>
      <c r="F619" s="19" t="n">
        <v>75</v>
      </c>
      <c r="G619" s="19" t="n">
        <v>4</v>
      </c>
      <c r="H619" s="14" t="n">
        <v>55170</v>
      </c>
      <c r="I619" s="14" t="n">
        <v>53514.81</v>
      </c>
      <c r="J619" s="24" t="n">
        <v>1.398</v>
      </c>
      <c r="K619" s="19" t="n">
        <v>0</v>
      </c>
      <c r="L619" s="13" t="str">
        <f aca="false">IF(D619&gt;=Inputs!$C$14,"Near-prime","Non-prime")</f>
        <v>Near-prime</v>
      </c>
      <c r="M619" s="19" t="n">
        <f aca="false">IF(K619&lt;=Inputs!$C$19,1,0)</f>
        <v>1</v>
      </c>
      <c r="N619" s="19" t="n">
        <f aca="false">IF(F619&lt;=Inputs!$C$20,1,0)</f>
        <v>1</v>
      </c>
      <c r="O619" s="19" t="n">
        <f aca="false">IF(J619&lt;=Inputs!$C$21,1,0)</f>
        <v>1</v>
      </c>
      <c r="P619" s="19" t="n">
        <f aca="false">IF(D619&gt;=Inputs!$C$22,1,0)</f>
        <v>1</v>
      </c>
      <c r="Q619" s="19" t="n">
        <f aca="false">IF(I619&lt;=Inputs!$C$23,1,0)</f>
        <v>0</v>
      </c>
      <c r="R619" s="19" t="n">
        <f aca="false">M619*N619*O619*P619*Q619</f>
        <v>0</v>
      </c>
      <c r="S619" s="14" t="n">
        <f aca="false">I619*R619</f>
        <v>0</v>
      </c>
      <c r="T619" s="19" t="n">
        <f aca="false">IF(F619&gt;72,1,0)</f>
        <v>1</v>
      </c>
      <c r="U619" s="19" t="n">
        <f aca="false">IF(J619&gt;1.25,1,0)</f>
        <v>1</v>
      </c>
    </row>
    <row r="620" customFormat="false" ht="15" hidden="false" customHeight="false" outlineLevel="0" collapsed="false">
      <c r="B620" s="13" t="s">
        <v>840</v>
      </c>
      <c r="C620" s="13" t="s">
        <v>257</v>
      </c>
      <c r="D620" s="19" t="n">
        <v>592</v>
      </c>
      <c r="E620" s="23" t="n">
        <v>0.1948</v>
      </c>
      <c r="F620" s="19" t="n">
        <v>48</v>
      </c>
      <c r="G620" s="19" t="n">
        <v>0</v>
      </c>
      <c r="H620" s="14" t="n">
        <v>20560</v>
      </c>
      <c r="I620" s="14" t="n">
        <v>20560</v>
      </c>
      <c r="J620" s="24" t="n">
        <v>0.99</v>
      </c>
      <c r="K620" s="19" t="n">
        <v>0</v>
      </c>
      <c r="L620" s="13" t="str">
        <f aca="false">IF(D620&gt;=Inputs!$C$14,"Near-prime","Non-prime")</f>
        <v>Non-prime</v>
      </c>
      <c r="M620" s="19" t="n">
        <f aca="false">IF(K620&lt;=Inputs!$C$19,1,0)</f>
        <v>1</v>
      </c>
      <c r="N620" s="19" t="n">
        <f aca="false">IF(F620&lt;=Inputs!$C$20,1,0)</f>
        <v>1</v>
      </c>
      <c r="O620" s="19" t="n">
        <f aca="false">IF(J620&lt;=Inputs!$C$21,1,0)</f>
        <v>1</v>
      </c>
      <c r="P620" s="19" t="n">
        <f aca="false">IF(D620&gt;=Inputs!$C$22,1,0)</f>
        <v>1</v>
      </c>
      <c r="Q620" s="19" t="n">
        <f aca="false">IF(I620&lt;=Inputs!$C$23,1,0)</f>
        <v>1</v>
      </c>
      <c r="R620" s="19" t="n">
        <f aca="false">M620*N620*O620*P620*Q620</f>
        <v>1</v>
      </c>
      <c r="S620" s="14" t="n">
        <f aca="false">I620*R620</f>
        <v>20560</v>
      </c>
      <c r="T620" s="19" t="n">
        <f aca="false">IF(F620&gt;72,1,0)</f>
        <v>0</v>
      </c>
      <c r="U620" s="19" t="n">
        <f aca="false">IF(J620&gt;1.25,1,0)</f>
        <v>0</v>
      </c>
    </row>
    <row r="621" customFormat="false" ht="15" hidden="false" customHeight="false" outlineLevel="0" collapsed="false">
      <c r="B621" s="13" t="s">
        <v>841</v>
      </c>
      <c r="C621" s="13" t="s">
        <v>252</v>
      </c>
      <c r="D621" s="19" t="n">
        <v>681</v>
      </c>
      <c r="E621" s="23" t="n">
        <v>0.2085</v>
      </c>
      <c r="F621" s="19" t="n">
        <v>72</v>
      </c>
      <c r="G621" s="19" t="n">
        <v>2</v>
      </c>
      <c r="H621" s="14" t="n">
        <v>21240</v>
      </c>
      <c r="I621" s="14" t="n">
        <v>20936.93</v>
      </c>
      <c r="J621" s="24" t="n">
        <v>0.979</v>
      </c>
      <c r="K621" s="19" t="n">
        <v>0</v>
      </c>
      <c r="L621" s="13" t="str">
        <f aca="false">IF(D621&gt;=Inputs!$C$14,"Near-prime","Non-prime")</f>
        <v>Near-prime</v>
      </c>
      <c r="M621" s="19" t="n">
        <f aca="false">IF(K621&lt;=Inputs!$C$19,1,0)</f>
        <v>1</v>
      </c>
      <c r="N621" s="19" t="n">
        <f aca="false">IF(F621&lt;=Inputs!$C$20,1,0)</f>
        <v>1</v>
      </c>
      <c r="O621" s="19" t="n">
        <f aca="false">IF(J621&lt;=Inputs!$C$21,1,0)</f>
        <v>1</v>
      </c>
      <c r="P621" s="19" t="n">
        <f aca="false">IF(D621&gt;=Inputs!$C$22,1,0)</f>
        <v>1</v>
      </c>
      <c r="Q621" s="19" t="n">
        <f aca="false">IF(I621&lt;=Inputs!$C$23,1,0)</f>
        <v>1</v>
      </c>
      <c r="R621" s="19" t="n">
        <f aca="false">M621*N621*O621*P621*Q621</f>
        <v>1</v>
      </c>
      <c r="S621" s="14" t="n">
        <f aca="false">I621*R621</f>
        <v>20936.93</v>
      </c>
      <c r="T621" s="19" t="n">
        <f aca="false">IF(F621&gt;72,1,0)</f>
        <v>0</v>
      </c>
      <c r="U621" s="19" t="n">
        <f aca="false">IF(J621&gt;1.25,1,0)</f>
        <v>0</v>
      </c>
    </row>
    <row r="622" customFormat="false" ht="15" hidden="false" customHeight="false" outlineLevel="0" collapsed="false">
      <c r="B622" s="13" t="s">
        <v>842</v>
      </c>
      <c r="C622" s="13" t="s">
        <v>221</v>
      </c>
      <c r="D622" s="19" t="n">
        <v>620</v>
      </c>
      <c r="E622" s="23" t="n">
        <v>0.2362</v>
      </c>
      <c r="F622" s="19" t="n">
        <v>72</v>
      </c>
      <c r="G622" s="19" t="n">
        <v>7</v>
      </c>
      <c r="H622" s="14" t="n">
        <v>41060</v>
      </c>
      <c r="I622" s="14" t="n">
        <v>39104.2</v>
      </c>
      <c r="J622" s="24" t="n">
        <v>0.924</v>
      </c>
      <c r="K622" s="19" t="n">
        <v>30</v>
      </c>
      <c r="L622" s="13" t="str">
        <f aca="false">IF(D622&gt;=Inputs!$C$14,"Near-prime","Non-prime")</f>
        <v>Near-prime</v>
      </c>
      <c r="M622" s="19" t="n">
        <f aca="false">IF(K622&lt;=Inputs!$C$19,1,0)</f>
        <v>1</v>
      </c>
      <c r="N622" s="19" t="n">
        <f aca="false">IF(F622&lt;=Inputs!$C$20,1,0)</f>
        <v>1</v>
      </c>
      <c r="O622" s="19" t="n">
        <f aca="false">IF(J622&lt;=Inputs!$C$21,1,0)</f>
        <v>1</v>
      </c>
      <c r="P622" s="19" t="n">
        <f aca="false">IF(D622&gt;=Inputs!$C$22,1,0)</f>
        <v>1</v>
      </c>
      <c r="Q622" s="19" t="n">
        <f aca="false">IF(I622&lt;=Inputs!$C$23,1,0)</f>
        <v>1</v>
      </c>
      <c r="R622" s="19" t="n">
        <f aca="false">M622*N622*O622*P622*Q622</f>
        <v>1</v>
      </c>
      <c r="S622" s="14" t="n">
        <f aca="false">I622*R622</f>
        <v>39104.2</v>
      </c>
      <c r="T622" s="19" t="n">
        <f aca="false">IF(F622&gt;72,1,0)</f>
        <v>0</v>
      </c>
      <c r="U622" s="19" t="n">
        <f aca="false">IF(J622&gt;1.25,1,0)</f>
        <v>0</v>
      </c>
    </row>
    <row r="623" customFormat="false" ht="15" hidden="false" customHeight="false" outlineLevel="0" collapsed="false">
      <c r="B623" s="13" t="s">
        <v>843</v>
      </c>
      <c r="C623" s="13" t="s">
        <v>226</v>
      </c>
      <c r="D623" s="19" t="n">
        <v>618</v>
      </c>
      <c r="E623" s="23" t="n">
        <v>0.2165</v>
      </c>
      <c r="F623" s="19" t="n">
        <v>72</v>
      </c>
      <c r="G623" s="19" t="n">
        <v>10</v>
      </c>
      <c r="H623" s="14" t="n">
        <v>24370</v>
      </c>
      <c r="I623" s="14" t="n">
        <v>22551.22</v>
      </c>
      <c r="J623" s="24" t="n">
        <v>1.16</v>
      </c>
      <c r="K623" s="19" t="n">
        <v>75</v>
      </c>
      <c r="L623" s="13" t="str">
        <f aca="false">IF(D623&gt;=Inputs!$C$14,"Near-prime","Non-prime")</f>
        <v>Non-prime</v>
      </c>
      <c r="M623" s="19" t="n">
        <f aca="false">IF(K623&lt;=Inputs!$C$19,1,0)</f>
        <v>0</v>
      </c>
      <c r="N623" s="19" t="n">
        <f aca="false">IF(F623&lt;=Inputs!$C$20,1,0)</f>
        <v>1</v>
      </c>
      <c r="O623" s="19" t="n">
        <f aca="false">IF(J623&lt;=Inputs!$C$21,1,0)</f>
        <v>1</v>
      </c>
      <c r="P623" s="19" t="n">
        <f aca="false">IF(D623&gt;=Inputs!$C$22,1,0)</f>
        <v>1</v>
      </c>
      <c r="Q623" s="19" t="n">
        <f aca="false">IF(I623&lt;=Inputs!$C$23,1,0)</f>
        <v>1</v>
      </c>
      <c r="R623" s="19" t="n">
        <f aca="false">M623*N623*O623*P623*Q623</f>
        <v>0</v>
      </c>
      <c r="S623" s="14" t="n">
        <f aca="false">I623*R623</f>
        <v>0</v>
      </c>
      <c r="T623" s="19" t="n">
        <f aca="false">IF(F623&gt;72,1,0)</f>
        <v>0</v>
      </c>
      <c r="U623" s="19" t="n">
        <f aca="false">IF(J623&gt;1.25,1,0)</f>
        <v>0</v>
      </c>
    </row>
    <row r="624" customFormat="false" ht="15" hidden="false" customHeight="false" outlineLevel="0" collapsed="false">
      <c r="B624" s="13" t="s">
        <v>844</v>
      </c>
      <c r="C624" s="13" t="s">
        <v>223</v>
      </c>
      <c r="D624" s="19" t="n">
        <v>621</v>
      </c>
      <c r="E624" s="23" t="n">
        <v>0.2093</v>
      </c>
      <c r="F624" s="19" t="n">
        <v>84</v>
      </c>
      <c r="G624" s="19" t="n">
        <v>10</v>
      </c>
      <c r="H624" s="14" t="n">
        <v>14390</v>
      </c>
      <c r="I624" s="14" t="n">
        <v>13560.26</v>
      </c>
      <c r="J624" s="24" t="n">
        <v>0.926</v>
      </c>
      <c r="K624" s="19" t="n">
        <v>0</v>
      </c>
      <c r="L624" s="13" t="str">
        <f aca="false">IF(D624&gt;=Inputs!$C$14,"Near-prime","Non-prime")</f>
        <v>Near-prime</v>
      </c>
      <c r="M624" s="19" t="n">
        <f aca="false">IF(K624&lt;=Inputs!$C$19,1,0)</f>
        <v>1</v>
      </c>
      <c r="N624" s="19" t="n">
        <f aca="false">IF(F624&lt;=Inputs!$C$20,1,0)</f>
        <v>0</v>
      </c>
      <c r="O624" s="19" t="n">
        <f aca="false">IF(J624&lt;=Inputs!$C$21,1,0)</f>
        <v>1</v>
      </c>
      <c r="P624" s="19" t="n">
        <f aca="false">IF(D624&gt;=Inputs!$C$22,1,0)</f>
        <v>1</v>
      </c>
      <c r="Q624" s="19" t="n">
        <f aca="false">IF(I624&lt;=Inputs!$C$23,1,0)</f>
        <v>1</v>
      </c>
      <c r="R624" s="19" t="n">
        <f aca="false">M624*N624*O624*P624*Q624</f>
        <v>0</v>
      </c>
      <c r="S624" s="14" t="n">
        <f aca="false">I624*R624</f>
        <v>0</v>
      </c>
      <c r="T624" s="19" t="n">
        <f aca="false">IF(F624&gt;72,1,0)</f>
        <v>1</v>
      </c>
      <c r="U624" s="19" t="n">
        <f aca="false">IF(J624&gt;1.25,1,0)</f>
        <v>0</v>
      </c>
    </row>
    <row r="625" customFormat="false" ht="15" hidden="false" customHeight="false" outlineLevel="0" collapsed="false">
      <c r="B625" s="13" t="s">
        <v>845</v>
      </c>
      <c r="C625" s="13" t="s">
        <v>217</v>
      </c>
      <c r="D625" s="19" t="n">
        <v>540</v>
      </c>
      <c r="E625" s="23" t="n">
        <v>0.2173</v>
      </c>
      <c r="F625" s="19" t="n">
        <v>75</v>
      </c>
      <c r="G625" s="19" t="n">
        <v>9</v>
      </c>
      <c r="H625" s="14" t="n">
        <v>27740</v>
      </c>
      <c r="I625" s="14" t="n">
        <v>26028.98</v>
      </c>
      <c r="J625" s="24" t="n">
        <v>1.226</v>
      </c>
      <c r="K625" s="19" t="n">
        <v>0</v>
      </c>
      <c r="L625" s="13" t="str">
        <f aca="false">IF(D625&gt;=Inputs!$C$14,"Near-prime","Non-prime")</f>
        <v>Non-prime</v>
      </c>
      <c r="M625" s="19" t="n">
        <f aca="false">IF(K625&lt;=Inputs!$C$19,1,0)</f>
        <v>1</v>
      </c>
      <c r="N625" s="19" t="n">
        <f aca="false">IF(F625&lt;=Inputs!$C$20,1,0)</f>
        <v>1</v>
      </c>
      <c r="O625" s="19" t="n">
        <f aca="false">IF(J625&lt;=Inputs!$C$21,1,0)</f>
        <v>1</v>
      </c>
      <c r="P625" s="19" t="n">
        <f aca="false">IF(D625&gt;=Inputs!$C$22,1,0)</f>
        <v>1</v>
      </c>
      <c r="Q625" s="19" t="n">
        <f aca="false">IF(I625&lt;=Inputs!$C$23,1,0)</f>
        <v>1</v>
      </c>
      <c r="R625" s="19" t="n">
        <f aca="false">M625*N625*O625*P625*Q625</f>
        <v>1</v>
      </c>
      <c r="S625" s="14" t="n">
        <f aca="false">I625*R625</f>
        <v>26028.98</v>
      </c>
      <c r="T625" s="19" t="n">
        <f aca="false">IF(F625&gt;72,1,0)</f>
        <v>1</v>
      </c>
      <c r="U625" s="19" t="n">
        <f aca="false">IF(J625&gt;1.25,1,0)</f>
        <v>0</v>
      </c>
    </row>
    <row r="626" customFormat="false" ht="15" hidden="false" customHeight="false" outlineLevel="0" collapsed="false">
      <c r="B626" s="13" t="s">
        <v>846</v>
      </c>
      <c r="C626" s="13" t="s">
        <v>237</v>
      </c>
      <c r="D626" s="19" t="n">
        <v>557</v>
      </c>
      <c r="E626" s="23" t="n">
        <v>0.2364</v>
      </c>
      <c r="F626" s="19" t="n">
        <v>75</v>
      </c>
      <c r="G626" s="19" t="n">
        <v>7</v>
      </c>
      <c r="H626" s="14" t="n">
        <v>23840</v>
      </c>
      <c r="I626" s="14" t="n">
        <v>22789.13</v>
      </c>
      <c r="J626" s="24" t="n">
        <v>1.268</v>
      </c>
      <c r="K626" s="19" t="n">
        <v>0</v>
      </c>
      <c r="L626" s="13" t="str">
        <f aca="false">IF(D626&gt;=Inputs!$C$14,"Near-prime","Non-prime")</f>
        <v>Non-prime</v>
      </c>
      <c r="M626" s="19" t="n">
        <f aca="false">IF(K626&lt;=Inputs!$C$19,1,0)</f>
        <v>1</v>
      </c>
      <c r="N626" s="19" t="n">
        <f aca="false">IF(F626&lt;=Inputs!$C$20,1,0)</f>
        <v>1</v>
      </c>
      <c r="O626" s="19" t="n">
        <f aca="false">IF(J626&lt;=Inputs!$C$21,1,0)</f>
        <v>1</v>
      </c>
      <c r="P626" s="19" t="n">
        <f aca="false">IF(D626&gt;=Inputs!$C$22,1,0)</f>
        <v>1</v>
      </c>
      <c r="Q626" s="19" t="n">
        <f aca="false">IF(I626&lt;=Inputs!$C$23,1,0)</f>
        <v>1</v>
      </c>
      <c r="R626" s="19" t="n">
        <f aca="false">M626*N626*O626*P626*Q626</f>
        <v>1</v>
      </c>
      <c r="S626" s="14" t="n">
        <f aca="false">I626*R626</f>
        <v>22789.13</v>
      </c>
      <c r="T626" s="19" t="n">
        <f aca="false">IF(F626&gt;72,1,0)</f>
        <v>1</v>
      </c>
      <c r="U626" s="19" t="n">
        <f aca="false">IF(J626&gt;1.25,1,0)</f>
        <v>1</v>
      </c>
    </row>
    <row r="627" customFormat="false" ht="15" hidden="false" customHeight="false" outlineLevel="0" collapsed="false">
      <c r="B627" s="13" t="s">
        <v>847</v>
      </c>
      <c r="C627" s="13" t="s">
        <v>226</v>
      </c>
      <c r="D627" s="19" t="n">
        <v>640</v>
      </c>
      <c r="E627" s="23" t="n">
        <v>0.1931</v>
      </c>
      <c r="F627" s="19" t="n">
        <v>60</v>
      </c>
      <c r="G627" s="19" t="n">
        <v>7</v>
      </c>
      <c r="H627" s="14" t="n">
        <v>25190</v>
      </c>
      <c r="I627" s="14" t="n">
        <v>23335.6</v>
      </c>
      <c r="J627" s="24" t="n">
        <v>1.331</v>
      </c>
      <c r="K627" s="19" t="n">
        <v>0</v>
      </c>
      <c r="L627" s="13" t="str">
        <f aca="false">IF(D627&gt;=Inputs!$C$14,"Near-prime","Non-prime")</f>
        <v>Near-prime</v>
      </c>
      <c r="M627" s="19" t="n">
        <f aca="false">IF(K627&lt;=Inputs!$C$19,1,0)</f>
        <v>1</v>
      </c>
      <c r="N627" s="19" t="n">
        <f aca="false">IF(F627&lt;=Inputs!$C$20,1,0)</f>
        <v>1</v>
      </c>
      <c r="O627" s="19" t="n">
        <f aca="false">IF(J627&lt;=Inputs!$C$21,1,0)</f>
        <v>1</v>
      </c>
      <c r="P627" s="19" t="n">
        <f aca="false">IF(D627&gt;=Inputs!$C$22,1,0)</f>
        <v>1</v>
      </c>
      <c r="Q627" s="19" t="n">
        <f aca="false">IF(I627&lt;=Inputs!$C$23,1,0)</f>
        <v>1</v>
      </c>
      <c r="R627" s="19" t="n">
        <f aca="false">M627*N627*O627*P627*Q627</f>
        <v>1</v>
      </c>
      <c r="S627" s="14" t="n">
        <f aca="false">I627*R627</f>
        <v>23335.6</v>
      </c>
      <c r="T627" s="19" t="n">
        <f aca="false">IF(F627&gt;72,1,0)</f>
        <v>0</v>
      </c>
      <c r="U627" s="19" t="n">
        <f aca="false">IF(J627&gt;1.25,1,0)</f>
        <v>1</v>
      </c>
    </row>
    <row r="628" customFormat="false" ht="15" hidden="false" customHeight="false" outlineLevel="0" collapsed="false">
      <c r="B628" s="13" t="s">
        <v>848</v>
      </c>
      <c r="C628" s="13" t="s">
        <v>226</v>
      </c>
      <c r="D628" s="19" t="n">
        <v>592</v>
      </c>
      <c r="E628" s="23" t="n">
        <v>0.212</v>
      </c>
      <c r="F628" s="19" t="n">
        <v>60</v>
      </c>
      <c r="G628" s="19" t="n">
        <v>9</v>
      </c>
      <c r="H628" s="14" t="n">
        <v>33130</v>
      </c>
      <c r="I628" s="14" t="n">
        <v>30088.96</v>
      </c>
      <c r="J628" s="24" t="n">
        <v>1.283</v>
      </c>
      <c r="K628" s="19" t="n">
        <v>100</v>
      </c>
      <c r="L628" s="13" t="str">
        <f aca="false">IF(D628&gt;=Inputs!$C$14,"Near-prime","Non-prime")</f>
        <v>Non-prime</v>
      </c>
      <c r="M628" s="19" t="n">
        <f aca="false">IF(K628&lt;=Inputs!$C$19,1,0)</f>
        <v>0</v>
      </c>
      <c r="N628" s="19" t="n">
        <f aca="false">IF(F628&lt;=Inputs!$C$20,1,0)</f>
        <v>1</v>
      </c>
      <c r="O628" s="19" t="n">
        <f aca="false">IF(J628&lt;=Inputs!$C$21,1,0)</f>
        <v>1</v>
      </c>
      <c r="P628" s="19" t="n">
        <f aca="false">IF(D628&gt;=Inputs!$C$22,1,0)</f>
        <v>1</v>
      </c>
      <c r="Q628" s="19" t="n">
        <f aca="false">IF(I628&lt;=Inputs!$C$23,1,0)</f>
        <v>1</v>
      </c>
      <c r="R628" s="19" t="n">
        <f aca="false">M628*N628*O628*P628*Q628</f>
        <v>0</v>
      </c>
      <c r="S628" s="14" t="n">
        <f aca="false">I628*R628</f>
        <v>0</v>
      </c>
      <c r="T628" s="19" t="n">
        <f aca="false">IF(F628&gt;72,1,0)</f>
        <v>0</v>
      </c>
      <c r="U628" s="19" t="n">
        <f aca="false">IF(J628&gt;1.25,1,0)</f>
        <v>1</v>
      </c>
    </row>
    <row r="629" customFormat="false" ht="15" hidden="false" customHeight="false" outlineLevel="0" collapsed="false">
      <c r="B629" s="13" t="s">
        <v>849</v>
      </c>
      <c r="C629" s="13" t="s">
        <v>221</v>
      </c>
      <c r="D629" s="19" t="n">
        <v>691</v>
      </c>
      <c r="E629" s="23" t="n">
        <v>0.1934</v>
      </c>
      <c r="F629" s="19" t="n">
        <v>66</v>
      </c>
      <c r="G629" s="19" t="n">
        <v>2</v>
      </c>
      <c r="H629" s="14" t="n">
        <v>20070</v>
      </c>
      <c r="I629" s="14" t="n">
        <v>19721.75</v>
      </c>
      <c r="J629" s="24" t="n">
        <v>1.035</v>
      </c>
      <c r="K629" s="19" t="n">
        <v>0</v>
      </c>
      <c r="L629" s="13" t="str">
        <f aca="false">IF(D629&gt;=Inputs!$C$14,"Near-prime","Non-prime")</f>
        <v>Near-prime</v>
      </c>
      <c r="M629" s="19" t="n">
        <f aca="false">IF(K629&lt;=Inputs!$C$19,1,0)</f>
        <v>1</v>
      </c>
      <c r="N629" s="19" t="n">
        <f aca="false">IF(F629&lt;=Inputs!$C$20,1,0)</f>
        <v>1</v>
      </c>
      <c r="O629" s="19" t="n">
        <f aca="false">IF(J629&lt;=Inputs!$C$21,1,0)</f>
        <v>1</v>
      </c>
      <c r="P629" s="19" t="n">
        <f aca="false">IF(D629&gt;=Inputs!$C$22,1,0)</f>
        <v>1</v>
      </c>
      <c r="Q629" s="19" t="n">
        <f aca="false">IF(I629&lt;=Inputs!$C$23,1,0)</f>
        <v>1</v>
      </c>
      <c r="R629" s="19" t="n">
        <f aca="false">M629*N629*O629*P629*Q629</f>
        <v>1</v>
      </c>
      <c r="S629" s="14" t="n">
        <f aca="false">I629*R629</f>
        <v>19721.75</v>
      </c>
      <c r="T629" s="19" t="n">
        <f aca="false">IF(F629&gt;72,1,0)</f>
        <v>0</v>
      </c>
      <c r="U629" s="19" t="n">
        <f aca="false">IF(J629&gt;1.25,1,0)</f>
        <v>0</v>
      </c>
    </row>
    <row r="630" customFormat="false" ht="15" hidden="false" customHeight="false" outlineLevel="0" collapsed="false">
      <c r="B630" s="13" t="s">
        <v>850</v>
      </c>
      <c r="C630" s="13" t="s">
        <v>237</v>
      </c>
      <c r="D630" s="19" t="n">
        <v>709</v>
      </c>
      <c r="E630" s="23" t="n">
        <v>0.2071</v>
      </c>
      <c r="F630" s="19" t="n">
        <v>48</v>
      </c>
      <c r="G630" s="19" t="n">
        <v>0</v>
      </c>
      <c r="H630" s="14" t="n">
        <v>19680</v>
      </c>
      <c r="I630" s="14" t="n">
        <v>19680</v>
      </c>
      <c r="J630" s="24" t="n">
        <v>0.829</v>
      </c>
      <c r="K630" s="19" t="n">
        <v>0</v>
      </c>
      <c r="L630" s="13" t="str">
        <f aca="false">IF(D630&gt;=Inputs!$C$14,"Near-prime","Non-prime")</f>
        <v>Near-prime</v>
      </c>
      <c r="M630" s="19" t="n">
        <f aca="false">IF(K630&lt;=Inputs!$C$19,1,0)</f>
        <v>1</v>
      </c>
      <c r="N630" s="19" t="n">
        <f aca="false">IF(F630&lt;=Inputs!$C$20,1,0)</f>
        <v>1</v>
      </c>
      <c r="O630" s="19" t="n">
        <f aca="false">IF(J630&lt;=Inputs!$C$21,1,0)</f>
        <v>1</v>
      </c>
      <c r="P630" s="19" t="n">
        <f aca="false">IF(D630&gt;=Inputs!$C$22,1,0)</f>
        <v>1</v>
      </c>
      <c r="Q630" s="19" t="n">
        <f aca="false">IF(I630&lt;=Inputs!$C$23,1,0)</f>
        <v>1</v>
      </c>
      <c r="R630" s="19" t="n">
        <f aca="false">M630*N630*O630*P630*Q630</f>
        <v>1</v>
      </c>
      <c r="S630" s="14" t="n">
        <f aca="false">I630*R630</f>
        <v>19680</v>
      </c>
      <c r="T630" s="19" t="n">
        <f aca="false">IF(F630&gt;72,1,0)</f>
        <v>0</v>
      </c>
      <c r="U630" s="19" t="n">
        <f aca="false">IF(J630&gt;1.25,1,0)</f>
        <v>0</v>
      </c>
    </row>
    <row r="631" customFormat="false" ht="15" hidden="false" customHeight="false" outlineLevel="0" collapsed="false">
      <c r="B631" s="13" t="s">
        <v>851</v>
      </c>
      <c r="C631" s="13" t="s">
        <v>237</v>
      </c>
      <c r="D631" s="19" t="n">
        <v>567</v>
      </c>
      <c r="E631" s="23" t="n">
        <v>0.234</v>
      </c>
      <c r="F631" s="19" t="n">
        <v>72</v>
      </c>
      <c r="G631" s="19" t="n">
        <v>4</v>
      </c>
      <c r="H631" s="14" t="n">
        <v>18600</v>
      </c>
      <c r="I631" s="14" t="n">
        <v>18104.84</v>
      </c>
      <c r="J631" s="24" t="n">
        <v>0.929</v>
      </c>
      <c r="K631" s="19" t="n">
        <v>0</v>
      </c>
      <c r="L631" s="13" t="str">
        <f aca="false">IF(D631&gt;=Inputs!$C$14,"Near-prime","Non-prime")</f>
        <v>Non-prime</v>
      </c>
      <c r="M631" s="19" t="n">
        <f aca="false">IF(K631&lt;=Inputs!$C$19,1,0)</f>
        <v>1</v>
      </c>
      <c r="N631" s="19" t="n">
        <f aca="false">IF(F631&lt;=Inputs!$C$20,1,0)</f>
        <v>1</v>
      </c>
      <c r="O631" s="19" t="n">
        <f aca="false">IF(J631&lt;=Inputs!$C$21,1,0)</f>
        <v>1</v>
      </c>
      <c r="P631" s="19" t="n">
        <f aca="false">IF(D631&gt;=Inputs!$C$22,1,0)</f>
        <v>1</v>
      </c>
      <c r="Q631" s="19" t="n">
        <f aca="false">IF(I631&lt;=Inputs!$C$23,1,0)</f>
        <v>1</v>
      </c>
      <c r="R631" s="19" t="n">
        <f aca="false">M631*N631*O631*P631*Q631</f>
        <v>1</v>
      </c>
      <c r="S631" s="14" t="n">
        <f aca="false">I631*R631</f>
        <v>18104.84</v>
      </c>
      <c r="T631" s="19" t="n">
        <f aca="false">IF(F631&gt;72,1,0)</f>
        <v>0</v>
      </c>
      <c r="U631" s="19" t="n">
        <f aca="false">IF(J631&gt;1.25,1,0)</f>
        <v>0</v>
      </c>
    </row>
    <row r="632" customFormat="false" ht="15" hidden="false" customHeight="false" outlineLevel="0" collapsed="false">
      <c r="B632" s="13" t="s">
        <v>852</v>
      </c>
      <c r="C632" s="13" t="s">
        <v>223</v>
      </c>
      <c r="D632" s="19" t="n">
        <v>570</v>
      </c>
      <c r="E632" s="23" t="n">
        <v>0.2416</v>
      </c>
      <c r="F632" s="19" t="n">
        <v>60</v>
      </c>
      <c r="G632" s="19" t="n">
        <v>2</v>
      </c>
      <c r="H632" s="14" t="n">
        <v>36680</v>
      </c>
      <c r="I632" s="14" t="n">
        <v>36033.3</v>
      </c>
      <c r="J632" s="24" t="n">
        <v>1.45</v>
      </c>
      <c r="K632" s="19" t="n">
        <v>0</v>
      </c>
      <c r="L632" s="13" t="str">
        <f aca="false">IF(D632&gt;=Inputs!$C$14,"Near-prime","Non-prime")</f>
        <v>Non-prime</v>
      </c>
      <c r="M632" s="19" t="n">
        <f aca="false">IF(K632&lt;=Inputs!$C$19,1,0)</f>
        <v>1</v>
      </c>
      <c r="N632" s="19" t="n">
        <f aca="false">IF(F632&lt;=Inputs!$C$20,1,0)</f>
        <v>1</v>
      </c>
      <c r="O632" s="19" t="n">
        <f aca="false">IF(J632&lt;=Inputs!$C$21,1,0)</f>
        <v>1</v>
      </c>
      <c r="P632" s="19" t="n">
        <f aca="false">IF(D632&gt;=Inputs!$C$22,1,0)</f>
        <v>1</v>
      </c>
      <c r="Q632" s="19" t="n">
        <f aca="false">IF(I632&lt;=Inputs!$C$23,1,0)</f>
        <v>1</v>
      </c>
      <c r="R632" s="19" t="n">
        <f aca="false">M632*N632*O632*P632*Q632</f>
        <v>1</v>
      </c>
      <c r="S632" s="14" t="n">
        <f aca="false">I632*R632</f>
        <v>36033.3</v>
      </c>
      <c r="T632" s="19" t="n">
        <f aca="false">IF(F632&gt;72,1,0)</f>
        <v>0</v>
      </c>
      <c r="U632" s="19" t="n">
        <f aca="false">IF(J632&gt;1.25,1,0)</f>
        <v>1</v>
      </c>
    </row>
    <row r="633" customFormat="false" ht="15" hidden="false" customHeight="false" outlineLevel="0" collapsed="false">
      <c r="B633" s="13" t="s">
        <v>853</v>
      </c>
      <c r="C633" s="13" t="s">
        <v>237</v>
      </c>
      <c r="D633" s="19" t="n">
        <v>639</v>
      </c>
      <c r="E633" s="23" t="n">
        <v>0.2373</v>
      </c>
      <c r="F633" s="19" t="n">
        <v>48</v>
      </c>
      <c r="G633" s="19" t="n">
        <v>6</v>
      </c>
      <c r="H633" s="14" t="n">
        <v>26700</v>
      </c>
      <c r="I633" s="14" t="n">
        <v>24565.93</v>
      </c>
      <c r="J633" s="24" t="n">
        <v>1.078</v>
      </c>
      <c r="K633" s="19" t="n">
        <v>0</v>
      </c>
      <c r="L633" s="13" t="str">
        <f aca="false">IF(D633&gt;=Inputs!$C$14,"Near-prime","Non-prime")</f>
        <v>Near-prime</v>
      </c>
      <c r="M633" s="19" t="n">
        <f aca="false">IF(K633&lt;=Inputs!$C$19,1,0)</f>
        <v>1</v>
      </c>
      <c r="N633" s="19" t="n">
        <f aca="false">IF(F633&lt;=Inputs!$C$20,1,0)</f>
        <v>1</v>
      </c>
      <c r="O633" s="19" t="n">
        <f aca="false">IF(J633&lt;=Inputs!$C$21,1,0)</f>
        <v>1</v>
      </c>
      <c r="P633" s="19" t="n">
        <f aca="false">IF(D633&gt;=Inputs!$C$22,1,0)</f>
        <v>1</v>
      </c>
      <c r="Q633" s="19" t="n">
        <f aca="false">IF(I633&lt;=Inputs!$C$23,1,0)</f>
        <v>1</v>
      </c>
      <c r="R633" s="19" t="n">
        <f aca="false">M633*N633*O633*P633*Q633</f>
        <v>1</v>
      </c>
      <c r="S633" s="14" t="n">
        <f aca="false">I633*R633</f>
        <v>24565.93</v>
      </c>
      <c r="T633" s="19" t="n">
        <f aca="false">IF(F633&gt;72,1,0)</f>
        <v>0</v>
      </c>
      <c r="U633" s="19" t="n">
        <f aca="false">IF(J633&gt;1.25,1,0)</f>
        <v>0</v>
      </c>
    </row>
    <row r="634" customFormat="false" ht="15" hidden="false" customHeight="false" outlineLevel="0" collapsed="false">
      <c r="B634" s="13" t="s">
        <v>854</v>
      </c>
      <c r="C634" s="13" t="s">
        <v>233</v>
      </c>
      <c r="D634" s="19" t="n">
        <v>749</v>
      </c>
      <c r="E634" s="23" t="n">
        <v>0.1827</v>
      </c>
      <c r="F634" s="19" t="n">
        <v>75</v>
      </c>
      <c r="G634" s="19" t="n">
        <v>6</v>
      </c>
      <c r="H634" s="14" t="n">
        <v>9580</v>
      </c>
      <c r="I634" s="14" t="n">
        <v>9148.27</v>
      </c>
      <c r="J634" s="24" t="n">
        <v>1.184</v>
      </c>
      <c r="K634" s="19" t="n">
        <v>0</v>
      </c>
      <c r="L634" s="13" t="str">
        <f aca="false">IF(D634&gt;=Inputs!$C$14,"Near-prime","Non-prime")</f>
        <v>Near-prime</v>
      </c>
      <c r="M634" s="19" t="n">
        <f aca="false">IF(K634&lt;=Inputs!$C$19,1,0)</f>
        <v>1</v>
      </c>
      <c r="N634" s="19" t="n">
        <f aca="false">IF(F634&lt;=Inputs!$C$20,1,0)</f>
        <v>1</v>
      </c>
      <c r="O634" s="19" t="n">
        <f aca="false">IF(J634&lt;=Inputs!$C$21,1,0)</f>
        <v>1</v>
      </c>
      <c r="P634" s="19" t="n">
        <f aca="false">IF(D634&gt;=Inputs!$C$22,1,0)</f>
        <v>1</v>
      </c>
      <c r="Q634" s="19" t="n">
        <f aca="false">IF(I634&lt;=Inputs!$C$23,1,0)</f>
        <v>1</v>
      </c>
      <c r="R634" s="19" t="n">
        <f aca="false">M634*N634*O634*P634*Q634</f>
        <v>1</v>
      </c>
      <c r="S634" s="14" t="n">
        <f aca="false">I634*R634</f>
        <v>9148.27</v>
      </c>
      <c r="T634" s="19" t="n">
        <f aca="false">IF(F634&gt;72,1,0)</f>
        <v>1</v>
      </c>
      <c r="U634" s="19" t="n">
        <f aca="false">IF(J634&gt;1.25,1,0)</f>
        <v>0</v>
      </c>
    </row>
    <row r="635" customFormat="false" ht="15" hidden="false" customHeight="false" outlineLevel="0" collapsed="false">
      <c r="B635" s="13" t="s">
        <v>855</v>
      </c>
      <c r="C635" s="13" t="s">
        <v>223</v>
      </c>
      <c r="D635" s="19" t="n">
        <v>607</v>
      </c>
      <c r="E635" s="23" t="n">
        <v>0.2404</v>
      </c>
      <c r="F635" s="19" t="n">
        <v>66</v>
      </c>
      <c r="G635" s="19" t="n">
        <v>0</v>
      </c>
      <c r="H635" s="14" t="n">
        <v>33380</v>
      </c>
      <c r="I635" s="14" t="n">
        <v>33380</v>
      </c>
      <c r="J635" s="24" t="n">
        <v>0.844</v>
      </c>
      <c r="K635" s="19" t="n">
        <v>0</v>
      </c>
      <c r="L635" s="13" t="str">
        <f aca="false">IF(D635&gt;=Inputs!$C$14,"Near-prime","Non-prime")</f>
        <v>Non-prime</v>
      </c>
      <c r="M635" s="19" t="n">
        <f aca="false">IF(K635&lt;=Inputs!$C$19,1,0)</f>
        <v>1</v>
      </c>
      <c r="N635" s="19" t="n">
        <f aca="false">IF(F635&lt;=Inputs!$C$20,1,0)</f>
        <v>1</v>
      </c>
      <c r="O635" s="19" t="n">
        <f aca="false">IF(J635&lt;=Inputs!$C$21,1,0)</f>
        <v>1</v>
      </c>
      <c r="P635" s="19" t="n">
        <f aca="false">IF(D635&gt;=Inputs!$C$22,1,0)</f>
        <v>1</v>
      </c>
      <c r="Q635" s="19" t="n">
        <f aca="false">IF(I635&lt;=Inputs!$C$23,1,0)</f>
        <v>1</v>
      </c>
      <c r="R635" s="19" t="n">
        <f aca="false">M635*N635*O635*P635*Q635</f>
        <v>1</v>
      </c>
      <c r="S635" s="14" t="n">
        <f aca="false">I635*R635</f>
        <v>33380</v>
      </c>
      <c r="T635" s="19" t="n">
        <f aca="false">IF(F635&gt;72,1,0)</f>
        <v>0</v>
      </c>
      <c r="U635" s="19" t="n">
        <f aca="false">IF(J635&gt;1.25,1,0)</f>
        <v>0</v>
      </c>
    </row>
    <row r="636" customFormat="false" ht="15" hidden="false" customHeight="false" outlineLevel="0" collapsed="false">
      <c r="B636" s="13" t="s">
        <v>856</v>
      </c>
      <c r="C636" s="13" t="s">
        <v>223</v>
      </c>
      <c r="D636" s="19" t="n">
        <v>674</v>
      </c>
      <c r="E636" s="23" t="n">
        <v>0.2207</v>
      </c>
      <c r="F636" s="19" t="n">
        <v>75</v>
      </c>
      <c r="G636" s="19" t="n">
        <v>6</v>
      </c>
      <c r="H636" s="14" t="n">
        <v>27740</v>
      </c>
      <c r="I636" s="14" t="n">
        <v>26643.38</v>
      </c>
      <c r="J636" s="24" t="n">
        <v>1.266</v>
      </c>
      <c r="K636" s="19" t="n">
        <v>30</v>
      </c>
      <c r="L636" s="13" t="str">
        <f aca="false">IF(D636&gt;=Inputs!$C$14,"Near-prime","Non-prime")</f>
        <v>Near-prime</v>
      </c>
      <c r="M636" s="19" t="n">
        <f aca="false">IF(K636&lt;=Inputs!$C$19,1,0)</f>
        <v>1</v>
      </c>
      <c r="N636" s="19" t="n">
        <f aca="false">IF(F636&lt;=Inputs!$C$20,1,0)</f>
        <v>1</v>
      </c>
      <c r="O636" s="19" t="n">
        <f aca="false">IF(J636&lt;=Inputs!$C$21,1,0)</f>
        <v>1</v>
      </c>
      <c r="P636" s="19" t="n">
        <f aca="false">IF(D636&gt;=Inputs!$C$22,1,0)</f>
        <v>1</v>
      </c>
      <c r="Q636" s="19" t="n">
        <f aca="false">IF(I636&lt;=Inputs!$C$23,1,0)</f>
        <v>1</v>
      </c>
      <c r="R636" s="19" t="n">
        <f aca="false">M636*N636*O636*P636*Q636</f>
        <v>1</v>
      </c>
      <c r="S636" s="14" t="n">
        <f aca="false">I636*R636</f>
        <v>26643.38</v>
      </c>
      <c r="T636" s="19" t="n">
        <f aca="false">IF(F636&gt;72,1,0)</f>
        <v>1</v>
      </c>
      <c r="U636" s="19" t="n">
        <f aca="false">IF(J636&gt;1.25,1,0)</f>
        <v>1</v>
      </c>
    </row>
    <row r="637" customFormat="false" ht="15" hidden="false" customHeight="false" outlineLevel="0" collapsed="false">
      <c r="B637" s="13" t="s">
        <v>857</v>
      </c>
      <c r="C637" s="13" t="s">
        <v>252</v>
      </c>
      <c r="D637" s="19" t="n">
        <v>562</v>
      </c>
      <c r="E637" s="23" t="n">
        <v>0.2292</v>
      </c>
      <c r="F637" s="19" t="n">
        <v>72</v>
      </c>
      <c r="G637" s="19" t="n">
        <v>3</v>
      </c>
      <c r="H637" s="14" t="n">
        <v>8920</v>
      </c>
      <c r="I637" s="14" t="n">
        <v>8740.67</v>
      </c>
      <c r="J637" s="24" t="n">
        <v>1.119</v>
      </c>
      <c r="K637" s="19" t="n">
        <v>0</v>
      </c>
      <c r="L637" s="13" t="str">
        <f aca="false">IF(D637&gt;=Inputs!$C$14,"Near-prime","Non-prime")</f>
        <v>Non-prime</v>
      </c>
      <c r="M637" s="19" t="n">
        <f aca="false">IF(K637&lt;=Inputs!$C$19,1,0)</f>
        <v>1</v>
      </c>
      <c r="N637" s="19" t="n">
        <f aca="false">IF(F637&lt;=Inputs!$C$20,1,0)</f>
        <v>1</v>
      </c>
      <c r="O637" s="19" t="n">
        <f aca="false">IF(J637&lt;=Inputs!$C$21,1,0)</f>
        <v>1</v>
      </c>
      <c r="P637" s="19" t="n">
        <f aca="false">IF(D637&gt;=Inputs!$C$22,1,0)</f>
        <v>1</v>
      </c>
      <c r="Q637" s="19" t="n">
        <f aca="false">IF(I637&lt;=Inputs!$C$23,1,0)</f>
        <v>1</v>
      </c>
      <c r="R637" s="19" t="n">
        <f aca="false">M637*N637*O637*P637*Q637</f>
        <v>1</v>
      </c>
      <c r="S637" s="14" t="n">
        <f aca="false">I637*R637</f>
        <v>8740.67</v>
      </c>
      <c r="T637" s="19" t="n">
        <f aca="false">IF(F637&gt;72,1,0)</f>
        <v>0</v>
      </c>
      <c r="U637" s="19" t="n">
        <f aca="false">IF(J637&gt;1.25,1,0)</f>
        <v>0</v>
      </c>
    </row>
    <row r="638" customFormat="false" ht="15" hidden="false" customHeight="false" outlineLevel="0" collapsed="false">
      <c r="B638" s="13" t="s">
        <v>858</v>
      </c>
      <c r="C638" s="13" t="s">
        <v>257</v>
      </c>
      <c r="D638" s="19" t="n">
        <v>600</v>
      </c>
      <c r="E638" s="23" t="n">
        <v>0.2356</v>
      </c>
      <c r="F638" s="19" t="n">
        <v>66</v>
      </c>
      <c r="G638" s="19" t="n">
        <v>1</v>
      </c>
      <c r="H638" s="14" t="n">
        <v>42370</v>
      </c>
      <c r="I638" s="14" t="n">
        <v>42051.07</v>
      </c>
      <c r="J638" s="24" t="n">
        <v>0.957</v>
      </c>
      <c r="K638" s="19" t="n">
        <v>0</v>
      </c>
      <c r="L638" s="13" t="str">
        <f aca="false">IF(D638&gt;=Inputs!$C$14,"Near-prime","Non-prime")</f>
        <v>Non-prime</v>
      </c>
      <c r="M638" s="19" t="n">
        <f aca="false">IF(K638&lt;=Inputs!$C$19,1,0)</f>
        <v>1</v>
      </c>
      <c r="N638" s="19" t="n">
        <f aca="false">IF(F638&lt;=Inputs!$C$20,1,0)</f>
        <v>1</v>
      </c>
      <c r="O638" s="19" t="n">
        <f aca="false">IF(J638&lt;=Inputs!$C$21,1,0)</f>
        <v>1</v>
      </c>
      <c r="P638" s="19" t="n">
        <f aca="false">IF(D638&gt;=Inputs!$C$22,1,0)</f>
        <v>1</v>
      </c>
      <c r="Q638" s="19" t="n">
        <f aca="false">IF(I638&lt;=Inputs!$C$23,1,0)</f>
        <v>1</v>
      </c>
      <c r="R638" s="19" t="n">
        <f aca="false">M638*N638*O638*P638*Q638</f>
        <v>1</v>
      </c>
      <c r="S638" s="14" t="n">
        <f aca="false">I638*R638</f>
        <v>42051.07</v>
      </c>
      <c r="T638" s="19" t="n">
        <f aca="false">IF(F638&gt;72,1,0)</f>
        <v>0</v>
      </c>
      <c r="U638" s="19" t="n">
        <f aca="false">IF(J638&gt;1.25,1,0)</f>
        <v>0</v>
      </c>
    </row>
    <row r="639" customFormat="false" ht="15" hidden="false" customHeight="false" outlineLevel="0" collapsed="false">
      <c r="B639" s="13" t="s">
        <v>859</v>
      </c>
      <c r="C639" s="13" t="s">
        <v>252</v>
      </c>
      <c r="D639" s="19" t="n">
        <v>673</v>
      </c>
      <c r="E639" s="23" t="n">
        <v>0.2146</v>
      </c>
      <c r="F639" s="19" t="n">
        <v>60</v>
      </c>
      <c r="G639" s="19" t="n">
        <v>2</v>
      </c>
      <c r="H639" s="14" t="n">
        <v>45760</v>
      </c>
      <c r="I639" s="14" t="n">
        <v>44889.3</v>
      </c>
      <c r="J639" s="24" t="n">
        <v>1.239</v>
      </c>
      <c r="K639" s="19" t="n">
        <v>0</v>
      </c>
      <c r="L639" s="13" t="str">
        <f aca="false">IF(D639&gt;=Inputs!$C$14,"Near-prime","Non-prime")</f>
        <v>Near-prime</v>
      </c>
      <c r="M639" s="19" t="n">
        <f aca="false">IF(K639&lt;=Inputs!$C$19,1,0)</f>
        <v>1</v>
      </c>
      <c r="N639" s="19" t="n">
        <f aca="false">IF(F639&lt;=Inputs!$C$20,1,0)</f>
        <v>1</v>
      </c>
      <c r="O639" s="19" t="n">
        <f aca="false">IF(J639&lt;=Inputs!$C$21,1,0)</f>
        <v>1</v>
      </c>
      <c r="P639" s="19" t="n">
        <f aca="false">IF(D639&gt;=Inputs!$C$22,1,0)</f>
        <v>1</v>
      </c>
      <c r="Q639" s="19" t="n">
        <f aca="false">IF(I639&lt;=Inputs!$C$23,1,0)</f>
        <v>1</v>
      </c>
      <c r="R639" s="19" t="n">
        <f aca="false">M639*N639*O639*P639*Q639</f>
        <v>1</v>
      </c>
      <c r="S639" s="14" t="n">
        <f aca="false">I639*R639</f>
        <v>44889.3</v>
      </c>
      <c r="T639" s="19" t="n">
        <f aca="false">IF(F639&gt;72,1,0)</f>
        <v>0</v>
      </c>
      <c r="U639" s="19" t="n">
        <f aca="false">IF(J639&gt;1.25,1,0)</f>
        <v>0</v>
      </c>
    </row>
    <row r="640" customFormat="false" ht="15" hidden="false" customHeight="false" outlineLevel="0" collapsed="false">
      <c r="B640" s="13" t="s">
        <v>860</v>
      </c>
      <c r="C640" s="13" t="s">
        <v>233</v>
      </c>
      <c r="D640" s="19" t="n">
        <v>635</v>
      </c>
      <c r="E640" s="23" t="n">
        <v>0.231</v>
      </c>
      <c r="F640" s="19" t="n">
        <v>72</v>
      </c>
      <c r="G640" s="19" t="n">
        <v>2</v>
      </c>
      <c r="H640" s="14" t="n">
        <v>24820</v>
      </c>
      <c r="I640" s="14" t="n">
        <v>24492.57</v>
      </c>
      <c r="J640" s="24" t="n">
        <v>1.15</v>
      </c>
      <c r="K640" s="19" t="n">
        <v>0</v>
      </c>
      <c r="L640" s="13" t="str">
        <f aca="false">IF(D640&gt;=Inputs!$C$14,"Near-prime","Non-prime")</f>
        <v>Near-prime</v>
      </c>
      <c r="M640" s="19" t="n">
        <f aca="false">IF(K640&lt;=Inputs!$C$19,1,0)</f>
        <v>1</v>
      </c>
      <c r="N640" s="19" t="n">
        <f aca="false">IF(F640&lt;=Inputs!$C$20,1,0)</f>
        <v>1</v>
      </c>
      <c r="O640" s="19" t="n">
        <f aca="false">IF(J640&lt;=Inputs!$C$21,1,0)</f>
        <v>1</v>
      </c>
      <c r="P640" s="19" t="n">
        <f aca="false">IF(D640&gt;=Inputs!$C$22,1,0)</f>
        <v>1</v>
      </c>
      <c r="Q640" s="19" t="n">
        <f aca="false">IF(I640&lt;=Inputs!$C$23,1,0)</f>
        <v>1</v>
      </c>
      <c r="R640" s="19" t="n">
        <f aca="false">M640*N640*O640*P640*Q640</f>
        <v>1</v>
      </c>
      <c r="S640" s="14" t="n">
        <f aca="false">I640*R640</f>
        <v>24492.57</v>
      </c>
      <c r="T640" s="19" t="n">
        <f aca="false">IF(F640&gt;72,1,0)</f>
        <v>0</v>
      </c>
      <c r="U640" s="19" t="n">
        <f aca="false">IF(J640&gt;1.25,1,0)</f>
        <v>0</v>
      </c>
    </row>
    <row r="641" customFormat="false" ht="15" hidden="false" customHeight="false" outlineLevel="0" collapsed="false">
      <c r="B641" s="13" t="s">
        <v>861</v>
      </c>
      <c r="C641" s="13" t="s">
        <v>228</v>
      </c>
      <c r="D641" s="19" t="n">
        <v>673</v>
      </c>
      <c r="E641" s="23" t="n">
        <v>0.1707</v>
      </c>
      <c r="F641" s="19" t="n">
        <v>60</v>
      </c>
      <c r="G641" s="19" t="n">
        <v>0</v>
      </c>
      <c r="H641" s="14" t="n">
        <v>29990</v>
      </c>
      <c r="I641" s="14" t="n">
        <v>29990</v>
      </c>
      <c r="J641" s="24" t="n">
        <v>0.729</v>
      </c>
      <c r="K641" s="19" t="n">
        <v>0</v>
      </c>
      <c r="L641" s="13" t="str">
        <f aca="false">IF(D641&gt;=Inputs!$C$14,"Near-prime","Non-prime")</f>
        <v>Near-prime</v>
      </c>
      <c r="M641" s="19" t="n">
        <f aca="false">IF(K641&lt;=Inputs!$C$19,1,0)</f>
        <v>1</v>
      </c>
      <c r="N641" s="19" t="n">
        <f aca="false">IF(F641&lt;=Inputs!$C$20,1,0)</f>
        <v>1</v>
      </c>
      <c r="O641" s="19" t="n">
        <f aca="false">IF(J641&lt;=Inputs!$C$21,1,0)</f>
        <v>1</v>
      </c>
      <c r="P641" s="19" t="n">
        <f aca="false">IF(D641&gt;=Inputs!$C$22,1,0)</f>
        <v>1</v>
      </c>
      <c r="Q641" s="19" t="n">
        <f aca="false">IF(I641&lt;=Inputs!$C$23,1,0)</f>
        <v>1</v>
      </c>
      <c r="R641" s="19" t="n">
        <f aca="false">M641*N641*O641*P641*Q641</f>
        <v>1</v>
      </c>
      <c r="S641" s="14" t="n">
        <f aca="false">I641*R641</f>
        <v>29990</v>
      </c>
      <c r="T641" s="19" t="n">
        <f aca="false">IF(F641&gt;72,1,0)</f>
        <v>0</v>
      </c>
      <c r="U641" s="19" t="n">
        <f aca="false">IF(J641&gt;1.25,1,0)</f>
        <v>0</v>
      </c>
    </row>
    <row r="642" customFormat="false" ht="15" hidden="false" customHeight="false" outlineLevel="0" collapsed="false">
      <c r="B642" s="13" t="s">
        <v>862</v>
      </c>
      <c r="C642" s="13" t="s">
        <v>237</v>
      </c>
      <c r="D642" s="19" t="n">
        <v>654</v>
      </c>
      <c r="E642" s="23" t="n">
        <v>0.1944</v>
      </c>
      <c r="F642" s="19" t="n">
        <v>75</v>
      </c>
      <c r="G642" s="19" t="n">
        <v>4</v>
      </c>
      <c r="H642" s="14" t="n">
        <v>20790</v>
      </c>
      <c r="I642" s="14" t="n">
        <v>20199.54</v>
      </c>
      <c r="J642" s="24" t="n">
        <v>1.187</v>
      </c>
      <c r="K642" s="19" t="n">
        <v>0</v>
      </c>
      <c r="L642" s="13" t="str">
        <f aca="false">IF(D642&gt;=Inputs!$C$14,"Near-prime","Non-prime")</f>
        <v>Near-prime</v>
      </c>
      <c r="M642" s="19" t="n">
        <f aca="false">IF(K642&lt;=Inputs!$C$19,1,0)</f>
        <v>1</v>
      </c>
      <c r="N642" s="19" t="n">
        <f aca="false">IF(F642&lt;=Inputs!$C$20,1,0)</f>
        <v>1</v>
      </c>
      <c r="O642" s="19" t="n">
        <f aca="false">IF(J642&lt;=Inputs!$C$21,1,0)</f>
        <v>1</v>
      </c>
      <c r="P642" s="19" t="n">
        <f aca="false">IF(D642&gt;=Inputs!$C$22,1,0)</f>
        <v>1</v>
      </c>
      <c r="Q642" s="19" t="n">
        <f aca="false">IF(I642&lt;=Inputs!$C$23,1,0)</f>
        <v>1</v>
      </c>
      <c r="R642" s="19" t="n">
        <f aca="false">M642*N642*O642*P642*Q642</f>
        <v>1</v>
      </c>
      <c r="S642" s="14" t="n">
        <f aca="false">I642*R642</f>
        <v>20199.54</v>
      </c>
      <c r="T642" s="19" t="n">
        <f aca="false">IF(F642&gt;72,1,0)</f>
        <v>1</v>
      </c>
      <c r="U642" s="19" t="n">
        <f aca="false">IF(J642&gt;1.25,1,0)</f>
        <v>0</v>
      </c>
    </row>
    <row r="643" customFormat="false" ht="15" hidden="false" customHeight="false" outlineLevel="0" collapsed="false">
      <c r="B643" s="13" t="s">
        <v>863</v>
      </c>
      <c r="C643" s="13" t="s">
        <v>237</v>
      </c>
      <c r="D643" s="19" t="n">
        <v>646</v>
      </c>
      <c r="E643" s="23" t="n">
        <v>0.1915</v>
      </c>
      <c r="F643" s="19" t="n">
        <v>72</v>
      </c>
      <c r="G643" s="19" t="n">
        <v>4</v>
      </c>
      <c r="H643" s="14" t="n">
        <v>20140</v>
      </c>
      <c r="I643" s="14" t="n">
        <v>19520.82</v>
      </c>
      <c r="J643" s="24" t="n">
        <v>1.118</v>
      </c>
      <c r="K643" s="19" t="n">
        <v>0</v>
      </c>
      <c r="L643" s="13" t="str">
        <f aca="false">IF(D643&gt;=Inputs!$C$14,"Near-prime","Non-prime")</f>
        <v>Near-prime</v>
      </c>
      <c r="M643" s="19" t="n">
        <f aca="false">IF(K643&lt;=Inputs!$C$19,1,0)</f>
        <v>1</v>
      </c>
      <c r="N643" s="19" t="n">
        <f aca="false">IF(F643&lt;=Inputs!$C$20,1,0)</f>
        <v>1</v>
      </c>
      <c r="O643" s="19" t="n">
        <f aca="false">IF(J643&lt;=Inputs!$C$21,1,0)</f>
        <v>1</v>
      </c>
      <c r="P643" s="19" t="n">
        <f aca="false">IF(D643&gt;=Inputs!$C$22,1,0)</f>
        <v>1</v>
      </c>
      <c r="Q643" s="19" t="n">
        <f aca="false">IF(I643&lt;=Inputs!$C$23,1,0)</f>
        <v>1</v>
      </c>
      <c r="R643" s="19" t="n">
        <f aca="false">M643*N643*O643*P643*Q643</f>
        <v>1</v>
      </c>
      <c r="S643" s="14" t="n">
        <f aca="false">I643*R643</f>
        <v>19520.82</v>
      </c>
      <c r="T643" s="19" t="n">
        <f aca="false">IF(F643&gt;72,1,0)</f>
        <v>0</v>
      </c>
      <c r="U643" s="19" t="n">
        <f aca="false">IF(J643&gt;1.25,1,0)</f>
        <v>0</v>
      </c>
    </row>
    <row r="644" customFormat="false" ht="15" hidden="false" customHeight="false" outlineLevel="0" collapsed="false">
      <c r="B644" s="13" t="s">
        <v>864</v>
      </c>
      <c r="C644" s="13" t="s">
        <v>217</v>
      </c>
      <c r="D644" s="19" t="n">
        <v>645</v>
      </c>
      <c r="E644" s="23" t="n">
        <v>0.2113</v>
      </c>
      <c r="F644" s="19" t="n">
        <v>66</v>
      </c>
      <c r="G644" s="19" t="n">
        <v>2</v>
      </c>
      <c r="H644" s="14" t="n">
        <v>35870</v>
      </c>
      <c r="I644" s="14" t="n">
        <v>35281.29</v>
      </c>
      <c r="J644" s="24" t="n">
        <v>0.885</v>
      </c>
      <c r="K644" s="19" t="n">
        <v>0</v>
      </c>
      <c r="L644" s="13" t="str">
        <f aca="false">IF(D644&gt;=Inputs!$C$14,"Near-prime","Non-prime")</f>
        <v>Near-prime</v>
      </c>
      <c r="M644" s="19" t="n">
        <f aca="false">IF(K644&lt;=Inputs!$C$19,1,0)</f>
        <v>1</v>
      </c>
      <c r="N644" s="19" t="n">
        <f aca="false">IF(F644&lt;=Inputs!$C$20,1,0)</f>
        <v>1</v>
      </c>
      <c r="O644" s="19" t="n">
        <f aca="false">IF(J644&lt;=Inputs!$C$21,1,0)</f>
        <v>1</v>
      </c>
      <c r="P644" s="19" t="n">
        <f aca="false">IF(D644&gt;=Inputs!$C$22,1,0)</f>
        <v>1</v>
      </c>
      <c r="Q644" s="19" t="n">
        <f aca="false">IF(I644&lt;=Inputs!$C$23,1,0)</f>
        <v>1</v>
      </c>
      <c r="R644" s="19" t="n">
        <f aca="false">M644*N644*O644*P644*Q644</f>
        <v>1</v>
      </c>
      <c r="S644" s="14" t="n">
        <f aca="false">I644*R644</f>
        <v>35281.29</v>
      </c>
      <c r="T644" s="19" t="n">
        <f aca="false">IF(F644&gt;72,1,0)</f>
        <v>0</v>
      </c>
      <c r="U644" s="19" t="n">
        <f aca="false">IF(J644&gt;1.25,1,0)</f>
        <v>0</v>
      </c>
    </row>
    <row r="645" customFormat="false" ht="15" hidden="false" customHeight="false" outlineLevel="0" collapsed="false">
      <c r="B645" s="13" t="s">
        <v>865</v>
      </c>
      <c r="C645" s="13" t="s">
        <v>223</v>
      </c>
      <c r="D645" s="19" t="n">
        <v>718</v>
      </c>
      <c r="E645" s="23" t="n">
        <v>0.1949</v>
      </c>
      <c r="F645" s="19" t="n">
        <v>72</v>
      </c>
      <c r="G645" s="19" t="n">
        <v>9</v>
      </c>
      <c r="H645" s="14" t="n">
        <v>20460</v>
      </c>
      <c r="I645" s="14" t="n">
        <v>19002.17</v>
      </c>
      <c r="J645" s="24" t="n">
        <v>1.016</v>
      </c>
      <c r="K645" s="19" t="n">
        <v>0</v>
      </c>
      <c r="L645" s="13" t="str">
        <f aca="false">IF(D645&gt;=Inputs!$C$14,"Near-prime","Non-prime")</f>
        <v>Near-prime</v>
      </c>
      <c r="M645" s="19" t="n">
        <f aca="false">IF(K645&lt;=Inputs!$C$19,1,0)</f>
        <v>1</v>
      </c>
      <c r="N645" s="19" t="n">
        <f aca="false">IF(F645&lt;=Inputs!$C$20,1,0)</f>
        <v>1</v>
      </c>
      <c r="O645" s="19" t="n">
        <f aca="false">IF(J645&lt;=Inputs!$C$21,1,0)</f>
        <v>1</v>
      </c>
      <c r="P645" s="19" t="n">
        <f aca="false">IF(D645&gt;=Inputs!$C$22,1,0)</f>
        <v>1</v>
      </c>
      <c r="Q645" s="19" t="n">
        <f aca="false">IF(I645&lt;=Inputs!$C$23,1,0)</f>
        <v>1</v>
      </c>
      <c r="R645" s="19" t="n">
        <f aca="false">M645*N645*O645*P645*Q645</f>
        <v>1</v>
      </c>
      <c r="S645" s="14" t="n">
        <f aca="false">I645*R645</f>
        <v>19002.17</v>
      </c>
      <c r="T645" s="19" t="n">
        <f aca="false">IF(F645&gt;72,1,0)</f>
        <v>0</v>
      </c>
      <c r="U645" s="19" t="n">
        <f aca="false">IF(J645&gt;1.25,1,0)</f>
        <v>0</v>
      </c>
    </row>
    <row r="646" customFormat="false" ht="15" hidden="false" customHeight="false" outlineLevel="0" collapsed="false">
      <c r="B646" s="13" t="s">
        <v>866</v>
      </c>
      <c r="C646" s="13" t="s">
        <v>226</v>
      </c>
      <c r="D646" s="19" t="n">
        <v>643</v>
      </c>
      <c r="E646" s="23" t="n">
        <v>0.1927</v>
      </c>
      <c r="F646" s="19" t="n">
        <v>60</v>
      </c>
      <c r="G646" s="19" t="n">
        <v>3</v>
      </c>
      <c r="H646" s="14" t="n">
        <v>20260</v>
      </c>
      <c r="I646" s="14" t="n">
        <v>19640.47</v>
      </c>
      <c r="J646" s="24" t="n">
        <v>0.968</v>
      </c>
      <c r="K646" s="19" t="n">
        <v>0</v>
      </c>
      <c r="L646" s="13" t="str">
        <f aca="false">IF(D646&gt;=Inputs!$C$14,"Near-prime","Non-prime")</f>
        <v>Near-prime</v>
      </c>
      <c r="M646" s="19" t="n">
        <f aca="false">IF(K646&lt;=Inputs!$C$19,1,0)</f>
        <v>1</v>
      </c>
      <c r="N646" s="19" t="n">
        <f aca="false">IF(F646&lt;=Inputs!$C$20,1,0)</f>
        <v>1</v>
      </c>
      <c r="O646" s="19" t="n">
        <f aca="false">IF(J646&lt;=Inputs!$C$21,1,0)</f>
        <v>1</v>
      </c>
      <c r="P646" s="19" t="n">
        <f aca="false">IF(D646&gt;=Inputs!$C$22,1,0)</f>
        <v>1</v>
      </c>
      <c r="Q646" s="19" t="n">
        <f aca="false">IF(I646&lt;=Inputs!$C$23,1,0)</f>
        <v>1</v>
      </c>
      <c r="R646" s="19" t="n">
        <f aca="false">M646*N646*O646*P646*Q646</f>
        <v>1</v>
      </c>
      <c r="S646" s="14" t="n">
        <f aca="false">I646*R646</f>
        <v>19640.47</v>
      </c>
      <c r="T646" s="19" t="n">
        <f aca="false">IF(F646&gt;72,1,0)</f>
        <v>0</v>
      </c>
      <c r="U646" s="19" t="n">
        <f aca="false">IF(J646&gt;1.25,1,0)</f>
        <v>0</v>
      </c>
    </row>
    <row r="647" customFormat="false" ht="15" hidden="false" customHeight="false" outlineLevel="0" collapsed="false">
      <c r="B647" s="13" t="s">
        <v>867</v>
      </c>
      <c r="C647" s="13" t="s">
        <v>221</v>
      </c>
      <c r="D647" s="19" t="n">
        <v>692</v>
      </c>
      <c r="E647" s="23" t="n">
        <v>0.189</v>
      </c>
      <c r="F647" s="19" t="n">
        <v>66</v>
      </c>
      <c r="G647" s="19" t="n">
        <v>4</v>
      </c>
      <c r="H647" s="14" t="n">
        <v>28050</v>
      </c>
      <c r="I647" s="14" t="n">
        <v>27047.59</v>
      </c>
      <c r="J647" s="24" t="n">
        <v>1.291</v>
      </c>
      <c r="K647" s="19" t="n">
        <v>15</v>
      </c>
      <c r="L647" s="13" t="str">
        <f aca="false">IF(D647&gt;=Inputs!$C$14,"Near-prime","Non-prime")</f>
        <v>Near-prime</v>
      </c>
      <c r="M647" s="19" t="n">
        <f aca="false">IF(K647&lt;=Inputs!$C$19,1,0)</f>
        <v>1</v>
      </c>
      <c r="N647" s="19" t="n">
        <f aca="false">IF(F647&lt;=Inputs!$C$20,1,0)</f>
        <v>1</v>
      </c>
      <c r="O647" s="19" t="n">
        <f aca="false">IF(J647&lt;=Inputs!$C$21,1,0)</f>
        <v>1</v>
      </c>
      <c r="P647" s="19" t="n">
        <f aca="false">IF(D647&gt;=Inputs!$C$22,1,0)</f>
        <v>1</v>
      </c>
      <c r="Q647" s="19" t="n">
        <f aca="false">IF(I647&lt;=Inputs!$C$23,1,0)</f>
        <v>1</v>
      </c>
      <c r="R647" s="19" t="n">
        <f aca="false">M647*N647*O647*P647*Q647</f>
        <v>1</v>
      </c>
      <c r="S647" s="14" t="n">
        <f aca="false">I647*R647</f>
        <v>27047.59</v>
      </c>
      <c r="T647" s="19" t="n">
        <f aca="false">IF(F647&gt;72,1,0)</f>
        <v>0</v>
      </c>
      <c r="U647" s="19" t="n">
        <f aca="false">IF(J647&gt;1.25,1,0)</f>
        <v>1</v>
      </c>
    </row>
    <row r="648" customFormat="false" ht="15" hidden="false" customHeight="false" outlineLevel="0" collapsed="false">
      <c r="B648" s="13" t="s">
        <v>868</v>
      </c>
      <c r="C648" s="13" t="s">
        <v>217</v>
      </c>
      <c r="D648" s="19" t="n">
        <v>633</v>
      </c>
      <c r="E648" s="23" t="n">
        <v>0.212</v>
      </c>
      <c r="F648" s="19" t="n">
        <v>72</v>
      </c>
      <c r="G648" s="19" t="n">
        <v>1</v>
      </c>
      <c r="H648" s="14" t="n">
        <v>14480</v>
      </c>
      <c r="I648" s="14" t="n">
        <v>14378.83</v>
      </c>
      <c r="J648" s="24" t="n">
        <v>1.189</v>
      </c>
      <c r="K648" s="19" t="n">
        <v>30</v>
      </c>
      <c r="L648" s="13" t="str">
        <f aca="false">IF(D648&gt;=Inputs!$C$14,"Near-prime","Non-prime")</f>
        <v>Near-prime</v>
      </c>
      <c r="M648" s="19" t="n">
        <f aca="false">IF(K648&lt;=Inputs!$C$19,1,0)</f>
        <v>1</v>
      </c>
      <c r="N648" s="19" t="n">
        <f aca="false">IF(F648&lt;=Inputs!$C$20,1,0)</f>
        <v>1</v>
      </c>
      <c r="O648" s="19" t="n">
        <f aca="false">IF(J648&lt;=Inputs!$C$21,1,0)</f>
        <v>1</v>
      </c>
      <c r="P648" s="19" t="n">
        <f aca="false">IF(D648&gt;=Inputs!$C$22,1,0)</f>
        <v>1</v>
      </c>
      <c r="Q648" s="19" t="n">
        <f aca="false">IF(I648&lt;=Inputs!$C$23,1,0)</f>
        <v>1</v>
      </c>
      <c r="R648" s="19" t="n">
        <f aca="false">M648*N648*O648*P648*Q648</f>
        <v>1</v>
      </c>
      <c r="S648" s="14" t="n">
        <f aca="false">I648*R648</f>
        <v>14378.83</v>
      </c>
      <c r="T648" s="19" t="n">
        <f aca="false">IF(F648&gt;72,1,0)</f>
        <v>0</v>
      </c>
      <c r="U648" s="19" t="n">
        <f aca="false">IF(J648&gt;1.25,1,0)</f>
        <v>0</v>
      </c>
    </row>
    <row r="649" customFormat="false" ht="15" hidden="false" customHeight="false" outlineLevel="0" collapsed="false">
      <c r="B649" s="13" t="s">
        <v>869</v>
      </c>
      <c r="C649" s="13" t="s">
        <v>217</v>
      </c>
      <c r="D649" s="19" t="n">
        <v>651</v>
      </c>
      <c r="E649" s="23" t="n">
        <v>0.2043</v>
      </c>
      <c r="F649" s="19" t="n">
        <v>60</v>
      </c>
      <c r="G649" s="19" t="n">
        <v>8</v>
      </c>
      <c r="H649" s="14" t="n">
        <v>20330</v>
      </c>
      <c r="I649" s="14" t="n">
        <v>18653.61</v>
      </c>
      <c r="J649" s="24" t="n">
        <v>1.071</v>
      </c>
      <c r="K649" s="19" t="n">
        <v>0</v>
      </c>
      <c r="L649" s="13" t="str">
        <f aca="false">IF(D649&gt;=Inputs!$C$14,"Near-prime","Non-prime")</f>
        <v>Near-prime</v>
      </c>
      <c r="M649" s="19" t="n">
        <f aca="false">IF(K649&lt;=Inputs!$C$19,1,0)</f>
        <v>1</v>
      </c>
      <c r="N649" s="19" t="n">
        <f aca="false">IF(F649&lt;=Inputs!$C$20,1,0)</f>
        <v>1</v>
      </c>
      <c r="O649" s="19" t="n">
        <f aca="false">IF(J649&lt;=Inputs!$C$21,1,0)</f>
        <v>1</v>
      </c>
      <c r="P649" s="19" t="n">
        <f aca="false">IF(D649&gt;=Inputs!$C$22,1,0)</f>
        <v>1</v>
      </c>
      <c r="Q649" s="19" t="n">
        <f aca="false">IF(I649&lt;=Inputs!$C$23,1,0)</f>
        <v>1</v>
      </c>
      <c r="R649" s="19" t="n">
        <f aca="false">M649*N649*O649*P649*Q649</f>
        <v>1</v>
      </c>
      <c r="S649" s="14" t="n">
        <f aca="false">I649*R649</f>
        <v>18653.61</v>
      </c>
      <c r="T649" s="19" t="n">
        <f aca="false">IF(F649&gt;72,1,0)</f>
        <v>0</v>
      </c>
      <c r="U649" s="19" t="n">
        <f aca="false">IF(J649&gt;1.25,1,0)</f>
        <v>0</v>
      </c>
    </row>
    <row r="650" customFormat="false" ht="15" hidden="false" customHeight="false" outlineLevel="0" collapsed="false">
      <c r="B650" s="13" t="s">
        <v>870</v>
      </c>
      <c r="C650" s="13" t="s">
        <v>217</v>
      </c>
      <c r="D650" s="19" t="n">
        <v>591</v>
      </c>
      <c r="E650" s="23" t="n">
        <v>0.2195</v>
      </c>
      <c r="F650" s="19" t="n">
        <v>66</v>
      </c>
      <c r="G650" s="19" t="n">
        <v>5</v>
      </c>
      <c r="H650" s="14" t="n">
        <v>31400</v>
      </c>
      <c r="I650" s="14" t="n">
        <v>30109.36</v>
      </c>
      <c r="J650" s="24" t="n">
        <v>1.089</v>
      </c>
      <c r="K650" s="19" t="n">
        <v>0</v>
      </c>
      <c r="L650" s="13" t="str">
        <f aca="false">IF(D650&gt;=Inputs!$C$14,"Near-prime","Non-prime")</f>
        <v>Non-prime</v>
      </c>
      <c r="M650" s="19" t="n">
        <f aca="false">IF(K650&lt;=Inputs!$C$19,1,0)</f>
        <v>1</v>
      </c>
      <c r="N650" s="19" t="n">
        <f aca="false">IF(F650&lt;=Inputs!$C$20,1,0)</f>
        <v>1</v>
      </c>
      <c r="O650" s="19" t="n">
        <f aca="false">IF(J650&lt;=Inputs!$C$21,1,0)</f>
        <v>1</v>
      </c>
      <c r="P650" s="19" t="n">
        <f aca="false">IF(D650&gt;=Inputs!$C$22,1,0)</f>
        <v>1</v>
      </c>
      <c r="Q650" s="19" t="n">
        <f aca="false">IF(I650&lt;=Inputs!$C$23,1,0)</f>
        <v>1</v>
      </c>
      <c r="R650" s="19" t="n">
        <f aca="false">M650*N650*O650*P650*Q650</f>
        <v>1</v>
      </c>
      <c r="S650" s="14" t="n">
        <f aca="false">I650*R650</f>
        <v>30109.36</v>
      </c>
      <c r="T650" s="19" t="n">
        <f aca="false">IF(F650&gt;72,1,0)</f>
        <v>0</v>
      </c>
      <c r="U650" s="19" t="n">
        <f aca="false">IF(J650&gt;1.25,1,0)</f>
        <v>0</v>
      </c>
    </row>
    <row r="651" customFormat="false" ht="15" hidden="false" customHeight="false" outlineLevel="0" collapsed="false">
      <c r="B651" s="13" t="s">
        <v>871</v>
      </c>
      <c r="C651" s="13" t="s">
        <v>252</v>
      </c>
      <c r="D651" s="19" t="n">
        <v>537</v>
      </c>
      <c r="E651" s="23" t="n">
        <v>0.2263</v>
      </c>
      <c r="F651" s="19" t="n">
        <v>75</v>
      </c>
      <c r="G651" s="19" t="n">
        <v>7</v>
      </c>
      <c r="H651" s="14" t="n">
        <v>12620</v>
      </c>
      <c r="I651" s="14" t="n">
        <v>12043.8</v>
      </c>
      <c r="J651" s="24" t="n">
        <v>1.151</v>
      </c>
      <c r="K651" s="19" t="n">
        <v>0</v>
      </c>
      <c r="L651" s="13" t="str">
        <f aca="false">IF(D651&gt;=Inputs!$C$14,"Near-prime","Non-prime")</f>
        <v>Non-prime</v>
      </c>
      <c r="M651" s="19" t="n">
        <f aca="false">IF(K651&lt;=Inputs!$C$19,1,0)</f>
        <v>1</v>
      </c>
      <c r="N651" s="19" t="n">
        <f aca="false">IF(F651&lt;=Inputs!$C$20,1,0)</f>
        <v>1</v>
      </c>
      <c r="O651" s="19" t="n">
        <f aca="false">IF(J651&lt;=Inputs!$C$21,1,0)</f>
        <v>1</v>
      </c>
      <c r="P651" s="19" t="n">
        <f aca="false">IF(D651&gt;=Inputs!$C$22,1,0)</f>
        <v>0</v>
      </c>
      <c r="Q651" s="19" t="n">
        <f aca="false">IF(I651&lt;=Inputs!$C$23,1,0)</f>
        <v>1</v>
      </c>
      <c r="R651" s="19" t="n">
        <f aca="false">M651*N651*O651*P651*Q651</f>
        <v>0</v>
      </c>
      <c r="S651" s="14" t="n">
        <f aca="false">I651*R651</f>
        <v>0</v>
      </c>
      <c r="T651" s="19" t="n">
        <f aca="false">IF(F651&gt;72,1,0)</f>
        <v>1</v>
      </c>
      <c r="U651" s="19" t="n">
        <f aca="false">IF(J651&gt;1.25,1,0)</f>
        <v>0</v>
      </c>
    </row>
    <row r="652" customFormat="false" ht="15" hidden="false" customHeight="false" outlineLevel="0" collapsed="false">
      <c r="B652" s="13" t="s">
        <v>872</v>
      </c>
      <c r="C652" s="13" t="s">
        <v>228</v>
      </c>
      <c r="D652" s="19" t="n">
        <v>624</v>
      </c>
      <c r="E652" s="23" t="n">
        <v>0.1974</v>
      </c>
      <c r="F652" s="19" t="n">
        <v>66</v>
      </c>
      <c r="G652" s="19" t="n">
        <v>0</v>
      </c>
      <c r="H652" s="14" t="n">
        <v>22440</v>
      </c>
      <c r="I652" s="14" t="n">
        <v>22440</v>
      </c>
      <c r="J652" s="24" t="n">
        <v>1.189</v>
      </c>
      <c r="K652" s="19" t="n">
        <v>0</v>
      </c>
      <c r="L652" s="13" t="str">
        <f aca="false">IF(D652&gt;=Inputs!$C$14,"Near-prime","Non-prime")</f>
        <v>Near-prime</v>
      </c>
      <c r="M652" s="19" t="n">
        <f aca="false">IF(K652&lt;=Inputs!$C$19,1,0)</f>
        <v>1</v>
      </c>
      <c r="N652" s="19" t="n">
        <f aca="false">IF(F652&lt;=Inputs!$C$20,1,0)</f>
        <v>1</v>
      </c>
      <c r="O652" s="19" t="n">
        <f aca="false">IF(J652&lt;=Inputs!$C$21,1,0)</f>
        <v>1</v>
      </c>
      <c r="P652" s="19" t="n">
        <f aca="false">IF(D652&gt;=Inputs!$C$22,1,0)</f>
        <v>1</v>
      </c>
      <c r="Q652" s="19" t="n">
        <f aca="false">IF(I652&lt;=Inputs!$C$23,1,0)</f>
        <v>1</v>
      </c>
      <c r="R652" s="19" t="n">
        <f aca="false">M652*N652*O652*P652*Q652</f>
        <v>1</v>
      </c>
      <c r="S652" s="14" t="n">
        <f aca="false">I652*R652</f>
        <v>22440</v>
      </c>
      <c r="T652" s="19" t="n">
        <f aca="false">IF(F652&gt;72,1,0)</f>
        <v>0</v>
      </c>
      <c r="U652" s="19" t="n">
        <f aca="false">IF(J652&gt;1.25,1,0)</f>
        <v>0</v>
      </c>
    </row>
    <row r="653" customFormat="false" ht="15" hidden="false" customHeight="false" outlineLevel="0" collapsed="false">
      <c r="B653" s="13" t="s">
        <v>873</v>
      </c>
      <c r="C653" s="13" t="s">
        <v>223</v>
      </c>
      <c r="D653" s="19" t="n">
        <v>651</v>
      </c>
      <c r="E653" s="23" t="n">
        <v>0.2137</v>
      </c>
      <c r="F653" s="19" t="n">
        <v>60</v>
      </c>
      <c r="G653" s="19" t="n">
        <v>6</v>
      </c>
      <c r="H653" s="14" t="n">
        <v>20290</v>
      </c>
      <c r="I653" s="14" t="n">
        <v>19086.65</v>
      </c>
      <c r="J653" s="24" t="n">
        <v>1.279</v>
      </c>
      <c r="K653" s="19" t="n">
        <v>0</v>
      </c>
      <c r="L653" s="13" t="str">
        <f aca="false">IF(D653&gt;=Inputs!$C$14,"Near-prime","Non-prime")</f>
        <v>Near-prime</v>
      </c>
      <c r="M653" s="19" t="n">
        <f aca="false">IF(K653&lt;=Inputs!$C$19,1,0)</f>
        <v>1</v>
      </c>
      <c r="N653" s="19" t="n">
        <f aca="false">IF(F653&lt;=Inputs!$C$20,1,0)</f>
        <v>1</v>
      </c>
      <c r="O653" s="19" t="n">
        <f aca="false">IF(J653&lt;=Inputs!$C$21,1,0)</f>
        <v>1</v>
      </c>
      <c r="P653" s="19" t="n">
        <f aca="false">IF(D653&gt;=Inputs!$C$22,1,0)</f>
        <v>1</v>
      </c>
      <c r="Q653" s="19" t="n">
        <f aca="false">IF(I653&lt;=Inputs!$C$23,1,0)</f>
        <v>1</v>
      </c>
      <c r="R653" s="19" t="n">
        <f aca="false">M653*N653*O653*P653*Q653</f>
        <v>1</v>
      </c>
      <c r="S653" s="14" t="n">
        <f aca="false">I653*R653</f>
        <v>19086.65</v>
      </c>
      <c r="T653" s="19" t="n">
        <f aca="false">IF(F653&gt;72,1,0)</f>
        <v>0</v>
      </c>
      <c r="U653" s="19" t="n">
        <f aca="false">IF(J653&gt;1.25,1,0)</f>
        <v>1</v>
      </c>
    </row>
    <row r="654" customFormat="false" ht="15" hidden="false" customHeight="false" outlineLevel="0" collapsed="false">
      <c r="B654" s="13" t="s">
        <v>874</v>
      </c>
      <c r="C654" s="13" t="s">
        <v>226</v>
      </c>
      <c r="D654" s="19" t="n">
        <v>621</v>
      </c>
      <c r="E654" s="23" t="n">
        <v>0.1964</v>
      </c>
      <c r="F654" s="19" t="n">
        <v>60</v>
      </c>
      <c r="G654" s="19" t="n">
        <v>2</v>
      </c>
      <c r="H654" s="14" t="n">
        <v>17890</v>
      </c>
      <c r="I654" s="14" t="n">
        <v>17531.89</v>
      </c>
      <c r="J654" s="24" t="n">
        <v>1.351</v>
      </c>
      <c r="K654" s="19" t="n">
        <v>0</v>
      </c>
      <c r="L654" s="13" t="str">
        <f aca="false">IF(D654&gt;=Inputs!$C$14,"Near-prime","Non-prime")</f>
        <v>Near-prime</v>
      </c>
      <c r="M654" s="19" t="n">
        <f aca="false">IF(K654&lt;=Inputs!$C$19,1,0)</f>
        <v>1</v>
      </c>
      <c r="N654" s="19" t="n">
        <f aca="false">IF(F654&lt;=Inputs!$C$20,1,0)</f>
        <v>1</v>
      </c>
      <c r="O654" s="19" t="n">
        <f aca="false">IF(J654&lt;=Inputs!$C$21,1,0)</f>
        <v>1</v>
      </c>
      <c r="P654" s="19" t="n">
        <f aca="false">IF(D654&gt;=Inputs!$C$22,1,0)</f>
        <v>1</v>
      </c>
      <c r="Q654" s="19" t="n">
        <f aca="false">IF(I654&lt;=Inputs!$C$23,1,0)</f>
        <v>1</v>
      </c>
      <c r="R654" s="19" t="n">
        <f aca="false">M654*N654*O654*P654*Q654</f>
        <v>1</v>
      </c>
      <c r="S654" s="14" t="n">
        <f aca="false">I654*R654</f>
        <v>17531.89</v>
      </c>
      <c r="T654" s="19" t="n">
        <f aca="false">IF(F654&gt;72,1,0)</f>
        <v>0</v>
      </c>
      <c r="U654" s="19" t="n">
        <f aca="false">IF(J654&gt;1.25,1,0)</f>
        <v>1</v>
      </c>
    </row>
    <row r="655" customFormat="false" ht="15" hidden="false" customHeight="false" outlineLevel="0" collapsed="false">
      <c r="B655" s="13" t="s">
        <v>875</v>
      </c>
      <c r="C655" s="13" t="s">
        <v>217</v>
      </c>
      <c r="D655" s="19" t="n">
        <v>674</v>
      </c>
      <c r="E655" s="23" t="n">
        <v>0.2109</v>
      </c>
      <c r="F655" s="19" t="n">
        <v>60</v>
      </c>
      <c r="G655" s="19" t="n">
        <v>4</v>
      </c>
      <c r="H655" s="14" t="n">
        <v>15170</v>
      </c>
      <c r="I655" s="14" t="n">
        <v>14576.36</v>
      </c>
      <c r="J655" s="24" t="n">
        <v>0.948</v>
      </c>
      <c r="K655" s="19" t="n">
        <v>0</v>
      </c>
      <c r="L655" s="13" t="str">
        <f aca="false">IF(D655&gt;=Inputs!$C$14,"Near-prime","Non-prime")</f>
        <v>Near-prime</v>
      </c>
      <c r="M655" s="19" t="n">
        <f aca="false">IF(K655&lt;=Inputs!$C$19,1,0)</f>
        <v>1</v>
      </c>
      <c r="N655" s="19" t="n">
        <f aca="false">IF(F655&lt;=Inputs!$C$20,1,0)</f>
        <v>1</v>
      </c>
      <c r="O655" s="19" t="n">
        <f aca="false">IF(J655&lt;=Inputs!$C$21,1,0)</f>
        <v>1</v>
      </c>
      <c r="P655" s="19" t="n">
        <f aca="false">IF(D655&gt;=Inputs!$C$22,1,0)</f>
        <v>1</v>
      </c>
      <c r="Q655" s="19" t="n">
        <f aca="false">IF(I655&lt;=Inputs!$C$23,1,0)</f>
        <v>1</v>
      </c>
      <c r="R655" s="19" t="n">
        <f aca="false">M655*N655*O655*P655*Q655</f>
        <v>1</v>
      </c>
      <c r="S655" s="14" t="n">
        <f aca="false">I655*R655</f>
        <v>14576.36</v>
      </c>
      <c r="T655" s="19" t="n">
        <f aca="false">IF(F655&gt;72,1,0)</f>
        <v>0</v>
      </c>
      <c r="U655" s="19" t="n">
        <f aca="false">IF(J655&gt;1.25,1,0)</f>
        <v>0</v>
      </c>
    </row>
    <row r="656" customFormat="false" ht="15" hidden="false" customHeight="false" outlineLevel="0" collapsed="false">
      <c r="B656" s="13" t="s">
        <v>876</v>
      </c>
      <c r="C656" s="13" t="s">
        <v>226</v>
      </c>
      <c r="D656" s="19" t="n">
        <v>604</v>
      </c>
      <c r="E656" s="23" t="n">
        <v>0.2193</v>
      </c>
      <c r="F656" s="19" t="n">
        <v>48</v>
      </c>
      <c r="G656" s="19" t="n">
        <v>8</v>
      </c>
      <c r="H656" s="14" t="n">
        <v>16820</v>
      </c>
      <c r="I656" s="14" t="n">
        <v>14926.94</v>
      </c>
      <c r="J656" s="24" t="n">
        <v>0.989</v>
      </c>
      <c r="K656" s="19" t="n">
        <v>0</v>
      </c>
      <c r="L656" s="13" t="str">
        <f aca="false">IF(D656&gt;=Inputs!$C$14,"Near-prime","Non-prime")</f>
        <v>Non-prime</v>
      </c>
      <c r="M656" s="19" t="n">
        <f aca="false">IF(K656&lt;=Inputs!$C$19,1,0)</f>
        <v>1</v>
      </c>
      <c r="N656" s="19" t="n">
        <f aca="false">IF(F656&lt;=Inputs!$C$20,1,0)</f>
        <v>1</v>
      </c>
      <c r="O656" s="19" t="n">
        <f aca="false">IF(J656&lt;=Inputs!$C$21,1,0)</f>
        <v>1</v>
      </c>
      <c r="P656" s="19" t="n">
        <f aca="false">IF(D656&gt;=Inputs!$C$22,1,0)</f>
        <v>1</v>
      </c>
      <c r="Q656" s="19" t="n">
        <f aca="false">IF(I656&lt;=Inputs!$C$23,1,0)</f>
        <v>1</v>
      </c>
      <c r="R656" s="19" t="n">
        <f aca="false">M656*N656*O656*P656*Q656</f>
        <v>1</v>
      </c>
      <c r="S656" s="14" t="n">
        <f aca="false">I656*R656</f>
        <v>14926.94</v>
      </c>
      <c r="T656" s="19" t="n">
        <f aca="false">IF(F656&gt;72,1,0)</f>
        <v>0</v>
      </c>
      <c r="U656" s="19" t="n">
        <f aca="false">IF(J656&gt;1.25,1,0)</f>
        <v>0</v>
      </c>
    </row>
    <row r="657" customFormat="false" ht="15" hidden="false" customHeight="false" outlineLevel="0" collapsed="false">
      <c r="B657" s="13" t="s">
        <v>877</v>
      </c>
      <c r="C657" s="13" t="s">
        <v>228</v>
      </c>
      <c r="D657" s="19" t="n">
        <v>574</v>
      </c>
      <c r="E657" s="23" t="n">
        <v>0.2345</v>
      </c>
      <c r="F657" s="19" t="n">
        <v>84</v>
      </c>
      <c r="G657" s="19" t="n">
        <v>3</v>
      </c>
      <c r="H657" s="14" t="n">
        <v>18290</v>
      </c>
      <c r="I657" s="14" t="n">
        <v>18022.14</v>
      </c>
      <c r="J657" s="24" t="n">
        <v>1.071</v>
      </c>
      <c r="K657" s="19" t="n">
        <v>0</v>
      </c>
      <c r="L657" s="13" t="str">
        <f aca="false">IF(D657&gt;=Inputs!$C$14,"Near-prime","Non-prime")</f>
        <v>Non-prime</v>
      </c>
      <c r="M657" s="19" t="n">
        <f aca="false">IF(K657&lt;=Inputs!$C$19,1,0)</f>
        <v>1</v>
      </c>
      <c r="N657" s="19" t="n">
        <f aca="false">IF(F657&lt;=Inputs!$C$20,1,0)</f>
        <v>0</v>
      </c>
      <c r="O657" s="19" t="n">
        <f aca="false">IF(J657&lt;=Inputs!$C$21,1,0)</f>
        <v>1</v>
      </c>
      <c r="P657" s="19" t="n">
        <f aca="false">IF(D657&gt;=Inputs!$C$22,1,0)</f>
        <v>1</v>
      </c>
      <c r="Q657" s="19" t="n">
        <f aca="false">IF(I657&lt;=Inputs!$C$23,1,0)</f>
        <v>1</v>
      </c>
      <c r="R657" s="19" t="n">
        <f aca="false">M657*N657*O657*P657*Q657</f>
        <v>0</v>
      </c>
      <c r="S657" s="14" t="n">
        <f aca="false">I657*R657</f>
        <v>0</v>
      </c>
      <c r="T657" s="19" t="n">
        <f aca="false">IF(F657&gt;72,1,0)</f>
        <v>1</v>
      </c>
      <c r="U657" s="19" t="n">
        <f aca="false">IF(J657&gt;1.25,1,0)</f>
        <v>0</v>
      </c>
    </row>
    <row r="658" customFormat="false" ht="15" hidden="false" customHeight="false" outlineLevel="0" collapsed="false">
      <c r="B658" s="13" t="s">
        <v>878</v>
      </c>
      <c r="C658" s="13" t="s">
        <v>221</v>
      </c>
      <c r="D658" s="19" t="n">
        <v>569</v>
      </c>
      <c r="E658" s="23" t="n">
        <v>0.2352</v>
      </c>
      <c r="F658" s="19" t="n">
        <v>66</v>
      </c>
      <c r="G658" s="19" t="n">
        <v>0</v>
      </c>
      <c r="H658" s="14" t="n">
        <v>17480</v>
      </c>
      <c r="I658" s="14" t="n">
        <v>17480</v>
      </c>
      <c r="J658" s="24" t="n">
        <v>1.006</v>
      </c>
      <c r="K658" s="19" t="n">
        <v>0</v>
      </c>
      <c r="L658" s="13" t="str">
        <f aca="false">IF(D658&gt;=Inputs!$C$14,"Near-prime","Non-prime")</f>
        <v>Non-prime</v>
      </c>
      <c r="M658" s="19" t="n">
        <f aca="false">IF(K658&lt;=Inputs!$C$19,1,0)</f>
        <v>1</v>
      </c>
      <c r="N658" s="19" t="n">
        <f aca="false">IF(F658&lt;=Inputs!$C$20,1,0)</f>
        <v>1</v>
      </c>
      <c r="O658" s="19" t="n">
        <f aca="false">IF(J658&lt;=Inputs!$C$21,1,0)</f>
        <v>1</v>
      </c>
      <c r="P658" s="19" t="n">
        <f aca="false">IF(D658&gt;=Inputs!$C$22,1,0)</f>
        <v>1</v>
      </c>
      <c r="Q658" s="19" t="n">
        <f aca="false">IF(I658&lt;=Inputs!$C$23,1,0)</f>
        <v>1</v>
      </c>
      <c r="R658" s="19" t="n">
        <f aca="false">M658*N658*O658*P658*Q658</f>
        <v>1</v>
      </c>
      <c r="S658" s="14" t="n">
        <f aca="false">I658*R658</f>
        <v>17480</v>
      </c>
      <c r="T658" s="19" t="n">
        <f aca="false">IF(F658&gt;72,1,0)</f>
        <v>0</v>
      </c>
      <c r="U658" s="19" t="n">
        <f aca="false">IF(J658&gt;1.25,1,0)</f>
        <v>0</v>
      </c>
    </row>
    <row r="659" customFormat="false" ht="15" hidden="false" customHeight="false" outlineLevel="0" collapsed="false">
      <c r="B659" s="13" t="s">
        <v>879</v>
      </c>
      <c r="C659" s="13" t="s">
        <v>221</v>
      </c>
      <c r="D659" s="19" t="n">
        <v>680</v>
      </c>
      <c r="E659" s="23" t="n">
        <v>0.1813</v>
      </c>
      <c r="F659" s="19" t="n">
        <v>66</v>
      </c>
      <c r="G659" s="19" t="n">
        <v>8</v>
      </c>
      <c r="H659" s="14" t="n">
        <v>21300</v>
      </c>
      <c r="I659" s="14" t="n">
        <v>19694</v>
      </c>
      <c r="J659" s="24" t="n">
        <v>1.227</v>
      </c>
      <c r="K659" s="19" t="n">
        <v>0</v>
      </c>
      <c r="L659" s="13" t="str">
        <f aca="false">IF(D659&gt;=Inputs!$C$14,"Near-prime","Non-prime")</f>
        <v>Near-prime</v>
      </c>
      <c r="M659" s="19" t="n">
        <f aca="false">IF(K659&lt;=Inputs!$C$19,1,0)</f>
        <v>1</v>
      </c>
      <c r="N659" s="19" t="n">
        <f aca="false">IF(F659&lt;=Inputs!$C$20,1,0)</f>
        <v>1</v>
      </c>
      <c r="O659" s="19" t="n">
        <f aca="false">IF(J659&lt;=Inputs!$C$21,1,0)</f>
        <v>1</v>
      </c>
      <c r="P659" s="19" t="n">
        <f aca="false">IF(D659&gt;=Inputs!$C$22,1,0)</f>
        <v>1</v>
      </c>
      <c r="Q659" s="19" t="n">
        <f aca="false">IF(I659&lt;=Inputs!$C$23,1,0)</f>
        <v>1</v>
      </c>
      <c r="R659" s="19" t="n">
        <f aca="false">M659*N659*O659*P659*Q659</f>
        <v>1</v>
      </c>
      <c r="S659" s="14" t="n">
        <f aca="false">I659*R659</f>
        <v>19694</v>
      </c>
      <c r="T659" s="19" t="n">
        <f aca="false">IF(F659&gt;72,1,0)</f>
        <v>0</v>
      </c>
      <c r="U659" s="19" t="n">
        <f aca="false">IF(J659&gt;1.25,1,0)</f>
        <v>0</v>
      </c>
    </row>
    <row r="660" customFormat="false" ht="15" hidden="false" customHeight="false" outlineLevel="0" collapsed="false">
      <c r="B660" s="13" t="s">
        <v>880</v>
      </c>
      <c r="C660" s="13" t="s">
        <v>228</v>
      </c>
      <c r="D660" s="19" t="n">
        <v>603</v>
      </c>
      <c r="E660" s="23" t="n">
        <v>0.2017</v>
      </c>
      <c r="F660" s="19" t="n">
        <v>48</v>
      </c>
      <c r="G660" s="19" t="n">
        <v>5</v>
      </c>
      <c r="H660" s="14" t="n">
        <v>20210</v>
      </c>
      <c r="I660" s="14" t="n">
        <v>18776.96</v>
      </c>
      <c r="J660" s="24" t="n">
        <v>0.974</v>
      </c>
      <c r="K660" s="19" t="n">
        <v>0</v>
      </c>
      <c r="L660" s="13" t="str">
        <f aca="false">IF(D660&gt;=Inputs!$C$14,"Near-prime","Non-prime")</f>
        <v>Non-prime</v>
      </c>
      <c r="M660" s="19" t="n">
        <f aca="false">IF(K660&lt;=Inputs!$C$19,1,0)</f>
        <v>1</v>
      </c>
      <c r="N660" s="19" t="n">
        <f aca="false">IF(F660&lt;=Inputs!$C$20,1,0)</f>
        <v>1</v>
      </c>
      <c r="O660" s="19" t="n">
        <f aca="false">IF(J660&lt;=Inputs!$C$21,1,0)</f>
        <v>1</v>
      </c>
      <c r="P660" s="19" t="n">
        <f aca="false">IF(D660&gt;=Inputs!$C$22,1,0)</f>
        <v>1</v>
      </c>
      <c r="Q660" s="19" t="n">
        <f aca="false">IF(I660&lt;=Inputs!$C$23,1,0)</f>
        <v>1</v>
      </c>
      <c r="R660" s="19" t="n">
        <f aca="false">M660*N660*O660*P660*Q660</f>
        <v>1</v>
      </c>
      <c r="S660" s="14" t="n">
        <f aca="false">I660*R660</f>
        <v>18776.96</v>
      </c>
      <c r="T660" s="19" t="n">
        <f aca="false">IF(F660&gt;72,1,0)</f>
        <v>0</v>
      </c>
      <c r="U660" s="19" t="n">
        <f aca="false">IF(J660&gt;1.25,1,0)</f>
        <v>0</v>
      </c>
    </row>
    <row r="661" customFormat="false" ht="15" hidden="false" customHeight="false" outlineLevel="0" collapsed="false">
      <c r="B661" s="13" t="s">
        <v>881</v>
      </c>
      <c r="C661" s="13" t="s">
        <v>217</v>
      </c>
      <c r="D661" s="19" t="n">
        <v>646</v>
      </c>
      <c r="E661" s="23" t="n">
        <v>0.1775</v>
      </c>
      <c r="F661" s="19" t="n">
        <v>60</v>
      </c>
      <c r="G661" s="19" t="n">
        <v>3</v>
      </c>
      <c r="H661" s="14" t="n">
        <v>16250</v>
      </c>
      <c r="I661" s="14" t="n">
        <v>15732.2</v>
      </c>
      <c r="J661" s="24" t="n">
        <v>1.063</v>
      </c>
      <c r="K661" s="19" t="n">
        <v>15</v>
      </c>
      <c r="L661" s="13" t="str">
        <f aca="false">IF(D661&gt;=Inputs!$C$14,"Near-prime","Non-prime")</f>
        <v>Near-prime</v>
      </c>
      <c r="M661" s="19" t="n">
        <f aca="false">IF(K661&lt;=Inputs!$C$19,1,0)</f>
        <v>1</v>
      </c>
      <c r="N661" s="19" t="n">
        <f aca="false">IF(F661&lt;=Inputs!$C$20,1,0)</f>
        <v>1</v>
      </c>
      <c r="O661" s="19" t="n">
        <f aca="false">IF(J661&lt;=Inputs!$C$21,1,0)</f>
        <v>1</v>
      </c>
      <c r="P661" s="19" t="n">
        <f aca="false">IF(D661&gt;=Inputs!$C$22,1,0)</f>
        <v>1</v>
      </c>
      <c r="Q661" s="19" t="n">
        <f aca="false">IF(I661&lt;=Inputs!$C$23,1,0)</f>
        <v>1</v>
      </c>
      <c r="R661" s="19" t="n">
        <f aca="false">M661*N661*O661*P661*Q661</f>
        <v>1</v>
      </c>
      <c r="S661" s="14" t="n">
        <f aca="false">I661*R661</f>
        <v>15732.2</v>
      </c>
      <c r="T661" s="19" t="n">
        <f aca="false">IF(F661&gt;72,1,0)</f>
        <v>0</v>
      </c>
      <c r="U661" s="19" t="n">
        <f aca="false">IF(J661&gt;1.25,1,0)</f>
        <v>0</v>
      </c>
    </row>
    <row r="662" customFormat="false" ht="15" hidden="false" customHeight="false" outlineLevel="0" collapsed="false">
      <c r="B662" s="13" t="s">
        <v>882</v>
      </c>
      <c r="C662" s="13" t="s">
        <v>228</v>
      </c>
      <c r="D662" s="19" t="n">
        <v>572</v>
      </c>
      <c r="E662" s="23" t="n">
        <v>0.2054</v>
      </c>
      <c r="F662" s="19" t="n">
        <v>60</v>
      </c>
      <c r="G662" s="19" t="n">
        <v>9</v>
      </c>
      <c r="H662" s="14" t="n">
        <v>26160</v>
      </c>
      <c r="I662" s="14" t="n">
        <v>23718.87</v>
      </c>
      <c r="J662" s="24" t="n">
        <v>1.035</v>
      </c>
      <c r="K662" s="19" t="n">
        <v>0</v>
      </c>
      <c r="L662" s="13" t="str">
        <f aca="false">IF(D662&gt;=Inputs!$C$14,"Near-prime","Non-prime")</f>
        <v>Non-prime</v>
      </c>
      <c r="M662" s="19" t="n">
        <f aca="false">IF(K662&lt;=Inputs!$C$19,1,0)</f>
        <v>1</v>
      </c>
      <c r="N662" s="19" t="n">
        <f aca="false">IF(F662&lt;=Inputs!$C$20,1,0)</f>
        <v>1</v>
      </c>
      <c r="O662" s="19" t="n">
        <f aca="false">IF(J662&lt;=Inputs!$C$21,1,0)</f>
        <v>1</v>
      </c>
      <c r="P662" s="19" t="n">
        <f aca="false">IF(D662&gt;=Inputs!$C$22,1,0)</f>
        <v>1</v>
      </c>
      <c r="Q662" s="19" t="n">
        <f aca="false">IF(I662&lt;=Inputs!$C$23,1,0)</f>
        <v>1</v>
      </c>
      <c r="R662" s="19" t="n">
        <f aca="false">M662*N662*O662*P662*Q662</f>
        <v>1</v>
      </c>
      <c r="S662" s="14" t="n">
        <f aca="false">I662*R662</f>
        <v>23718.87</v>
      </c>
      <c r="T662" s="19" t="n">
        <f aca="false">IF(F662&gt;72,1,0)</f>
        <v>0</v>
      </c>
      <c r="U662" s="19" t="n">
        <f aca="false">IF(J662&gt;1.25,1,0)</f>
        <v>0</v>
      </c>
    </row>
    <row r="663" customFormat="false" ht="15" hidden="false" customHeight="false" outlineLevel="0" collapsed="false">
      <c r="B663" s="13" t="s">
        <v>883</v>
      </c>
      <c r="C663" s="13" t="s">
        <v>228</v>
      </c>
      <c r="D663" s="19" t="n">
        <v>600</v>
      </c>
      <c r="E663" s="23" t="n">
        <v>0.2036</v>
      </c>
      <c r="F663" s="19" t="n">
        <v>48</v>
      </c>
      <c r="G663" s="19" t="n">
        <v>0</v>
      </c>
      <c r="H663" s="14" t="n">
        <v>25560</v>
      </c>
      <c r="I663" s="14" t="n">
        <v>25560</v>
      </c>
      <c r="J663" s="24" t="n">
        <v>1.217</v>
      </c>
      <c r="K663" s="19" t="n">
        <v>0</v>
      </c>
      <c r="L663" s="13" t="str">
        <f aca="false">IF(D663&gt;=Inputs!$C$14,"Near-prime","Non-prime")</f>
        <v>Non-prime</v>
      </c>
      <c r="M663" s="19" t="n">
        <f aca="false">IF(K663&lt;=Inputs!$C$19,1,0)</f>
        <v>1</v>
      </c>
      <c r="N663" s="19" t="n">
        <f aca="false">IF(F663&lt;=Inputs!$C$20,1,0)</f>
        <v>1</v>
      </c>
      <c r="O663" s="19" t="n">
        <f aca="false">IF(J663&lt;=Inputs!$C$21,1,0)</f>
        <v>1</v>
      </c>
      <c r="P663" s="19" t="n">
        <f aca="false">IF(D663&gt;=Inputs!$C$22,1,0)</f>
        <v>1</v>
      </c>
      <c r="Q663" s="19" t="n">
        <f aca="false">IF(I663&lt;=Inputs!$C$23,1,0)</f>
        <v>1</v>
      </c>
      <c r="R663" s="19" t="n">
        <f aca="false">M663*N663*O663*P663*Q663</f>
        <v>1</v>
      </c>
      <c r="S663" s="14" t="n">
        <f aca="false">I663*R663</f>
        <v>25560</v>
      </c>
      <c r="T663" s="19" t="n">
        <f aca="false">IF(F663&gt;72,1,0)</f>
        <v>0</v>
      </c>
      <c r="U663" s="19" t="n">
        <f aca="false">IF(J663&gt;1.25,1,0)</f>
        <v>0</v>
      </c>
    </row>
    <row r="664" customFormat="false" ht="15" hidden="false" customHeight="false" outlineLevel="0" collapsed="false">
      <c r="B664" s="13" t="s">
        <v>884</v>
      </c>
      <c r="C664" s="13" t="s">
        <v>233</v>
      </c>
      <c r="D664" s="19" t="n">
        <v>644</v>
      </c>
      <c r="E664" s="23" t="n">
        <v>0.2178</v>
      </c>
      <c r="F664" s="19" t="n">
        <v>72</v>
      </c>
      <c r="G664" s="19" t="n">
        <v>2</v>
      </c>
      <c r="H664" s="14" t="n">
        <v>14290</v>
      </c>
      <c r="I664" s="14" t="n">
        <v>14092.57</v>
      </c>
      <c r="J664" s="24" t="n">
        <v>1.296</v>
      </c>
      <c r="K664" s="19" t="n">
        <v>0</v>
      </c>
      <c r="L664" s="13" t="str">
        <f aca="false">IF(D664&gt;=Inputs!$C$14,"Near-prime","Non-prime")</f>
        <v>Near-prime</v>
      </c>
      <c r="M664" s="19" t="n">
        <f aca="false">IF(K664&lt;=Inputs!$C$19,1,0)</f>
        <v>1</v>
      </c>
      <c r="N664" s="19" t="n">
        <f aca="false">IF(F664&lt;=Inputs!$C$20,1,0)</f>
        <v>1</v>
      </c>
      <c r="O664" s="19" t="n">
        <f aca="false">IF(J664&lt;=Inputs!$C$21,1,0)</f>
        <v>1</v>
      </c>
      <c r="P664" s="19" t="n">
        <f aca="false">IF(D664&gt;=Inputs!$C$22,1,0)</f>
        <v>1</v>
      </c>
      <c r="Q664" s="19" t="n">
        <f aca="false">IF(I664&lt;=Inputs!$C$23,1,0)</f>
        <v>1</v>
      </c>
      <c r="R664" s="19" t="n">
        <f aca="false">M664*N664*O664*P664*Q664</f>
        <v>1</v>
      </c>
      <c r="S664" s="14" t="n">
        <f aca="false">I664*R664</f>
        <v>14092.57</v>
      </c>
      <c r="T664" s="19" t="n">
        <f aca="false">IF(F664&gt;72,1,0)</f>
        <v>0</v>
      </c>
      <c r="U664" s="19" t="n">
        <f aca="false">IF(J664&gt;1.25,1,0)</f>
        <v>1</v>
      </c>
    </row>
    <row r="665" customFormat="false" ht="15" hidden="false" customHeight="false" outlineLevel="0" collapsed="false">
      <c r="B665" s="13" t="s">
        <v>885</v>
      </c>
      <c r="C665" s="13" t="s">
        <v>228</v>
      </c>
      <c r="D665" s="19" t="n">
        <v>701</v>
      </c>
      <c r="E665" s="23" t="n">
        <v>0.2014</v>
      </c>
      <c r="F665" s="19" t="n">
        <v>75</v>
      </c>
      <c r="G665" s="19" t="n">
        <v>6</v>
      </c>
      <c r="H665" s="14" t="n">
        <v>33440</v>
      </c>
      <c r="I665" s="14" t="n">
        <v>32026.43</v>
      </c>
      <c r="J665" s="24" t="n">
        <v>0.969</v>
      </c>
      <c r="K665" s="19" t="n">
        <v>15</v>
      </c>
      <c r="L665" s="13" t="str">
        <f aca="false">IF(D665&gt;=Inputs!$C$14,"Near-prime","Non-prime")</f>
        <v>Near-prime</v>
      </c>
      <c r="M665" s="19" t="n">
        <f aca="false">IF(K665&lt;=Inputs!$C$19,1,0)</f>
        <v>1</v>
      </c>
      <c r="N665" s="19" t="n">
        <f aca="false">IF(F665&lt;=Inputs!$C$20,1,0)</f>
        <v>1</v>
      </c>
      <c r="O665" s="19" t="n">
        <f aca="false">IF(J665&lt;=Inputs!$C$21,1,0)</f>
        <v>1</v>
      </c>
      <c r="P665" s="19" t="n">
        <f aca="false">IF(D665&gt;=Inputs!$C$22,1,0)</f>
        <v>1</v>
      </c>
      <c r="Q665" s="19" t="n">
        <f aca="false">IF(I665&lt;=Inputs!$C$23,1,0)</f>
        <v>1</v>
      </c>
      <c r="R665" s="19" t="n">
        <f aca="false">M665*N665*O665*P665*Q665</f>
        <v>1</v>
      </c>
      <c r="S665" s="14" t="n">
        <f aca="false">I665*R665</f>
        <v>32026.43</v>
      </c>
      <c r="T665" s="19" t="n">
        <f aca="false">IF(F665&gt;72,1,0)</f>
        <v>1</v>
      </c>
      <c r="U665" s="19" t="n">
        <f aca="false">IF(J665&gt;1.25,1,0)</f>
        <v>0</v>
      </c>
    </row>
    <row r="666" customFormat="false" ht="15" hidden="false" customHeight="false" outlineLevel="0" collapsed="false">
      <c r="B666" s="13" t="s">
        <v>886</v>
      </c>
      <c r="C666" s="13" t="s">
        <v>221</v>
      </c>
      <c r="D666" s="19" t="n">
        <v>589</v>
      </c>
      <c r="E666" s="23" t="n">
        <v>0.1978</v>
      </c>
      <c r="F666" s="19" t="n">
        <v>60</v>
      </c>
      <c r="G666" s="19" t="n">
        <v>9</v>
      </c>
      <c r="H666" s="14" t="n">
        <v>21810</v>
      </c>
      <c r="I666" s="14" t="n">
        <v>19736.01</v>
      </c>
      <c r="J666" s="24" t="n">
        <v>0.975</v>
      </c>
      <c r="K666" s="19" t="n">
        <v>75</v>
      </c>
      <c r="L666" s="13" t="str">
        <f aca="false">IF(D666&gt;=Inputs!$C$14,"Near-prime","Non-prime")</f>
        <v>Non-prime</v>
      </c>
      <c r="M666" s="19" t="n">
        <f aca="false">IF(K666&lt;=Inputs!$C$19,1,0)</f>
        <v>0</v>
      </c>
      <c r="N666" s="19" t="n">
        <f aca="false">IF(F666&lt;=Inputs!$C$20,1,0)</f>
        <v>1</v>
      </c>
      <c r="O666" s="19" t="n">
        <f aca="false">IF(J666&lt;=Inputs!$C$21,1,0)</f>
        <v>1</v>
      </c>
      <c r="P666" s="19" t="n">
        <f aca="false">IF(D666&gt;=Inputs!$C$22,1,0)</f>
        <v>1</v>
      </c>
      <c r="Q666" s="19" t="n">
        <f aca="false">IF(I666&lt;=Inputs!$C$23,1,0)</f>
        <v>1</v>
      </c>
      <c r="R666" s="19" t="n">
        <f aca="false">M666*N666*O666*P666*Q666</f>
        <v>0</v>
      </c>
      <c r="S666" s="14" t="n">
        <f aca="false">I666*R666</f>
        <v>0</v>
      </c>
      <c r="T666" s="19" t="n">
        <f aca="false">IF(F666&gt;72,1,0)</f>
        <v>0</v>
      </c>
      <c r="U666" s="19" t="n">
        <f aca="false">IF(J666&gt;1.25,1,0)</f>
        <v>0</v>
      </c>
    </row>
    <row r="667" customFormat="false" ht="15" hidden="false" customHeight="false" outlineLevel="0" collapsed="false">
      <c r="B667" s="13" t="s">
        <v>887</v>
      </c>
      <c r="C667" s="13" t="s">
        <v>219</v>
      </c>
      <c r="D667" s="19" t="n">
        <v>569</v>
      </c>
      <c r="E667" s="23" t="n">
        <v>0.2329</v>
      </c>
      <c r="F667" s="19" t="n">
        <v>66</v>
      </c>
      <c r="G667" s="19" t="n">
        <v>10</v>
      </c>
      <c r="H667" s="14" t="n">
        <v>28550</v>
      </c>
      <c r="I667" s="14" t="n">
        <v>26182.79</v>
      </c>
      <c r="J667" s="24" t="n">
        <v>1.261</v>
      </c>
      <c r="K667" s="19" t="n">
        <v>0</v>
      </c>
      <c r="L667" s="13" t="str">
        <f aca="false">IF(D667&gt;=Inputs!$C$14,"Near-prime","Non-prime")</f>
        <v>Non-prime</v>
      </c>
      <c r="M667" s="19" t="n">
        <f aca="false">IF(K667&lt;=Inputs!$C$19,1,0)</f>
        <v>1</v>
      </c>
      <c r="N667" s="19" t="n">
        <f aca="false">IF(F667&lt;=Inputs!$C$20,1,0)</f>
        <v>1</v>
      </c>
      <c r="O667" s="19" t="n">
        <f aca="false">IF(J667&lt;=Inputs!$C$21,1,0)</f>
        <v>1</v>
      </c>
      <c r="P667" s="19" t="n">
        <f aca="false">IF(D667&gt;=Inputs!$C$22,1,0)</f>
        <v>1</v>
      </c>
      <c r="Q667" s="19" t="n">
        <f aca="false">IF(I667&lt;=Inputs!$C$23,1,0)</f>
        <v>1</v>
      </c>
      <c r="R667" s="19" t="n">
        <f aca="false">M667*N667*O667*P667*Q667</f>
        <v>1</v>
      </c>
      <c r="S667" s="14" t="n">
        <f aca="false">I667*R667</f>
        <v>26182.79</v>
      </c>
      <c r="T667" s="19" t="n">
        <f aca="false">IF(F667&gt;72,1,0)</f>
        <v>0</v>
      </c>
      <c r="U667" s="19" t="n">
        <f aca="false">IF(J667&gt;1.25,1,0)</f>
        <v>1</v>
      </c>
    </row>
    <row r="668" customFormat="false" ht="15" hidden="false" customHeight="false" outlineLevel="0" collapsed="false">
      <c r="B668" s="13" t="s">
        <v>888</v>
      </c>
      <c r="C668" s="13" t="s">
        <v>252</v>
      </c>
      <c r="D668" s="19" t="n">
        <v>644</v>
      </c>
      <c r="E668" s="23" t="n">
        <v>0.1999</v>
      </c>
      <c r="F668" s="19" t="n">
        <v>66</v>
      </c>
      <c r="G668" s="19" t="n">
        <v>0</v>
      </c>
      <c r="H668" s="14" t="n">
        <v>18190</v>
      </c>
      <c r="I668" s="14" t="n">
        <v>18190</v>
      </c>
      <c r="J668" s="24" t="n">
        <v>1.233</v>
      </c>
      <c r="K668" s="19" t="n">
        <v>0</v>
      </c>
      <c r="L668" s="13" t="str">
        <f aca="false">IF(D668&gt;=Inputs!$C$14,"Near-prime","Non-prime")</f>
        <v>Near-prime</v>
      </c>
      <c r="M668" s="19" t="n">
        <f aca="false">IF(K668&lt;=Inputs!$C$19,1,0)</f>
        <v>1</v>
      </c>
      <c r="N668" s="19" t="n">
        <f aca="false">IF(F668&lt;=Inputs!$C$20,1,0)</f>
        <v>1</v>
      </c>
      <c r="O668" s="19" t="n">
        <f aca="false">IF(J668&lt;=Inputs!$C$21,1,0)</f>
        <v>1</v>
      </c>
      <c r="P668" s="19" t="n">
        <f aca="false">IF(D668&gt;=Inputs!$C$22,1,0)</f>
        <v>1</v>
      </c>
      <c r="Q668" s="19" t="n">
        <f aca="false">IF(I668&lt;=Inputs!$C$23,1,0)</f>
        <v>1</v>
      </c>
      <c r="R668" s="19" t="n">
        <f aca="false">M668*N668*O668*P668*Q668</f>
        <v>1</v>
      </c>
      <c r="S668" s="14" t="n">
        <f aca="false">I668*R668</f>
        <v>18190</v>
      </c>
      <c r="T668" s="19" t="n">
        <f aca="false">IF(F668&gt;72,1,0)</f>
        <v>0</v>
      </c>
      <c r="U668" s="19" t="n">
        <f aca="false">IF(J668&gt;1.25,1,0)</f>
        <v>0</v>
      </c>
    </row>
    <row r="669" customFormat="false" ht="15" hidden="false" customHeight="false" outlineLevel="0" collapsed="false">
      <c r="B669" s="13" t="s">
        <v>889</v>
      </c>
      <c r="C669" s="13" t="s">
        <v>223</v>
      </c>
      <c r="D669" s="19" t="n">
        <v>652</v>
      </c>
      <c r="E669" s="23" t="n">
        <v>0.2079</v>
      </c>
      <c r="F669" s="19" t="n">
        <v>72</v>
      </c>
      <c r="G669" s="19" t="n">
        <v>7</v>
      </c>
      <c r="H669" s="14" t="n">
        <v>16150</v>
      </c>
      <c r="I669" s="14" t="n">
        <v>15305.84</v>
      </c>
      <c r="J669" s="24" t="n">
        <v>1.194</v>
      </c>
      <c r="K669" s="19" t="n">
        <v>30</v>
      </c>
      <c r="L669" s="13" t="str">
        <f aca="false">IF(D669&gt;=Inputs!$C$14,"Near-prime","Non-prime")</f>
        <v>Near-prime</v>
      </c>
      <c r="M669" s="19" t="n">
        <f aca="false">IF(K669&lt;=Inputs!$C$19,1,0)</f>
        <v>1</v>
      </c>
      <c r="N669" s="19" t="n">
        <f aca="false">IF(F669&lt;=Inputs!$C$20,1,0)</f>
        <v>1</v>
      </c>
      <c r="O669" s="19" t="n">
        <f aca="false">IF(J669&lt;=Inputs!$C$21,1,0)</f>
        <v>1</v>
      </c>
      <c r="P669" s="19" t="n">
        <f aca="false">IF(D669&gt;=Inputs!$C$22,1,0)</f>
        <v>1</v>
      </c>
      <c r="Q669" s="19" t="n">
        <f aca="false">IF(I669&lt;=Inputs!$C$23,1,0)</f>
        <v>1</v>
      </c>
      <c r="R669" s="19" t="n">
        <f aca="false">M669*N669*O669*P669*Q669</f>
        <v>1</v>
      </c>
      <c r="S669" s="14" t="n">
        <f aca="false">I669*R669</f>
        <v>15305.84</v>
      </c>
      <c r="T669" s="19" t="n">
        <f aca="false">IF(F669&gt;72,1,0)</f>
        <v>0</v>
      </c>
      <c r="U669" s="19" t="n">
        <f aca="false">IF(J669&gt;1.25,1,0)</f>
        <v>0</v>
      </c>
    </row>
    <row r="670" customFormat="false" ht="15" hidden="false" customHeight="false" outlineLevel="0" collapsed="false">
      <c r="B670" s="13" t="s">
        <v>890</v>
      </c>
      <c r="C670" s="13" t="s">
        <v>233</v>
      </c>
      <c r="D670" s="19" t="n">
        <v>622</v>
      </c>
      <c r="E670" s="23" t="n">
        <v>0.2127</v>
      </c>
      <c r="F670" s="19" t="n">
        <v>75</v>
      </c>
      <c r="G670" s="19" t="n">
        <v>6</v>
      </c>
      <c r="H670" s="14" t="n">
        <v>23640</v>
      </c>
      <c r="I670" s="14" t="n">
        <v>22679.03</v>
      </c>
      <c r="J670" s="24" t="n">
        <v>1.379</v>
      </c>
      <c r="K670" s="19" t="n">
        <v>75</v>
      </c>
      <c r="L670" s="13" t="str">
        <f aca="false">IF(D670&gt;=Inputs!$C$14,"Near-prime","Non-prime")</f>
        <v>Near-prime</v>
      </c>
      <c r="M670" s="19" t="n">
        <f aca="false">IF(K670&lt;=Inputs!$C$19,1,0)</f>
        <v>0</v>
      </c>
      <c r="N670" s="19" t="n">
        <f aca="false">IF(F670&lt;=Inputs!$C$20,1,0)</f>
        <v>1</v>
      </c>
      <c r="O670" s="19" t="n">
        <f aca="false">IF(J670&lt;=Inputs!$C$21,1,0)</f>
        <v>1</v>
      </c>
      <c r="P670" s="19" t="n">
        <f aca="false">IF(D670&gt;=Inputs!$C$22,1,0)</f>
        <v>1</v>
      </c>
      <c r="Q670" s="19" t="n">
        <f aca="false">IF(I670&lt;=Inputs!$C$23,1,0)</f>
        <v>1</v>
      </c>
      <c r="R670" s="19" t="n">
        <f aca="false">M670*N670*O670*P670*Q670</f>
        <v>0</v>
      </c>
      <c r="S670" s="14" t="n">
        <f aca="false">I670*R670</f>
        <v>0</v>
      </c>
      <c r="T670" s="19" t="n">
        <f aca="false">IF(F670&gt;72,1,0)</f>
        <v>1</v>
      </c>
      <c r="U670" s="19" t="n">
        <f aca="false">IF(J670&gt;1.25,1,0)</f>
        <v>1</v>
      </c>
    </row>
    <row r="671" customFormat="false" ht="15" hidden="false" customHeight="false" outlineLevel="0" collapsed="false">
      <c r="B671" s="13" t="s">
        <v>891</v>
      </c>
      <c r="C671" s="13" t="s">
        <v>217</v>
      </c>
      <c r="D671" s="19" t="n">
        <v>708</v>
      </c>
      <c r="E671" s="23" t="n">
        <v>0.1899</v>
      </c>
      <c r="F671" s="19" t="n">
        <v>60</v>
      </c>
      <c r="G671" s="19" t="n">
        <v>4</v>
      </c>
      <c r="H671" s="14" t="n">
        <v>16530</v>
      </c>
      <c r="I671" s="14" t="n">
        <v>15845.49</v>
      </c>
      <c r="J671" s="24" t="n">
        <v>1.183</v>
      </c>
      <c r="K671" s="19" t="n">
        <v>0</v>
      </c>
      <c r="L671" s="13" t="str">
        <f aca="false">IF(D671&gt;=Inputs!$C$14,"Near-prime","Non-prime")</f>
        <v>Near-prime</v>
      </c>
      <c r="M671" s="19" t="n">
        <f aca="false">IF(K671&lt;=Inputs!$C$19,1,0)</f>
        <v>1</v>
      </c>
      <c r="N671" s="19" t="n">
        <f aca="false">IF(F671&lt;=Inputs!$C$20,1,0)</f>
        <v>1</v>
      </c>
      <c r="O671" s="19" t="n">
        <f aca="false">IF(J671&lt;=Inputs!$C$21,1,0)</f>
        <v>1</v>
      </c>
      <c r="P671" s="19" t="n">
        <f aca="false">IF(D671&gt;=Inputs!$C$22,1,0)</f>
        <v>1</v>
      </c>
      <c r="Q671" s="19" t="n">
        <f aca="false">IF(I671&lt;=Inputs!$C$23,1,0)</f>
        <v>1</v>
      </c>
      <c r="R671" s="19" t="n">
        <f aca="false">M671*N671*O671*P671*Q671</f>
        <v>1</v>
      </c>
      <c r="S671" s="14" t="n">
        <f aca="false">I671*R671</f>
        <v>15845.49</v>
      </c>
      <c r="T671" s="19" t="n">
        <f aca="false">IF(F671&gt;72,1,0)</f>
        <v>0</v>
      </c>
      <c r="U671" s="19" t="n">
        <f aca="false">IF(J671&gt;1.25,1,0)</f>
        <v>0</v>
      </c>
    </row>
    <row r="672" customFormat="false" ht="15" hidden="false" customHeight="false" outlineLevel="0" collapsed="false">
      <c r="B672" s="13" t="s">
        <v>892</v>
      </c>
      <c r="C672" s="13" t="s">
        <v>223</v>
      </c>
      <c r="D672" s="19" t="n">
        <v>555</v>
      </c>
      <c r="E672" s="23" t="n">
        <v>0.2416</v>
      </c>
      <c r="F672" s="19" t="n">
        <v>72</v>
      </c>
      <c r="G672" s="19" t="n">
        <v>6</v>
      </c>
      <c r="H672" s="14" t="n">
        <v>33110</v>
      </c>
      <c r="I672" s="14" t="n">
        <v>31795.67</v>
      </c>
      <c r="J672" s="24" t="n">
        <v>1.104</v>
      </c>
      <c r="K672" s="19" t="n">
        <v>0</v>
      </c>
      <c r="L672" s="13" t="str">
        <f aca="false">IF(D672&gt;=Inputs!$C$14,"Near-prime","Non-prime")</f>
        <v>Non-prime</v>
      </c>
      <c r="M672" s="19" t="n">
        <f aca="false">IF(K672&lt;=Inputs!$C$19,1,0)</f>
        <v>1</v>
      </c>
      <c r="N672" s="19" t="n">
        <f aca="false">IF(F672&lt;=Inputs!$C$20,1,0)</f>
        <v>1</v>
      </c>
      <c r="O672" s="19" t="n">
        <f aca="false">IF(J672&lt;=Inputs!$C$21,1,0)</f>
        <v>1</v>
      </c>
      <c r="P672" s="19" t="n">
        <f aca="false">IF(D672&gt;=Inputs!$C$22,1,0)</f>
        <v>1</v>
      </c>
      <c r="Q672" s="19" t="n">
        <f aca="false">IF(I672&lt;=Inputs!$C$23,1,0)</f>
        <v>1</v>
      </c>
      <c r="R672" s="19" t="n">
        <f aca="false">M672*N672*O672*P672*Q672</f>
        <v>1</v>
      </c>
      <c r="S672" s="14" t="n">
        <f aca="false">I672*R672</f>
        <v>31795.67</v>
      </c>
      <c r="T672" s="19" t="n">
        <f aca="false">IF(F672&gt;72,1,0)</f>
        <v>0</v>
      </c>
      <c r="U672" s="19" t="n">
        <f aca="false">IF(J672&gt;1.25,1,0)</f>
        <v>0</v>
      </c>
    </row>
    <row r="673" customFormat="false" ht="15" hidden="false" customHeight="false" outlineLevel="0" collapsed="false">
      <c r="B673" s="13" t="s">
        <v>893</v>
      </c>
      <c r="C673" s="13" t="s">
        <v>228</v>
      </c>
      <c r="D673" s="19" t="n">
        <v>601</v>
      </c>
      <c r="E673" s="23" t="n">
        <v>0.1988</v>
      </c>
      <c r="F673" s="19" t="n">
        <v>75</v>
      </c>
      <c r="G673" s="19" t="n">
        <v>9</v>
      </c>
      <c r="H673" s="14" t="n">
        <v>49140</v>
      </c>
      <c r="I673" s="14" t="n">
        <v>45916.05</v>
      </c>
      <c r="J673" s="24" t="n">
        <v>0.961</v>
      </c>
      <c r="K673" s="19" t="n">
        <v>0</v>
      </c>
      <c r="L673" s="13" t="str">
        <f aca="false">IF(D673&gt;=Inputs!$C$14,"Near-prime","Non-prime")</f>
        <v>Non-prime</v>
      </c>
      <c r="M673" s="19" t="n">
        <f aca="false">IF(K673&lt;=Inputs!$C$19,1,0)</f>
        <v>1</v>
      </c>
      <c r="N673" s="19" t="n">
        <f aca="false">IF(F673&lt;=Inputs!$C$20,1,0)</f>
        <v>1</v>
      </c>
      <c r="O673" s="19" t="n">
        <f aca="false">IF(J673&lt;=Inputs!$C$21,1,0)</f>
        <v>1</v>
      </c>
      <c r="P673" s="19" t="n">
        <f aca="false">IF(D673&gt;=Inputs!$C$22,1,0)</f>
        <v>1</v>
      </c>
      <c r="Q673" s="19" t="n">
        <f aca="false">IF(I673&lt;=Inputs!$C$23,1,0)</f>
        <v>1</v>
      </c>
      <c r="R673" s="19" t="n">
        <f aca="false">M673*N673*O673*P673*Q673</f>
        <v>1</v>
      </c>
      <c r="S673" s="14" t="n">
        <f aca="false">I673*R673</f>
        <v>45916.05</v>
      </c>
      <c r="T673" s="19" t="n">
        <f aca="false">IF(F673&gt;72,1,0)</f>
        <v>1</v>
      </c>
      <c r="U673" s="19" t="n">
        <f aca="false">IF(J673&gt;1.25,1,0)</f>
        <v>0</v>
      </c>
    </row>
    <row r="674" customFormat="false" ht="15" hidden="false" customHeight="false" outlineLevel="0" collapsed="false">
      <c r="B674" s="13" t="s">
        <v>894</v>
      </c>
      <c r="C674" s="13" t="s">
        <v>233</v>
      </c>
      <c r="D674" s="19" t="n">
        <v>644</v>
      </c>
      <c r="E674" s="23" t="n">
        <v>0.2145</v>
      </c>
      <c r="F674" s="19" t="n">
        <v>72</v>
      </c>
      <c r="G674" s="19" t="n">
        <v>0</v>
      </c>
      <c r="H674" s="14" t="n">
        <v>30440</v>
      </c>
      <c r="I674" s="14" t="n">
        <v>30440</v>
      </c>
      <c r="J674" s="24" t="n">
        <v>1.063</v>
      </c>
      <c r="K674" s="19" t="n">
        <v>0</v>
      </c>
      <c r="L674" s="13" t="str">
        <f aca="false">IF(D674&gt;=Inputs!$C$14,"Near-prime","Non-prime")</f>
        <v>Near-prime</v>
      </c>
      <c r="M674" s="19" t="n">
        <f aca="false">IF(K674&lt;=Inputs!$C$19,1,0)</f>
        <v>1</v>
      </c>
      <c r="N674" s="19" t="n">
        <f aca="false">IF(F674&lt;=Inputs!$C$20,1,0)</f>
        <v>1</v>
      </c>
      <c r="O674" s="19" t="n">
        <f aca="false">IF(J674&lt;=Inputs!$C$21,1,0)</f>
        <v>1</v>
      </c>
      <c r="P674" s="19" t="n">
        <f aca="false">IF(D674&gt;=Inputs!$C$22,1,0)</f>
        <v>1</v>
      </c>
      <c r="Q674" s="19" t="n">
        <f aca="false">IF(I674&lt;=Inputs!$C$23,1,0)</f>
        <v>1</v>
      </c>
      <c r="R674" s="19" t="n">
        <f aca="false">M674*N674*O674*P674*Q674</f>
        <v>1</v>
      </c>
      <c r="S674" s="14" t="n">
        <f aca="false">I674*R674</f>
        <v>30440</v>
      </c>
      <c r="T674" s="19" t="n">
        <f aca="false">IF(F674&gt;72,1,0)</f>
        <v>0</v>
      </c>
      <c r="U674" s="19" t="n">
        <f aca="false">IF(J674&gt;1.25,1,0)</f>
        <v>0</v>
      </c>
    </row>
    <row r="675" customFormat="false" ht="15" hidden="false" customHeight="false" outlineLevel="0" collapsed="false">
      <c r="B675" s="13" t="s">
        <v>895</v>
      </c>
      <c r="C675" s="13" t="s">
        <v>223</v>
      </c>
      <c r="D675" s="19" t="n">
        <v>598</v>
      </c>
      <c r="E675" s="23" t="n">
        <v>0.2343</v>
      </c>
      <c r="F675" s="19" t="n">
        <v>60</v>
      </c>
      <c r="G675" s="19" t="n">
        <v>9</v>
      </c>
      <c r="H675" s="14" t="n">
        <v>23510</v>
      </c>
      <c r="I675" s="14" t="n">
        <v>21469.88</v>
      </c>
      <c r="J675" s="24" t="n">
        <v>1.227</v>
      </c>
      <c r="K675" s="19" t="n">
        <v>0</v>
      </c>
      <c r="L675" s="13" t="str">
        <f aca="false">IF(D675&gt;=Inputs!$C$14,"Near-prime","Non-prime")</f>
        <v>Non-prime</v>
      </c>
      <c r="M675" s="19" t="n">
        <f aca="false">IF(K675&lt;=Inputs!$C$19,1,0)</f>
        <v>1</v>
      </c>
      <c r="N675" s="19" t="n">
        <f aca="false">IF(F675&lt;=Inputs!$C$20,1,0)</f>
        <v>1</v>
      </c>
      <c r="O675" s="19" t="n">
        <f aca="false">IF(J675&lt;=Inputs!$C$21,1,0)</f>
        <v>1</v>
      </c>
      <c r="P675" s="19" t="n">
        <f aca="false">IF(D675&gt;=Inputs!$C$22,1,0)</f>
        <v>1</v>
      </c>
      <c r="Q675" s="19" t="n">
        <f aca="false">IF(I675&lt;=Inputs!$C$23,1,0)</f>
        <v>1</v>
      </c>
      <c r="R675" s="19" t="n">
        <f aca="false">M675*N675*O675*P675*Q675</f>
        <v>1</v>
      </c>
      <c r="S675" s="14" t="n">
        <f aca="false">I675*R675</f>
        <v>21469.88</v>
      </c>
      <c r="T675" s="19" t="n">
        <f aca="false">IF(F675&gt;72,1,0)</f>
        <v>0</v>
      </c>
      <c r="U675" s="19" t="n">
        <f aca="false">IF(J675&gt;1.25,1,0)</f>
        <v>0</v>
      </c>
    </row>
    <row r="676" customFormat="false" ht="15" hidden="false" customHeight="false" outlineLevel="0" collapsed="false">
      <c r="B676" s="13" t="s">
        <v>896</v>
      </c>
      <c r="C676" s="13" t="s">
        <v>233</v>
      </c>
      <c r="D676" s="19" t="n">
        <v>661</v>
      </c>
      <c r="E676" s="23" t="n">
        <v>0.1991</v>
      </c>
      <c r="F676" s="19" t="n">
        <v>48</v>
      </c>
      <c r="G676" s="19" t="n">
        <v>6</v>
      </c>
      <c r="H676" s="14" t="n">
        <v>20320</v>
      </c>
      <c r="I676" s="14" t="n">
        <v>18567.33</v>
      </c>
      <c r="J676" s="24" t="n">
        <v>1.227</v>
      </c>
      <c r="K676" s="19" t="n">
        <v>0</v>
      </c>
      <c r="L676" s="13" t="str">
        <f aca="false">IF(D676&gt;=Inputs!$C$14,"Near-prime","Non-prime")</f>
        <v>Near-prime</v>
      </c>
      <c r="M676" s="19" t="n">
        <f aca="false">IF(K676&lt;=Inputs!$C$19,1,0)</f>
        <v>1</v>
      </c>
      <c r="N676" s="19" t="n">
        <f aca="false">IF(F676&lt;=Inputs!$C$20,1,0)</f>
        <v>1</v>
      </c>
      <c r="O676" s="19" t="n">
        <f aca="false">IF(J676&lt;=Inputs!$C$21,1,0)</f>
        <v>1</v>
      </c>
      <c r="P676" s="19" t="n">
        <f aca="false">IF(D676&gt;=Inputs!$C$22,1,0)</f>
        <v>1</v>
      </c>
      <c r="Q676" s="19" t="n">
        <f aca="false">IF(I676&lt;=Inputs!$C$23,1,0)</f>
        <v>1</v>
      </c>
      <c r="R676" s="19" t="n">
        <f aca="false">M676*N676*O676*P676*Q676</f>
        <v>1</v>
      </c>
      <c r="S676" s="14" t="n">
        <f aca="false">I676*R676</f>
        <v>18567.33</v>
      </c>
      <c r="T676" s="19" t="n">
        <f aca="false">IF(F676&gt;72,1,0)</f>
        <v>0</v>
      </c>
      <c r="U676" s="19" t="n">
        <f aca="false">IF(J676&gt;1.25,1,0)</f>
        <v>0</v>
      </c>
    </row>
    <row r="677" customFormat="false" ht="15" hidden="false" customHeight="false" outlineLevel="0" collapsed="false">
      <c r="B677" s="13" t="s">
        <v>897</v>
      </c>
      <c r="C677" s="13" t="s">
        <v>226</v>
      </c>
      <c r="D677" s="19" t="n">
        <v>644</v>
      </c>
      <c r="E677" s="23" t="n">
        <v>0.1999</v>
      </c>
      <c r="F677" s="19" t="n">
        <v>66</v>
      </c>
      <c r="G677" s="19" t="n">
        <v>5</v>
      </c>
      <c r="H677" s="14" t="n">
        <v>17530</v>
      </c>
      <c r="I677" s="14" t="n">
        <v>16765.83</v>
      </c>
      <c r="J677" s="24" t="n">
        <v>0.956</v>
      </c>
      <c r="K677" s="19" t="n">
        <v>0</v>
      </c>
      <c r="L677" s="13" t="str">
        <f aca="false">IF(D677&gt;=Inputs!$C$14,"Near-prime","Non-prime")</f>
        <v>Near-prime</v>
      </c>
      <c r="M677" s="19" t="n">
        <f aca="false">IF(K677&lt;=Inputs!$C$19,1,0)</f>
        <v>1</v>
      </c>
      <c r="N677" s="19" t="n">
        <f aca="false">IF(F677&lt;=Inputs!$C$20,1,0)</f>
        <v>1</v>
      </c>
      <c r="O677" s="19" t="n">
        <f aca="false">IF(J677&lt;=Inputs!$C$21,1,0)</f>
        <v>1</v>
      </c>
      <c r="P677" s="19" t="n">
        <f aca="false">IF(D677&gt;=Inputs!$C$22,1,0)</f>
        <v>1</v>
      </c>
      <c r="Q677" s="19" t="n">
        <f aca="false">IF(I677&lt;=Inputs!$C$23,1,0)</f>
        <v>1</v>
      </c>
      <c r="R677" s="19" t="n">
        <f aca="false">M677*N677*O677*P677*Q677</f>
        <v>1</v>
      </c>
      <c r="S677" s="14" t="n">
        <f aca="false">I677*R677</f>
        <v>16765.83</v>
      </c>
      <c r="T677" s="19" t="n">
        <f aca="false">IF(F677&gt;72,1,0)</f>
        <v>0</v>
      </c>
      <c r="U677" s="19" t="n">
        <f aca="false">IF(J677&gt;1.25,1,0)</f>
        <v>0</v>
      </c>
    </row>
    <row r="678" customFormat="false" ht="15" hidden="false" customHeight="false" outlineLevel="0" collapsed="false">
      <c r="B678" s="13" t="s">
        <v>898</v>
      </c>
      <c r="C678" s="13" t="s">
        <v>226</v>
      </c>
      <c r="D678" s="19" t="n">
        <v>631</v>
      </c>
      <c r="E678" s="23" t="n">
        <v>0.1986</v>
      </c>
      <c r="F678" s="19" t="n">
        <v>66</v>
      </c>
      <c r="G678" s="19" t="n">
        <v>6</v>
      </c>
      <c r="H678" s="14" t="n">
        <v>21780</v>
      </c>
      <c r="I678" s="14" t="n">
        <v>20626.7</v>
      </c>
      <c r="J678" s="24" t="n">
        <v>0.897</v>
      </c>
      <c r="K678" s="19" t="n">
        <v>0</v>
      </c>
      <c r="L678" s="13" t="str">
        <f aca="false">IF(D678&gt;=Inputs!$C$14,"Near-prime","Non-prime")</f>
        <v>Near-prime</v>
      </c>
      <c r="M678" s="19" t="n">
        <f aca="false">IF(K678&lt;=Inputs!$C$19,1,0)</f>
        <v>1</v>
      </c>
      <c r="N678" s="19" t="n">
        <f aca="false">IF(F678&lt;=Inputs!$C$20,1,0)</f>
        <v>1</v>
      </c>
      <c r="O678" s="19" t="n">
        <f aca="false">IF(J678&lt;=Inputs!$C$21,1,0)</f>
        <v>1</v>
      </c>
      <c r="P678" s="19" t="n">
        <f aca="false">IF(D678&gt;=Inputs!$C$22,1,0)</f>
        <v>1</v>
      </c>
      <c r="Q678" s="19" t="n">
        <f aca="false">IF(I678&lt;=Inputs!$C$23,1,0)</f>
        <v>1</v>
      </c>
      <c r="R678" s="19" t="n">
        <f aca="false">M678*N678*O678*P678*Q678</f>
        <v>1</v>
      </c>
      <c r="S678" s="14" t="n">
        <f aca="false">I678*R678</f>
        <v>20626.7</v>
      </c>
      <c r="T678" s="19" t="n">
        <f aca="false">IF(F678&gt;72,1,0)</f>
        <v>0</v>
      </c>
      <c r="U678" s="19" t="n">
        <f aca="false">IF(J678&gt;1.25,1,0)</f>
        <v>0</v>
      </c>
    </row>
    <row r="679" customFormat="false" ht="15" hidden="false" customHeight="false" outlineLevel="0" collapsed="false">
      <c r="B679" s="13" t="s">
        <v>899</v>
      </c>
      <c r="C679" s="13" t="s">
        <v>252</v>
      </c>
      <c r="D679" s="19" t="n">
        <v>769</v>
      </c>
      <c r="E679" s="23" t="n">
        <v>0.1826</v>
      </c>
      <c r="F679" s="19" t="n">
        <v>66</v>
      </c>
      <c r="G679" s="19" t="n">
        <v>4</v>
      </c>
      <c r="H679" s="14" t="n">
        <v>17560</v>
      </c>
      <c r="I679" s="14" t="n">
        <v>16920.33</v>
      </c>
      <c r="J679" s="24" t="n">
        <v>0.738</v>
      </c>
      <c r="K679" s="19" t="n">
        <v>0</v>
      </c>
      <c r="L679" s="13" t="str">
        <f aca="false">IF(D679&gt;=Inputs!$C$14,"Near-prime","Non-prime")</f>
        <v>Near-prime</v>
      </c>
      <c r="M679" s="19" t="n">
        <f aca="false">IF(K679&lt;=Inputs!$C$19,1,0)</f>
        <v>1</v>
      </c>
      <c r="N679" s="19" t="n">
        <f aca="false">IF(F679&lt;=Inputs!$C$20,1,0)</f>
        <v>1</v>
      </c>
      <c r="O679" s="19" t="n">
        <f aca="false">IF(J679&lt;=Inputs!$C$21,1,0)</f>
        <v>1</v>
      </c>
      <c r="P679" s="19" t="n">
        <f aca="false">IF(D679&gt;=Inputs!$C$22,1,0)</f>
        <v>1</v>
      </c>
      <c r="Q679" s="19" t="n">
        <f aca="false">IF(I679&lt;=Inputs!$C$23,1,0)</f>
        <v>1</v>
      </c>
      <c r="R679" s="19" t="n">
        <f aca="false">M679*N679*O679*P679*Q679</f>
        <v>1</v>
      </c>
      <c r="S679" s="14" t="n">
        <f aca="false">I679*R679</f>
        <v>16920.33</v>
      </c>
      <c r="T679" s="19" t="n">
        <f aca="false">IF(F679&gt;72,1,0)</f>
        <v>0</v>
      </c>
      <c r="U679" s="19" t="n">
        <f aca="false">IF(J679&gt;1.25,1,0)</f>
        <v>0</v>
      </c>
    </row>
    <row r="680" customFormat="false" ht="15" hidden="false" customHeight="false" outlineLevel="0" collapsed="false">
      <c r="B680" s="13" t="s">
        <v>900</v>
      </c>
      <c r="C680" s="13" t="s">
        <v>223</v>
      </c>
      <c r="D680" s="19" t="n">
        <v>592</v>
      </c>
      <c r="E680" s="23" t="n">
        <v>0.2231</v>
      </c>
      <c r="F680" s="19" t="n">
        <v>60</v>
      </c>
      <c r="G680" s="19" t="n">
        <v>0</v>
      </c>
      <c r="H680" s="14" t="n">
        <v>18940</v>
      </c>
      <c r="I680" s="14" t="n">
        <v>18940</v>
      </c>
      <c r="J680" s="24" t="n">
        <v>1.041</v>
      </c>
      <c r="K680" s="19" t="n">
        <v>0</v>
      </c>
      <c r="L680" s="13" t="str">
        <f aca="false">IF(D680&gt;=Inputs!$C$14,"Near-prime","Non-prime")</f>
        <v>Non-prime</v>
      </c>
      <c r="M680" s="19" t="n">
        <f aca="false">IF(K680&lt;=Inputs!$C$19,1,0)</f>
        <v>1</v>
      </c>
      <c r="N680" s="19" t="n">
        <f aca="false">IF(F680&lt;=Inputs!$C$20,1,0)</f>
        <v>1</v>
      </c>
      <c r="O680" s="19" t="n">
        <f aca="false">IF(J680&lt;=Inputs!$C$21,1,0)</f>
        <v>1</v>
      </c>
      <c r="P680" s="19" t="n">
        <f aca="false">IF(D680&gt;=Inputs!$C$22,1,0)</f>
        <v>1</v>
      </c>
      <c r="Q680" s="19" t="n">
        <f aca="false">IF(I680&lt;=Inputs!$C$23,1,0)</f>
        <v>1</v>
      </c>
      <c r="R680" s="19" t="n">
        <f aca="false">M680*N680*O680*P680*Q680</f>
        <v>1</v>
      </c>
      <c r="S680" s="14" t="n">
        <f aca="false">I680*R680</f>
        <v>18940</v>
      </c>
      <c r="T680" s="19" t="n">
        <f aca="false">IF(F680&gt;72,1,0)</f>
        <v>0</v>
      </c>
      <c r="U680" s="19" t="n">
        <f aca="false">IF(J680&gt;1.25,1,0)</f>
        <v>0</v>
      </c>
    </row>
    <row r="681" customFormat="false" ht="15" hidden="false" customHeight="false" outlineLevel="0" collapsed="false">
      <c r="B681" s="13" t="s">
        <v>901</v>
      </c>
      <c r="C681" s="13" t="s">
        <v>217</v>
      </c>
      <c r="D681" s="19" t="n">
        <v>630</v>
      </c>
      <c r="E681" s="23" t="n">
        <v>0.2142</v>
      </c>
      <c r="F681" s="19" t="n">
        <v>60</v>
      </c>
      <c r="G681" s="19" t="n">
        <v>2</v>
      </c>
      <c r="H681" s="14" t="n">
        <v>37020</v>
      </c>
      <c r="I681" s="14" t="n">
        <v>36314.81</v>
      </c>
      <c r="J681" s="24" t="n">
        <v>1.219</v>
      </c>
      <c r="K681" s="19" t="n">
        <v>0</v>
      </c>
      <c r="L681" s="13" t="str">
        <f aca="false">IF(D681&gt;=Inputs!$C$14,"Near-prime","Non-prime")</f>
        <v>Near-prime</v>
      </c>
      <c r="M681" s="19" t="n">
        <f aca="false">IF(K681&lt;=Inputs!$C$19,1,0)</f>
        <v>1</v>
      </c>
      <c r="N681" s="19" t="n">
        <f aca="false">IF(F681&lt;=Inputs!$C$20,1,0)</f>
        <v>1</v>
      </c>
      <c r="O681" s="19" t="n">
        <f aca="false">IF(J681&lt;=Inputs!$C$21,1,0)</f>
        <v>1</v>
      </c>
      <c r="P681" s="19" t="n">
        <f aca="false">IF(D681&gt;=Inputs!$C$22,1,0)</f>
        <v>1</v>
      </c>
      <c r="Q681" s="19" t="n">
        <f aca="false">IF(I681&lt;=Inputs!$C$23,1,0)</f>
        <v>1</v>
      </c>
      <c r="R681" s="19" t="n">
        <f aca="false">M681*N681*O681*P681*Q681</f>
        <v>1</v>
      </c>
      <c r="S681" s="14" t="n">
        <f aca="false">I681*R681</f>
        <v>36314.81</v>
      </c>
      <c r="T681" s="19" t="n">
        <f aca="false">IF(F681&gt;72,1,0)</f>
        <v>0</v>
      </c>
      <c r="U681" s="19" t="n">
        <f aca="false">IF(J681&gt;1.25,1,0)</f>
        <v>0</v>
      </c>
    </row>
    <row r="682" customFormat="false" ht="15" hidden="false" customHeight="false" outlineLevel="0" collapsed="false">
      <c r="B682" s="13" t="s">
        <v>902</v>
      </c>
      <c r="C682" s="13" t="s">
        <v>223</v>
      </c>
      <c r="D682" s="19" t="n">
        <v>669</v>
      </c>
      <c r="E682" s="23" t="n">
        <v>0.1749</v>
      </c>
      <c r="F682" s="19" t="n">
        <v>60</v>
      </c>
      <c r="G682" s="19" t="n">
        <v>9</v>
      </c>
      <c r="H682" s="14" t="n">
        <v>20670</v>
      </c>
      <c r="I682" s="14" t="n">
        <v>18590.6</v>
      </c>
      <c r="J682" s="24" t="n">
        <v>1.189</v>
      </c>
      <c r="K682" s="19" t="n">
        <v>0</v>
      </c>
      <c r="L682" s="13" t="str">
        <f aca="false">IF(D682&gt;=Inputs!$C$14,"Near-prime","Non-prime")</f>
        <v>Near-prime</v>
      </c>
      <c r="M682" s="19" t="n">
        <f aca="false">IF(K682&lt;=Inputs!$C$19,1,0)</f>
        <v>1</v>
      </c>
      <c r="N682" s="19" t="n">
        <f aca="false">IF(F682&lt;=Inputs!$C$20,1,0)</f>
        <v>1</v>
      </c>
      <c r="O682" s="19" t="n">
        <f aca="false">IF(J682&lt;=Inputs!$C$21,1,0)</f>
        <v>1</v>
      </c>
      <c r="P682" s="19" t="n">
        <f aca="false">IF(D682&gt;=Inputs!$C$22,1,0)</f>
        <v>1</v>
      </c>
      <c r="Q682" s="19" t="n">
        <f aca="false">IF(I682&lt;=Inputs!$C$23,1,0)</f>
        <v>1</v>
      </c>
      <c r="R682" s="19" t="n">
        <f aca="false">M682*N682*O682*P682*Q682</f>
        <v>1</v>
      </c>
      <c r="S682" s="14" t="n">
        <f aca="false">I682*R682</f>
        <v>18590.6</v>
      </c>
      <c r="T682" s="19" t="n">
        <f aca="false">IF(F682&gt;72,1,0)</f>
        <v>0</v>
      </c>
      <c r="U682" s="19" t="n">
        <f aca="false">IF(J682&gt;1.25,1,0)</f>
        <v>0</v>
      </c>
    </row>
    <row r="683" customFormat="false" ht="15" hidden="false" customHeight="false" outlineLevel="0" collapsed="false">
      <c r="B683" s="13" t="s">
        <v>903</v>
      </c>
      <c r="C683" s="13" t="s">
        <v>223</v>
      </c>
      <c r="D683" s="19" t="n">
        <v>605</v>
      </c>
      <c r="E683" s="23" t="n">
        <v>0.236</v>
      </c>
      <c r="F683" s="19" t="n">
        <v>72</v>
      </c>
      <c r="G683" s="19" t="n">
        <v>8</v>
      </c>
      <c r="H683" s="14" t="n">
        <v>30510</v>
      </c>
      <c r="I683" s="14" t="n">
        <v>28831.35</v>
      </c>
      <c r="J683" s="24" t="n">
        <v>1.077</v>
      </c>
      <c r="K683" s="19" t="n">
        <v>0</v>
      </c>
      <c r="L683" s="13" t="str">
        <f aca="false">IF(D683&gt;=Inputs!$C$14,"Near-prime","Non-prime")</f>
        <v>Non-prime</v>
      </c>
      <c r="M683" s="19" t="n">
        <f aca="false">IF(K683&lt;=Inputs!$C$19,1,0)</f>
        <v>1</v>
      </c>
      <c r="N683" s="19" t="n">
        <f aca="false">IF(F683&lt;=Inputs!$C$20,1,0)</f>
        <v>1</v>
      </c>
      <c r="O683" s="19" t="n">
        <f aca="false">IF(J683&lt;=Inputs!$C$21,1,0)</f>
        <v>1</v>
      </c>
      <c r="P683" s="19" t="n">
        <f aca="false">IF(D683&gt;=Inputs!$C$22,1,0)</f>
        <v>1</v>
      </c>
      <c r="Q683" s="19" t="n">
        <f aca="false">IF(I683&lt;=Inputs!$C$23,1,0)</f>
        <v>1</v>
      </c>
      <c r="R683" s="19" t="n">
        <f aca="false">M683*N683*O683*P683*Q683</f>
        <v>1</v>
      </c>
      <c r="S683" s="14" t="n">
        <f aca="false">I683*R683</f>
        <v>28831.35</v>
      </c>
      <c r="T683" s="19" t="n">
        <f aca="false">IF(F683&gt;72,1,0)</f>
        <v>0</v>
      </c>
      <c r="U683" s="19" t="n">
        <f aca="false">IF(J683&gt;1.25,1,0)</f>
        <v>0</v>
      </c>
    </row>
    <row r="684" customFormat="false" ht="15" hidden="false" customHeight="false" outlineLevel="0" collapsed="false">
      <c r="B684" s="13" t="s">
        <v>904</v>
      </c>
      <c r="C684" s="13" t="s">
        <v>217</v>
      </c>
      <c r="D684" s="19" t="n">
        <v>651</v>
      </c>
      <c r="E684" s="23" t="n">
        <v>0.2167</v>
      </c>
      <c r="F684" s="19" t="n">
        <v>84</v>
      </c>
      <c r="G684" s="19" t="n">
        <v>0</v>
      </c>
      <c r="H684" s="14" t="n">
        <v>33720</v>
      </c>
      <c r="I684" s="14" t="n">
        <v>33720</v>
      </c>
      <c r="J684" s="24" t="n">
        <v>0.937</v>
      </c>
      <c r="K684" s="19" t="n">
        <v>0</v>
      </c>
      <c r="L684" s="13" t="str">
        <f aca="false">IF(D684&gt;=Inputs!$C$14,"Near-prime","Non-prime")</f>
        <v>Near-prime</v>
      </c>
      <c r="M684" s="19" t="n">
        <f aca="false">IF(K684&lt;=Inputs!$C$19,1,0)</f>
        <v>1</v>
      </c>
      <c r="N684" s="19" t="n">
        <f aca="false">IF(F684&lt;=Inputs!$C$20,1,0)</f>
        <v>0</v>
      </c>
      <c r="O684" s="19" t="n">
        <f aca="false">IF(J684&lt;=Inputs!$C$21,1,0)</f>
        <v>1</v>
      </c>
      <c r="P684" s="19" t="n">
        <f aca="false">IF(D684&gt;=Inputs!$C$22,1,0)</f>
        <v>1</v>
      </c>
      <c r="Q684" s="19" t="n">
        <f aca="false">IF(I684&lt;=Inputs!$C$23,1,0)</f>
        <v>1</v>
      </c>
      <c r="R684" s="19" t="n">
        <f aca="false">M684*N684*O684*P684*Q684</f>
        <v>0</v>
      </c>
      <c r="S684" s="14" t="n">
        <f aca="false">I684*R684</f>
        <v>0</v>
      </c>
      <c r="T684" s="19" t="n">
        <f aca="false">IF(F684&gt;72,1,0)</f>
        <v>1</v>
      </c>
      <c r="U684" s="19" t="n">
        <f aca="false">IF(J684&gt;1.25,1,0)</f>
        <v>0</v>
      </c>
    </row>
    <row r="685" customFormat="false" ht="15" hidden="false" customHeight="false" outlineLevel="0" collapsed="false">
      <c r="B685" s="13" t="s">
        <v>905</v>
      </c>
      <c r="C685" s="13" t="s">
        <v>217</v>
      </c>
      <c r="D685" s="19" t="n">
        <v>688</v>
      </c>
      <c r="E685" s="23" t="n">
        <v>0.1956</v>
      </c>
      <c r="F685" s="19" t="n">
        <v>72</v>
      </c>
      <c r="G685" s="19" t="n">
        <v>1</v>
      </c>
      <c r="H685" s="14" t="n">
        <v>24720</v>
      </c>
      <c r="I685" s="14" t="n">
        <v>24537.11</v>
      </c>
      <c r="J685" s="24" t="n">
        <v>1.381</v>
      </c>
      <c r="K685" s="19" t="n">
        <v>0</v>
      </c>
      <c r="L685" s="13" t="str">
        <f aca="false">IF(D685&gt;=Inputs!$C$14,"Near-prime","Non-prime")</f>
        <v>Near-prime</v>
      </c>
      <c r="M685" s="19" t="n">
        <f aca="false">IF(K685&lt;=Inputs!$C$19,1,0)</f>
        <v>1</v>
      </c>
      <c r="N685" s="19" t="n">
        <f aca="false">IF(F685&lt;=Inputs!$C$20,1,0)</f>
        <v>1</v>
      </c>
      <c r="O685" s="19" t="n">
        <f aca="false">IF(J685&lt;=Inputs!$C$21,1,0)</f>
        <v>1</v>
      </c>
      <c r="P685" s="19" t="n">
        <f aca="false">IF(D685&gt;=Inputs!$C$22,1,0)</f>
        <v>1</v>
      </c>
      <c r="Q685" s="19" t="n">
        <f aca="false">IF(I685&lt;=Inputs!$C$23,1,0)</f>
        <v>1</v>
      </c>
      <c r="R685" s="19" t="n">
        <f aca="false">M685*N685*O685*P685*Q685</f>
        <v>1</v>
      </c>
      <c r="S685" s="14" t="n">
        <f aca="false">I685*R685</f>
        <v>24537.11</v>
      </c>
      <c r="T685" s="19" t="n">
        <f aca="false">IF(F685&gt;72,1,0)</f>
        <v>0</v>
      </c>
      <c r="U685" s="19" t="n">
        <f aca="false">IF(J685&gt;1.25,1,0)</f>
        <v>1</v>
      </c>
    </row>
    <row r="686" customFormat="false" ht="15" hidden="false" customHeight="false" outlineLevel="0" collapsed="false">
      <c r="B686" s="13" t="s">
        <v>906</v>
      </c>
      <c r="C686" s="13" t="s">
        <v>223</v>
      </c>
      <c r="D686" s="19" t="n">
        <v>655</v>
      </c>
      <c r="E686" s="23" t="n">
        <v>0.2117</v>
      </c>
      <c r="F686" s="19" t="n">
        <v>60</v>
      </c>
      <c r="G686" s="19" t="n">
        <v>9</v>
      </c>
      <c r="H686" s="14" t="n">
        <v>26820</v>
      </c>
      <c r="I686" s="14" t="n">
        <v>24356.31</v>
      </c>
      <c r="J686" s="24" t="n">
        <v>1.087</v>
      </c>
      <c r="K686" s="19" t="n">
        <v>0</v>
      </c>
      <c r="L686" s="13" t="str">
        <f aca="false">IF(D686&gt;=Inputs!$C$14,"Near-prime","Non-prime")</f>
        <v>Near-prime</v>
      </c>
      <c r="M686" s="19" t="n">
        <f aca="false">IF(K686&lt;=Inputs!$C$19,1,0)</f>
        <v>1</v>
      </c>
      <c r="N686" s="19" t="n">
        <f aca="false">IF(F686&lt;=Inputs!$C$20,1,0)</f>
        <v>1</v>
      </c>
      <c r="O686" s="19" t="n">
        <f aca="false">IF(J686&lt;=Inputs!$C$21,1,0)</f>
        <v>1</v>
      </c>
      <c r="P686" s="19" t="n">
        <f aca="false">IF(D686&gt;=Inputs!$C$22,1,0)</f>
        <v>1</v>
      </c>
      <c r="Q686" s="19" t="n">
        <f aca="false">IF(I686&lt;=Inputs!$C$23,1,0)</f>
        <v>1</v>
      </c>
      <c r="R686" s="19" t="n">
        <f aca="false">M686*N686*O686*P686*Q686</f>
        <v>1</v>
      </c>
      <c r="S686" s="14" t="n">
        <f aca="false">I686*R686</f>
        <v>24356.31</v>
      </c>
      <c r="T686" s="19" t="n">
        <f aca="false">IF(F686&gt;72,1,0)</f>
        <v>0</v>
      </c>
      <c r="U686" s="19" t="n">
        <f aca="false">IF(J686&gt;1.25,1,0)</f>
        <v>0</v>
      </c>
    </row>
    <row r="687" customFormat="false" ht="15" hidden="false" customHeight="false" outlineLevel="0" collapsed="false">
      <c r="B687" s="13" t="s">
        <v>907</v>
      </c>
      <c r="C687" s="13" t="s">
        <v>221</v>
      </c>
      <c r="D687" s="19" t="n">
        <v>682</v>
      </c>
      <c r="E687" s="23" t="n">
        <v>0.1826</v>
      </c>
      <c r="F687" s="19" t="n">
        <v>75</v>
      </c>
      <c r="G687" s="19" t="n">
        <v>2</v>
      </c>
      <c r="H687" s="14" t="n">
        <v>24950</v>
      </c>
      <c r="I687" s="14" t="n">
        <v>24586.34</v>
      </c>
      <c r="J687" s="24" t="n">
        <v>1.075</v>
      </c>
      <c r="K687" s="19" t="n">
        <v>0</v>
      </c>
      <c r="L687" s="13" t="str">
        <f aca="false">IF(D687&gt;=Inputs!$C$14,"Near-prime","Non-prime")</f>
        <v>Near-prime</v>
      </c>
      <c r="M687" s="19" t="n">
        <f aca="false">IF(K687&lt;=Inputs!$C$19,1,0)</f>
        <v>1</v>
      </c>
      <c r="N687" s="19" t="n">
        <f aca="false">IF(F687&lt;=Inputs!$C$20,1,0)</f>
        <v>1</v>
      </c>
      <c r="O687" s="19" t="n">
        <f aca="false">IF(J687&lt;=Inputs!$C$21,1,0)</f>
        <v>1</v>
      </c>
      <c r="P687" s="19" t="n">
        <f aca="false">IF(D687&gt;=Inputs!$C$22,1,0)</f>
        <v>1</v>
      </c>
      <c r="Q687" s="19" t="n">
        <f aca="false">IF(I687&lt;=Inputs!$C$23,1,0)</f>
        <v>1</v>
      </c>
      <c r="R687" s="19" t="n">
        <f aca="false">M687*N687*O687*P687*Q687</f>
        <v>1</v>
      </c>
      <c r="S687" s="14" t="n">
        <f aca="false">I687*R687</f>
        <v>24586.34</v>
      </c>
      <c r="T687" s="19" t="n">
        <f aca="false">IF(F687&gt;72,1,0)</f>
        <v>1</v>
      </c>
      <c r="U687" s="19" t="n">
        <f aca="false">IF(J687&gt;1.25,1,0)</f>
        <v>0</v>
      </c>
    </row>
    <row r="688" customFormat="false" ht="15" hidden="false" customHeight="false" outlineLevel="0" collapsed="false">
      <c r="B688" s="13" t="s">
        <v>908</v>
      </c>
      <c r="C688" s="13" t="s">
        <v>226</v>
      </c>
      <c r="D688" s="19" t="n">
        <v>624</v>
      </c>
      <c r="E688" s="23" t="n">
        <v>0.2168</v>
      </c>
      <c r="F688" s="19" t="n">
        <v>66</v>
      </c>
      <c r="G688" s="19" t="n">
        <v>9</v>
      </c>
      <c r="H688" s="14" t="n">
        <v>17700</v>
      </c>
      <c r="I688" s="14" t="n">
        <v>16330.58</v>
      </c>
      <c r="J688" s="24" t="n">
        <v>1.304</v>
      </c>
      <c r="K688" s="19" t="n">
        <v>0</v>
      </c>
      <c r="L688" s="13" t="str">
        <f aca="false">IF(D688&gt;=Inputs!$C$14,"Near-prime","Non-prime")</f>
        <v>Near-prime</v>
      </c>
      <c r="M688" s="19" t="n">
        <f aca="false">IF(K688&lt;=Inputs!$C$19,1,0)</f>
        <v>1</v>
      </c>
      <c r="N688" s="19" t="n">
        <f aca="false">IF(F688&lt;=Inputs!$C$20,1,0)</f>
        <v>1</v>
      </c>
      <c r="O688" s="19" t="n">
        <f aca="false">IF(J688&lt;=Inputs!$C$21,1,0)</f>
        <v>1</v>
      </c>
      <c r="P688" s="19" t="n">
        <f aca="false">IF(D688&gt;=Inputs!$C$22,1,0)</f>
        <v>1</v>
      </c>
      <c r="Q688" s="19" t="n">
        <f aca="false">IF(I688&lt;=Inputs!$C$23,1,0)</f>
        <v>1</v>
      </c>
      <c r="R688" s="19" t="n">
        <f aca="false">M688*N688*O688*P688*Q688</f>
        <v>1</v>
      </c>
      <c r="S688" s="14" t="n">
        <f aca="false">I688*R688</f>
        <v>16330.58</v>
      </c>
      <c r="T688" s="19" t="n">
        <f aca="false">IF(F688&gt;72,1,0)</f>
        <v>0</v>
      </c>
      <c r="U688" s="19" t="n">
        <f aca="false">IF(J688&gt;1.25,1,0)</f>
        <v>1</v>
      </c>
    </row>
    <row r="689" customFormat="false" ht="15" hidden="false" customHeight="false" outlineLevel="0" collapsed="false">
      <c r="B689" s="13" t="s">
        <v>909</v>
      </c>
      <c r="C689" s="13" t="s">
        <v>252</v>
      </c>
      <c r="D689" s="19" t="n">
        <v>630</v>
      </c>
      <c r="E689" s="23" t="n">
        <v>0.2016</v>
      </c>
      <c r="F689" s="19" t="n">
        <v>60</v>
      </c>
      <c r="G689" s="19" t="n">
        <v>6</v>
      </c>
      <c r="H689" s="14" t="n">
        <v>21650</v>
      </c>
      <c r="I689" s="14" t="n">
        <v>20324.6</v>
      </c>
      <c r="J689" s="24" t="n">
        <v>1.299</v>
      </c>
      <c r="K689" s="19" t="n">
        <v>0</v>
      </c>
      <c r="L689" s="13" t="str">
        <f aca="false">IF(D689&gt;=Inputs!$C$14,"Near-prime","Non-prime")</f>
        <v>Near-prime</v>
      </c>
      <c r="M689" s="19" t="n">
        <f aca="false">IF(K689&lt;=Inputs!$C$19,1,0)</f>
        <v>1</v>
      </c>
      <c r="N689" s="19" t="n">
        <f aca="false">IF(F689&lt;=Inputs!$C$20,1,0)</f>
        <v>1</v>
      </c>
      <c r="O689" s="19" t="n">
        <f aca="false">IF(J689&lt;=Inputs!$C$21,1,0)</f>
        <v>1</v>
      </c>
      <c r="P689" s="19" t="n">
        <f aca="false">IF(D689&gt;=Inputs!$C$22,1,0)</f>
        <v>1</v>
      </c>
      <c r="Q689" s="19" t="n">
        <f aca="false">IF(I689&lt;=Inputs!$C$23,1,0)</f>
        <v>1</v>
      </c>
      <c r="R689" s="19" t="n">
        <f aca="false">M689*N689*O689*P689*Q689</f>
        <v>1</v>
      </c>
      <c r="S689" s="14" t="n">
        <f aca="false">I689*R689</f>
        <v>20324.6</v>
      </c>
      <c r="T689" s="19" t="n">
        <f aca="false">IF(F689&gt;72,1,0)</f>
        <v>0</v>
      </c>
      <c r="U689" s="19" t="n">
        <f aca="false">IF(J689&gt;1.25,1,0)</f>
        <v>1</v>
      </c>
    </row>
    <row r="690" customFormat="false" ht="15" hidden="false" customHeight="false" outlineLevel="0" collapsed="false">
      <c r="B690" s="13" t="s">
        <v>910</v>
      </c>
      <c r="C690" s="13" t="s">
        <v>252</v>
      </c>
      <c r="D690" s="19" t="n">
        <v>744</v>
      </c>
      <c r="E690" s="23" t="n">
        <v>0.1901</v>
      </c>
      <c r="F690" s="19" t="n">
        <v>66</v>
      </c>
      <c r="G690" s="19" t="n">
        <v>7</v>
      </c>
      <c r="H690" s="14" t="n">
        <v>29720</v>
      </c>
      <c r="I690" s="14" t="n">
        <v>27822.62</v>
      </c>
      <c r="J690" s="24" t="n">
        <v>1.127</v>
      </c>
      <c r="K690" s="19" t="n">
        <v>0</v>
      </c>
      <c r="L690" s="13" t="str">
        <f aca="false">IF(D690&gt;=Inputs!$C$14,"Near-prime","Non-prime")</f>
        <v>Near-prime</v>
      </c>
      <c r="M690" s="19" t="n">
        <f aca="false">IF(K690&lt;=Inputs!$C$19,1,0)</f>
        <v>1</v>
      </c>
      <c r="N690" s="19" t="n">
        <f aca="false">IF(F690&lt;=Inputs!$C$20,1,0)</f>
        <v>1</v>
      </c>
      <c r="O690" s="19" t="n">
        <f aca="false">IF(J690&lt;=Inputs!$C$21,1,0)</f>
        <v>1</v>
      </c>
      <c r="P690" s="19" t="n">
        <f aca="false">IF(D690&gt;=Inputs!$C$22,1,0)</f>
        <v>1</v>
      </c>
      <c r="Q690" s="19" t="n">
        <f aca="false">IF(I690&lt;=Inputs!$C$23,1,0)</f>
        <v>1</v>
      </c>
      <c r="R690" s="19" t="n">
        <f aca="false">M690*N690*O690*P690*Q690</f>
        <v>1</v>
      </c>
      <c r="S690" s="14" t="n">
        <f aca="false">I690*R690</f>
        <v>27822.62</v>
      </c>
      <c r="T690" s="19" t="n">
        <f aca="false">IF(F690&gt;72,1,0)</f>
        <v>0</v>
      </c>
      <c r="U690" s="19" t="n">
        <f aca="false">IF(J690&gt;1.25,1,0)</f>
        <v>0</v>
      </c>
    </row>
    <row r="691" customFormat="false" ht="15" hidden="false" customHeight="false" outlineLevel="0" collapsed="false">
      <c r="B691" s="13" t="s">
        <v>911</v>
      </c>
      <c r="C691" s="13" t="s">
        <v>226</v>
      </c>
      <c r="D691" s="19" t="n">
        <v>668</v>
      </c>
      <c r="E691" s="23" t="n">
        <v>0.1893</v>
      </c>
      <c r="F691" s="19" t="n">
        <v>60</v>
      </c>
      <c r="G691" s="19" t="n">
        <v>6</v>
      </c>
      <c r="H691" s="14" t="n">
        <v>14850</v>
      </c>
      <c r="I691" s="14" t="n">
        <v>13911.34</v>
      </c>
      <c r="J691" s="24" t="n">
        <v>0.885</v>
      </c>
      <c r="K691" s="19" t="n">
        <v>0</v>
      </c>
      <c r="L691" s="13" t="str">
        <f aca="false">IF(D691&gt;=Inputs!$C$14,"Near-prime","Non-prime")</f>
        <v>Near-prime</v>
      </c>
      <c r="M691" s="19" t="n">
        <f aca="false">IF(K691&lt;=Inputs!$C$19,1,0)</f>
        <v>1</v>
      </c>
      <c r="N691" s="19" t="n">
        <f aca="false">IF(F691&lt;=Inputs!$C$20,1,0)</f>
        <v>1</v>
      </c>
      <c r="O691" s="19" t="n">
        <f aca="false">IF(J691&lt;=Inputs!$C$21,1,0)</f>
        <v>1</v>
      </c>
      <c r="P691" s="19" t="n">
        <f aca="false">IF(D691&gt;=Inputs!$C$22,1,0)</f>
        <v>1</v>
      </c>
      <c r="Q691" s="19" t="n">
        <f aca="false">IF(I691&lt;=Inputs!$C$23,1,0)</f>
        <v>1</v>
      </c>
      <c r="R691" s="19" t="n">
        <f aca="false">M691*N691*O691*P691*Q691</f>
        <v>1</v>
      </c>
      <c r="S691" s="14" t="n">
        <f aca="false">I691*R691</f>
        <v>13911.34</v>
      </c>
      <c r="T691" s="19" t="n">
        <f aca="false">IF(F691&gt;72,1,0)</f>
        <v>0</v>
      </c>
      <c r="U691" s="19" t="n">
        <f aca="false">IF(J691&gt;1.25,1,0)</f>
        <v>0</v>
      </c>
    </row>
    <row r="692" customFormat="false" ht="15" hidden="false" customHeight="false" outlineLevel="0" collapsed="false">
      <c r="B692" s="13" t="s">
        <v>912</v>
      </c>
      <c r="C692" s="13" t="s">
        <v>257</v>
      </c>
      <c r="D692" s="19" t="n">
        <v>694</v>
      </c>
      <c r="E692" s="23" t="n">
        <v>0.1908</v>
      </c>
      <c r="F692" s="19" t="n">
        <v>60</v>
      </c>
      <c r="G692" s="19" t="n">
        <v>5</v>
      </c>
      <c r="H692" s="14" t="n">
        <v>19760</v>
      </c>
      <c r="I692" s="14" t="n">
        <v>18731.45</v>
      </c>
      <c r="J692" s="24" t="n">
        <v>1.201</v>
      </c>
      <c r="K692" s="19" t="n">
        <v>0</v>
      </c>
      <c r="L692" s="13" t="str">
        <f aca="false">IF(D692&gt;=Inputs!$C$14,"Near-prime","Non-prime")</f>
        <v>Near-prime</v>
      </c>
      <c r="M692" s="19" t="n">
        <f aca="false">IF(K692&lt;=Inputs!$C$19,1,0)</f>
        <v>1</v>
      </c>
      <c r="N692" s="19" t="n">
        <f aca="false">IF(F692&lt;=Inputs!$C$20,1,0)</f>
        <v>1</v>
      </c>
      <c r="O692" s="19" t="n">
        <f aca="false">IF(J692&lt;=Inputs!$C$21,1,0)</f>
        <v>1</v>
      </c>
      <c r="P692" s="19" t="n">
        <f aca="false">IF(D692&gt;=Inputs!$C$22,1,0)</f>
        <v>1</v>
      </c>
      <c r="Q692" s="19" t="n">
        <f aca="false">IF(I692&lt;=Inputs!$C$23,1,0)</f>
        <v>1</v>
      </c>
      <c r="R692" s="19" t="n">
        <f aca="false">M692*N692*O692*P692*Q692</f>
        <v>1</v>
      </c>
      <c r="S692" s="14" t="n">
        <f aca="false">I692*R692</f>
        <v>18731.45</v>
      </c>
      <c r="T692" s="19" t="n">
        <f aca="false">IF(F692&gt;72,1,0)</f>
        <v>0</v>
      </c>
      <c r="U692" s="19" t="n">
        <f aca="false">IF(J692&gt;1.25,1,0)</f>
        <v>0</v>
      </c>
    </row>
    <row r="693" customFormat="false" ht="15" hidden="false" customHeight="false" outlineLevel="0" collapsed="false">
      <c r="B693" s="13" t="s">
        <v>913</v>
      </c>
      <c r="C693" s="13" t="s">
        <v>221</v>
      </c>
      <c r="D693" s="19" t="n">
        <v>610</v>
      </c>
      <c r="E693" s="23" t="n">
        <v>0.2211</v>
      </c>
      <c r="F693" s="19" t="n">
        <v>72</v>
      </c>
      <c r="G693" s="19" t="n">
        <v>10</v>
      </c>
      <c r="H693" s="14" t="n">
        <v>27140</v>
      </c>
      <c r="I693" s="14" t="n">
        <v>25143.59</v>
      </c>
      <c r="J693" s="24" t="n">
        <v>1.228</v>
      </c>
      <c r="K693" s="19" t="n">
        <v>0</v>
      </c>
      <c r="L693" s="13" t="str">
        <f aca="false">IF(D693&gt;=Inputs!$C$14,"Near-prime","Non-prime")</f>
        <v>Non-prime</v>
      </c>
      <c r="M693" s="19" t="n">
        <f aca="false">IF(K693&lt;=Inputs!$C$19,1,0)</f>
        <v>1</v>
      </c>
      <c r="N693" s="19" t="n">
        <f aca="false">IF(F693&lt;=Inputs!$C$20,1,0)</f>
        <v>1</v>
      </c>
      <c r="O693" s="19" t="n">
        <f aca="false">IF(J693&lt;=Inputs!$C$21,1,0)</f>
        <v>1</v>
      </c>
      <c r="P693" s="19" t="n">
        <f aca="false">IF(D693&gt;=Inputs!$C$22,1,0)</f>
        <v>1</v>
      </c>
      <c r="Q693" s="19" t="n">
        <f aca="false">IF(I693&lt;=Inputs!$C$23,1,0)</f>
        <v>1</v>
      </c>
      <c r="R693" s="19" t="n">
        <f aca="false">M693*N693*O693*P693*Q693</f>
        <v>1</v>
      </c>
      <c r="S693" s="14" t="n">
        <f aca="false">I693*R693</f>
        <v>25143.59</v>
      </c>
      <c r="T693" s="19" t="n">
        <f aca="false">IF(F693&gt;72,1,0)</f>
        <v>0</v>
      </c>
      <c r="U693" s="19" t="n">
        <f aca="false">IF(J693&gt;1.25,1,0)</f>
        <v>0</v>
      </c>
    </row>
    <row r="694" customFormat="false" ht="15" hidden="false" customHeight="false" outlineLevel="0" collapsed="false">
      <c r="B694" s="13" t="s">
        <v>914</v>
      </c>
      <c r="C694" s="13" t="s">
        <v>252</v>
      </c>
      <c r="D694" s="19" t="n">
        <v>633</v>
      </c>
      <c r="E694" s="23" t="n">
        <v>0.2031</v>
      </c>
      <c r="F694" s="19" t="n">
        <v>72</v>
      </c>
      <c r="G694" s="19" t="n">
        <v>10</v>
      </c>
      <c r="H694" s="14" t="n">
        <v>28600</v>
      </c>
      <c r="I694" s="14" t="n">
        <v>26374.25</v>
      </c>
      <c r="J694" s="24" t="n">
        <v>1.049</v>
      </c>
      <c r="K694" s="19" t="n">
        <v>0</v>
      </c>
      <c r="L694" s="13" t="str">
        <f aca="false">IF(D694&gt;=Inputs!$C$14,"Near-prime","Non-prime")</f>
        <v>Near-prime</v>
      </c>
      <c r="M694" s="19" t="n">
        <f aca="false">IF(K694&lt;=Inputs!$C$19,1,0)</f>
        <v>1</v>
      </c>
      <c r="N694" s="19" t="n">
        <f aca="false">IF(F694&lt;=Inputs!$C$20,1,0)</f>
        <v>1</v>
      </c>
      <c r="O694" s="19" t="n">
        <f aca="false">IF(J694&lt;=Inputs!$C$21,1,0)</f>
        <v>1</v>
      </c>
      <c r="P694" s="19" t="n">
        <f aca="false">IF(D694&gt;=Inputs!$C$22,1,0)</f>
        <v>1</v>
      </c>
      <c r="Q694" s="19" t="n">
        <f aca="false">IF(I694&lt;=Inputs!$C$23,1,0)</f>
        <v>1</v>
      </c>
      <c r="R694" s="19" t="n">
        <f aca="false">M694*N694*O694*P694*Q694</f>
        <v>1</v>
      </c>
      <c r="S694" s="14" t="n">
        <f aca="false">I694*R694</f>
        <v>26374.25</v>
      </c>
      <c r="T694" s="19" t="n">
        <f aca="false">IF(F694&gt;72,1,0)</f>
        <v>0</v>
      </c>
      <c r="U694" s="19" t="n">
        <f aca="false">IF(J694&gt;1.25,1,0)</f>
        <v>0</v>
      </c>
    </row>
    <row r="695" customFormat="false" ht="15" hidden="false" customHeight="false" outlineLevel="0" collapsed="false">
      <c r="B695" s="13" t="s">
        <v>915</v>
      </c>
      <c r="C695" s="13" t="s">
        <v>228</v>
      </c>
      <c r="D695" s="19" t="n">
        <v>705</v>
      </c>
      <c r="E695" s="23" t="n">
        <v>0.196</v>
      </c>
      <c r="F695" s="19" t="n">
        <v>84</v>
      </c>
      <c r="G695" s="19" t="n">
        <v>1</v>
      </c>
      <c r="H695" s="14" t="n">
        <v>23880</v>
      </c>
      <c r="I695" s="14" t="n">
        <v>23745.49</v>
      </c>
      <c r="J695" s="24" t="n">
        <v>1.355</v>
      </c>
      <c r="K695" s="19" t="n">
        <v>0</v>
      </c>
      <c r="L695" s="13" t="str">
        <f aca="false">IF(D695&gt;=Inputs!$C$14,"Near-prime","Non-prime")</f>
        <v>Near-prime</v>
      </c>
      <c r="M695" s="19" t="n">
        <f aca="false">IF(K695&lt;=Inputs!$C$19,1,0)</f>
        <v>1</v>
      </c>
      <c r="N695" s="19" t="n">
        <f aca="false">IF(F695&lt;=Inputs!$C$20,1,0)</f>
        <v>0</v>
      </c>
      <c r="O695" s="19" t="n">
        <f aca="false">IF(J695&lt;=Inputs!$C$21,1,0)</f>
        <v>1</v>
      </c>
      <c r="P695" s="19" t="n">
        <f aca="false">IF(D695&gt;=Inputs!$C$22,1,0)</f>
        <v>1</v>
      </c>
      <c r="Q695" s="19" t="n">
        <f aca="false">IF(I695&lt;=Inputs!$C$23,1,0)</f>
        <v>1</v>
      </c>
      <c r="R695" s="19" t="n">
        <f aca="false">M695*N695*O695*P695*Q695</f>
        <v>0</v>
      </c>
      <c r="S695" s="14" t="n">
        <f aca="false">I695*R695</f>
        <v>0</v>
      </c>
      <c r="T695" s="19" t="n">
        <f aca="false">IF(F695&gt;72,1,0)</f>
        <v>1</v>
      </c>
      <c r="U695" s="19" t="n">
        <f aca="false">IF(J695&gt;1.25,1,0)</f>
        <v>1</v>
      </c>
    </row>
    <row r="696" customFormat="false" ht="15" hidden="false" customHeight="false" outlineLevel="0" collapsed="false">
      <c r="B696" s="13" t="s">
        <v>916</v>
      </c>
      <c r="C696" s="13" t="s">
        <v>217</v>
      </c>
      <c r="D696" s="19" t="n">
        <v>649</v>
      </c>
      <c r="E696" s="23" t="n">
        <v>0.2052</v>
      </c>
      <c r="F696" s="19" t="n">
        <v>72</v>
      </c>
      <c r="G696" s="19" t="n">
        <v>4</v>
      </c>
      <c r="H696" s="14" t="n">
        <v>20910</v>
      </c>
      <c r="I696" s="14" t="n">
        <v>20296.01</v>
      </c>
      <c r="J696" s="24" t="n">
        <v>1.02</v>
      </c>
      <c r="K696" s="19" t="n">
        <v>0</v>
      </c>
      <c r="L696" s="13" t="str">
        <f aca="false">IF(D696&gt;=Inputs!$C$14,"Near-prime","Non-prime")</f>
        <v>Near-prime</v>
      </c>
      <c r="M696" s="19" t="n">
        <f aca="false">IF(K696&lt;=Inputs!$C$19,1,0)</f>
        <v>1</v>
      </c>
      <c r="N696" s="19" t="n">
        <f aca="false">IF(F696&lt;=Inputs!$C$20,1,0)</f>
        <v>1</v>
      </c>
      <c r="O696" s="19" t="n">
        <f aca="false">IF(J696&lt;=Inputs!$C$21,1,0)</f>
        <v>1</v>
      </c>
      <c r="P696" s="19" t="n">
        <f aca="false">IF(D696&gt;=Inputs!$C$22,1,0)</f>
        <v>1</v>
      </c>
      <c r="Q696" s="19" t="n">
        <f aca="false">IF(I696&lt;=Inputs!$C$23,1,0)</f>
        <v>1</v>
      </c>
      <c r="R696" s="19" t="n">
        <f aca="false">M696*N696*O696*P696*Q696</f>
        <v>1</v>
      </c>
      <c r="S696" s="14" t="n">
        <f aca="false">I696*R696</f>
        <v>20296.01</v>
      </c>
      <c r="T696" s="19" t="n">
        <f aca="false">IF(F696&gt;72,1,0)</f>
        <v>0</v>
      </c>
      <c r="U696" s="19" t="n">
        <f aca="false">IF(J696&gt;1.25,1,0)</f>
        <v>0</v>
      </c>
    </row>
    <row r="697" customFormat="false" ht="15" hidden="false" customHeight="false" outlineLevel="0" collapsed="false">
      <c r="B697" s="13" t="s">
        <v>917</v>
      </c>
      <c r="C697" s="13" t="s">
        <v>252</v>
      </c>
      <c r="D697" s="19" t="n">
        <v>579</v>
      </c>
      <c r="E697" s="23" t="n">
        <v>0.2375</v>
      </c>
      <c r="F697" s="19" t="n">
        <v>84</v>
      </c>
      <c r="G697" s="19" t="n">
        <v>6</v>
      </c>
      <c r="H697" s="14" t="n">
        <v>27180</v>
      </c>
      <c r="I697" s="14" t="n">
        <v>26370.08</v>
      </c>
      <c r="J697" s="24" t="n">
        <v>1.172</v>
      </c>
      <c r="K697" s="19" t="n">
        <v>0</v>
      </c>
      <c r="L697" s="13" t="str">
        <f aca="false">IF(D697&gt;=Inputs!$C$14,"Near-prime","Non-prime")</f>
        <v>Non-prime</v>
      </c>
      <c r="M697" s="19" t="n">
        <f aca="false">IF(K697&lt;=Inputs!$C$19,1,0)</f>
        <v>1</v>
      </c>
      <c r="N697" s="19" t="n">
        <f aca="false">IF(F697&lt;=Inputs!$C$20,1,0)</f>
        <v>0</v>
      </c>
      <c r="O697" s="19" t="n">
        <f aca="false">IF(J697&lt;=Inputs!$C$21,1,0)</f>
        <v>1</v>
      </c>
      <c r="P697" s="19" t="n">
        <f aca="false">IF(D697&gt;=Inputs!$C$22,1,0)</f>
        <v>1</v>
      </c>
      <c r="Q697" s="19" t="n">
        <f aca="false">IF(I697&lt;=Inputs!$C$23,1,0)</f>
        <v>1</v>
      </c>
      <c r="R697" s="19" t="n">
        <f aca="false">M697*N697*O697*P697*Q697</f>
        <v>0</v>
      </c>
      <c r="S697" s="14" t="n">
        <f aca="false">I697*R697</f>
        <v>0</v>
      </c>
      <c r="T697" s="19" t="n">
        <f aca="false">IF(F697&gt;72,1,0)</f>
        <v>1</v>
      </c>
      <c r="U697" s="19" t="n">
        <f aca="false">IF(J697&gt;1.25,1,0)</f>
        <v>0</v>
      </c>
    </row>
    <row r="698" customFormat="false" ht="15" hidden="false" customHeight="false" outlineLevel="0" collapsed="false">
      <c r="B698" s="13" t="s">
        <v>918</v>
      </c>
      <c r="C698" s="13" t="s">
        <v>226</v>
      </c>
      <c r="D698" s="19" t="n">
        <v>597</v>
      </c>
      <c r="E698" s="23" t="n">
        <v>0.2277</v>
      </c>
      <c r="F698" s="19" t="n">
        <v>66</v>
      </c>
      <c r="G698" s="19" t="n">
        <v>1</v>
      </c>
      <c r="H698" s="14" t="n">
        <v>25980</v>
      </c>
      <c r="I698" s="14" t="n">
        <v>25779.42</v>
      </c>
      <c r="J698" s="24" t="n">
        <v>0.975</v>
      </c>
      <c r="K698" s="19" t="n">
        <v>0</v>
      </c>
      <c r="L698" s="13" t="str">
        <f aca="false">IF(D698&gt;=Inputs!$C$14,"Near-prime","Non-prime")</f>
        <v>Non-prime</v>
      </c>
      <c r="M698" s="19" t="n">
        <f aca="false">IF(K698&lt;=Inputs!$C$19,1,0)</f>
        <v>1</v>
      </c>
      <c r="N698" s="19" t="n">
        <f aca="false">IF(F698&lt;=Inputs!$C$20,1,0)</f>
        <v>1</v>
      </c>
      <c r="O698" s="19" t="n">
        <f aca="false">IF(J698&lt;=Inputs!$C$21,1,0)</f>
        <v>1</v>
      </c>
      <c r="P698" s="19" t="n">
        <f aca="false">IF(D698&gt;=Inputs!$C$22,1,0)</f>
        <v>1</v>
      </c>
      <c r="Q698" s="19" t="n">
        <f aca="false">IF(I698&lt;=Inputs!$C$23,1,0)</f>
        <v>1</v>
      </c>
      <c r="R698" s="19" t="n">
        <f aca="false">M698*N698*O698*P698*Q698</f>
        <v>1</v>
      </c>
      <c r="S698" s="14" t="n">
        <f aca="false">I698*R698</f>
        <v>25779.42</v>
      </c>
      <c r="T698" s="19" t="n">
        <f aca="false">IF(F698&gt;72,1,0)</f>
        <v>0</v>
      </c>
      <c r="U698" s="19" t="n">
        <f aca="false">IF(J698&gt;1.25,1,0)</f>
        <v>0</v>
      </c>
    </row>
    <row r="699" customFormat="false" ht="15" hidden="false" customHeight="false" outlineLevel="0" collapsed="false">
      <c r="B699" s="13" t="s">
        <v>919</v>
      </c>
      <c r="C699" s="13" t="s">
        <v>221</v>
      </c>
      <c r="D699" s="19" t="n">
        <v>641</v>
      </c>
      <c r="E699" s="23" t="n">
        <v>0.2105</v>
      </c>
      <c r="F699" s="19" t="n">
        <v>72</v>
      </c>
      <c r="G699" s="19" t="n">
        <v>6</v>
      </c>
      <c r="H699" s="14" t="n">
        <v>23940</v>
      </c>
      <c r="I699" s="14" t="n">
        <v>22885.83</v>
      </c>
      <c r="J699" s="24" t="n">
        <v>1.006</v>
      </c>
      <c r="K699" s="19" t="n">
        <v>0</v>
      </c>
      <c r="L699" s="13" t="str">
        <f aca="false">IF(D699&gt;=Inputs!$C$14,"Near-prime","Non-prime")</f>
        <v>Near-prime</v>
      </c>
      <c r="M699" s="19" t="n">
        <f aca="false">IF(K699&lt;=Inputs!$C$19,1,0)</f>
        <v>1</v>
      </c>
      <c r="N699" s="19" t="n">
        <f aca="false">IF(F699&lt;=Inputs!$C$20,1,0)</f>
        <v>1</v>
      </c>
      <c r="O699" s="19" t="n">
        <f aca="false">IF(J699&lt;=Inputs!$C$21,1,0)</f>
        <v>1</v>
      </c>
      <c r="P699" s="19" t="n">
        <f aca="false">IF(D699&gt;=Inputs!$C$22,1,0)</f>
        <v>1</v>
      </c>
      <c r="Q699" s="19" t="n">
        <f aca="false">IF(I699&lt;=Inputs!$C$23,1,0)</f>
        <v>1</v>
      </c>
      <c r="R699" s="19" t="n">
        <f aca="false">M699*N699*O699*P699*Q699</f>
        <v>1</v>
      </c>
      <c r="S699" s="14" t="n">
        <f aca="false">I699*R699</f>
        <v>22885.83</v>
      </c>
      <c r="T699" s="19" t="n">
        <f aca="false">IF(F699&gt;72,1,0)</f>
        <v>0</v>
      </c>
      <c r="U699" s="19" t="n">
        <f aca="false">IF(J699&gt;1.25,1,0)</f>
        <v>0</v>
      </c>
    </row>
    <row r="700" customFormat="false" ht="15" hidden="false" customHeight="false" outlineLevel="0" collapsed="false">
      <c r="B700" s="13" t="s">
        <v>920</v>
      </c>
      <c r="C700" s="13" t="s">
        <v>237</v>
      </c>
      <c r="D700" s="19" t="n">
        <v>726</v>
      </c>
      <c r="E700" s="23" t="n">
        <v>0.2171</v>
      </c>
      <c r="F700" s="19" t="n">
        <v>84</v>
      </c>
      <c r="G700" s="19" t="n">
        <v>0</v>
      </c>
      <c r="H700" s="14" t="n">
        <v>23880</v>
      </c>
      <c r="I700" s="14" t="n">
        <v>23880</v>
      </c>
      <c r="J700" s="24" t="n">
        <v>1.19</v>
      </c>
      <c r="K700" s="19" t="n">
        <v>0</v>
      </c>
      <c r="L700" s="13" t="str">
        <f aca="false">IF(D700&gt;=Inputs!$C$14,"Near-prime","Non-prime")</f>
        <v>Near-prime</v>
      </c>
      <c r="M700" s="19" t="n">
        <f aca="false">IF(K700&lt;=Inputs!$C$19,1,0)</f>
        <v>1</v>
      </c>
      <c r="N700" s="19" t="n">
        <f aca="false">IF(F700&lt;=Inputs!$C$20,1,0)</f>
        <v>0</v>
      </c>
      <c r="O700" s="19" t="n">
        <f aca="false">IF(J700&lt;=Inputs!$C$21,1,0)</f>
        <v>1</v>
      </c>
      <c r="P700" s="19" t="n">
        <f aca="false">IF(D700&gt;=Inputs!$C$22,1,0)</f>
        <v>1</v>
      </c>
      <c r="Q700" s="19" t="n">
        <f aca="false">IF(I700&lt;=Inputs!$C$23,1,0)</f>
        <v>1</v>
      </c>
      <c r="R700" s="19" t="n">
        <f aca="false">M700*N700*O700*P700*Q700</f>
        <v>0</v>
      </c>
      <c r="S700" s="14" t="n">
        <f aca="false">I700*R700</f>
        <v>0</v>
      </c>
      <c r="T700" s="19" t="n">
        <f aca="false">IF(F700&gt;72,1,0)</f>
        <v>1</v>
      </c>
      <c r="U700" s="19" t="n">
        <f aca="false">IF(J700&gt;1.25,1,0)</f>
        <v>0</v>
      </c>
    </row>
    <row r="701" customFormat="false" ht="15" hidden="false" customHeight="false" outlineLevel="0" collapsed="false">
      <c r="B701" s="13" t="s">
        <v>921</v>
      </c>
      <c r="C701" s="13" t="s">
        <v>257</v>
      </c>
      <c r="D701" s="19" t="n">
        <v>672</v>
      </c>
      <c r="E701" s="23" t="n">
        <v>0.2057</v>
      </c>
      <c r="F701" s="19" t="n">
        <v>75</v>
      </c>
      <c r="G701" s="19" t="n">
        <v>5</v>
      </c>
      <c r="H701" s="14" t="n">
        <v>26480</v>
      </c>
      <c r="I701" s="14" t="n">
        <v>25568.85</v>
      </c>
      <c r="J701" s="24" t="n">
        <v>1.347</v>
      </c>
      <c r="K701" s="19" t="n">
        <v>0</v>
      </c>
      <c r="L701" s="13" t="str">
        <f aca="false">IF(D701&gt;=Inputs!$C$14,"Near-prime","Non-prime")</f>
        <v>Near-prime</v>
      </c>
      <c r="M701" s="19" t="n">
        <f aca="false">IF(K701&lt;=Inputs!$C$19,1,0)</f>
        <v>1</v>
      </c>
      <c r="N701" s="19" t="n">
        <f aca="false">IF(F701&lt;=Inputs!$C$20,1,0)</f>
        <v>1</v>
      </c>
      <c r="O701" s="19" t="n">
        <f aca="false">IF(J701&lt;=Inputs!$C$21,1,0)</f>
        <v>1</v>
      </c>
      <c r="P701" s="19" t="n">
        <f aca="false">IF(D701&gt;=Inputs!$C$22,1,0)</f>
        <v>1</v>
      </c>
      <c r="Q701" s="19" t="n">
        <f aca="false">IF(I701&lt;=Inputs!$C$23,1,0)</f>
        <v>1</v>
      </c>
      <c r="R701" s="19" t="n">
        <f aca="false">M701*N701*O701*P701*Q701</f>
        <v>1</v>
      </c>
      <c r="S701" s="14" t="n">
        <f aca="false">I701*R701</f>
        <v>25568.85</v>
      </c>
      <c r="T701" s="19" t="n">
        <f aca="false">IF(F701&gt;72,1,0)</f>
        <v>1</v>
      </c>
      <c r="U701" s="19" t="n">
        <f aca="false">IF(J701&gt;1.25,1,0)</f>
        <v>1</v>
      </c>
    </row>
    <row r="702" customFormat="false" ht="15" hidden="false" customHeight="false" outlineLevel="0" collapsed="false">
      <c r="B702" s="13" t="s">
        <v>922</v>
      </c>
      <c r="C702" s="13" t="s">
        <v>237</v>
      </c>
      <c r="D702" s="19" t="n">
        <v>604</v>
      </c>
      <c r="E702" s="23" t="n">
        <v>0.2091</v>
      </c>
      <c r="F702" s="19" t="n">
        <v>60</v>
      </c>
      <c r="G702" s="19" t="n">
        <v>4</v>
      </c>
      <c r="H702" s="14" t="n">
        <v>19150</v>
      </c>
      <c r="I702" s="14" t="n">
        <v>18396.94</v>
      </c>
      <c r="J702" s="24" t="n">
        <v>0.806</v>
      </c>
      <c r="K702" s="19" t="n">
        <v>0</v>
      </c>
      <c r="L702" s="13" t="str">
        <f aca="false">IF(D702&gt;=Inputs!$C$14,"Near-prime","Non-prime")</f>
        <v>Non-prime</v>
      </c>
      <c r="M702" s="19" t="n">
        <f aca="false">IF(K702&lt;=Inputs!$C$19,1,0)</f>
        <v>1</v>
      </c>
      <c r="N702" s="19" t="n">
        <f aca="false">IF(F702&lt;=Inputs!$C$20,1,0)</f>
        <v>1</v>
      </c>
      <c r="O702" s="19" t="n">
        <f aca="false">IF(J702&lt;=Inputs!$C$21,1,0)</f>
        <v>1</v>
      </c>
      <c r="P702" s="19" t="n">
        <f aca="false">IF(D702&gt;=Inputs!$C$22,1,0)</f>
        <v>1</v>
      </c>
      <c r="Q702" s="19" t="n">
        <f aca="false">IF(I702&lt;=Inputs!$C$23,1,0)</f>
        <v>1</v>
      </c>
      <c r="R702" s="19" t="n">
        <f aca="false">M702*N702*O702*P702*Q702</f>
        <v>1</v>
      </c>
      <c r="S702" s="14" t="n">
        <f aca="false">I702*R702</f>
        <v>18396.94</v>
      </c>
      <c r="T702" s="19" t="n">
        <f aca="false">IF(F702&gt;72,1,0)</f>
        <v>0</v>
      </c>
      <c r="U702" s="19" t="n">
        <f aca="false">IF(J702&gt;1.25,1,0)</f>
        <v>0</v>
      </c>
    </row>
    <row r="703" customFormat="false" ht="15" hidden="false" customHeight="false" outlineLevel="0" collapsed="false">
      <c r="B703" s="13" t="s">
        <v>923</v>
      </c>
      <c r="C703" s="13" t="s">
        <v>252</v>
      </c>
      <c r="D703" s="19" t="n">
        <v>643</v>
      </c>
      <c r="E703" s="23" t="n">
        <v>0.229</v>
      </c>
      <c r="F703" s="19" t="n">
        <v>60</v>
      </c>
      <c r="G703" s="19" t="n">
        <v>6</v>
      </c>
      <c r="H703" s="14" t="n">
        <v>33400</v>
      </c>
      <c r="I703" s="14" t="n">
        <v>31497.68</v>
      </c>
      <c r="J703" s="24" t="n">
        <v>1.358</v>
      </c>
      <c r="K703" s="19" t="n">
        <v>0</v>
      </c>
      <c r="L703" s="13" t="str">
        <f aca="false">IF(D703&gt;=Inputs!$C$14,"Near-prime","Non-prime")</f>
        <v>Near-prime</v>
      </c>
      <c r="M703" s="19" t="n">
        <f aca="false">IF(K703&lt;=Inputs!$C$19,1,0)</f>
        <v>1</v>
      </c>
      <c r="N703" s="19" t="n">
        <f aca="false">IF(F703&lt;=Inputs!$C$20,1,0)</f>
        <v>1</v>
      </c>
      <c r="O703" s="19" t="n">
        <f aca="false">IF(J703&lt;=Inputs!$C$21,1,0)</f>
        <v>1</v>
      </c>
      <c r="P703" s="19" t="n">
        <f aca="false">IF(D703&gt;=Inputs!$C$22,1,0)</f>
        <v>1</v>
      </c>
      <c r="Q703" s="19" t="n">
        <f aca="false">IF(I703&lt;=Inputs!$C$23,1,0)</f>
        <v>1</v>
      </c>
      <c r="R703" s="19" t="n">
        <f aca="false">M703*N703*O703*P703*Q703</f>
        <v>1</v>
      </c>
      <c r="S703" s="14" t="n">
        <f aca="false">I703*R703</f>
        <v>31497.68</v>
      </c>
      <c r="T703" s="19" t="n">
        <f aca="false">IF(F703&gt;72,1,0)</f>
        <v>0</v>
      </c>
      <c r="U703" s="19" t="n">
        <f aca="false">IF(J703&gt;1.25,1,0)</f>
        <v>1</v>
      </c>
    </row>
    <row r="704" customFormat="false" ht="15" hidden="false" customHeight="false" outlineLevel="0" collapsed="false">
      <c r="B704" s="13" t="s">
        <v>924</v>
      </c>
      <c r="C704" s="13" t="s">
        <v>237</v>
      </c>
      <c r="D704" s="19" t="n">
        <v>648</v>
      </c>
      <c r="E704" s="23" t="n">
        <v>0.2021</v>
      </c>
      <c r="F704" s="19" t="n">
        <v>72</v>
      </c>
      <c r="G704" s="19" t="n">
        <v>3</v>
      </c>
      <c r="H704" s="14" t="n">
        <v>36800</v>
      </c>
      <c r="I704" s="14" t="n">
        <v>35987.95</v>
      </c>
      <c r="J704" s="24" t="n">
        <v>1.17</v>
      </c>
      <c r="K704" s="19" t="n">
        <v>0</v>
      </c>
      <c r="L704" s="13" t="str">
        <f aca="false">IF(D704&gt;=Inputs!$C$14,"Near-prime","Non-prime")</f>
        <v>Near-prime</v>
      </c>
      <c r="M704" s="19" t="n">
        <f aca="false">IF(K704&lt;=Inputs!$C$19,1,0)</f>
        <v>1</v>
      </c>
      <c r="N704" s="19" t="n">
        <f aca="false">IF(F704&lt;=Inputs!$C$20,1,0)</f>
        <v>1</v>
      </c>
      <c r="O704" s="19" t="n">
        <f aca="false">IF(J704&lt;=Inputs!$C$21,1,0)</f>
        <v>1</v>
      </c>
      <c r="P704" s="19" t="n">
        <f aca="false">IF(D704&gt;=Inputs!$C$22,1,0)</f>
        <v>1</v>
      </c>
      <c r="Q704" s="19" t="n">
        <f aca="false">IF(I704&lt;=Inputs!$C$23,1,0)</f>
        <v>1</v>
      </c>
      <c r="R704" s="19" t="n">
        <f aca="false">M704*N704*O704*P704*Q704</f>
        <v>1</v>
      </c>
      <c r="S704" s="14" t="n">
        <f aca="false">I704*R704</f>
        <v>35987.95</v>
      </c>
      <c r="T704" s="19" t="n">
        <f aca="false">IF(F704&gt;72,1,0)</f>
        <v>0</v>
      </c>
      <c r="U704" s="19" t="n">
        <f aca="false">IF(J704&gt;1.25,1,0)</f>
        <v>0</v>
      </c>
    </row>
    <row r="705" customFormat="false" ht="15" hidden="false" customHeight="false" outlineLevel="0" collapsed="false">
      <c r="B705" s="13" t="s">
        <v>925</v>
      </c>
      <c r="C705" s="13" t="s">
        <v>237</v>
      </c>
      <c r="D705" s="19" t="n">
        <v>557</v>
      </c>
      <c r="E705" s="23" t="n">
        <v>0.2223</v>
      </c>
      <c r="F705" s="19" t="n">
        <v>66</v>
      </c>
      <c r="G705" s="19" t="n">
        <v>7</v>
      </c>
      <c r="H705" s="14" t="n">
        <v>21830</v>
      </c>
      <c r="I705" s="14" t="n">
        <v>20560.88</v>
      </c>
      <c r="J705" s="24" t="n">
        <v>0.783</v>
      </c>
      <c r="K705" s="19" t="n">
        <v>0</v>
      </c>
      <c r="L705" s="13" t="str">
        <f aca="false">IF(D705&gt;=Inputs!$C$14,"Near-prime","Non-prime")</f>
        <v>Non-prime</v>
      </c>
      <c r="M705" s="19" t="n">
        <f aca="false">IF(K705&lt;=Inputs!$C$19,1,0)</f>
        <v>1</v>
      </c>
      <c r="N705" s="19" t="n">
        <f aca="false">IF(F705&lt;=Inputs!$C$20,1,0)</f>
        <v>1</v>
      </c>
      <c r="O705" s="19" t="n">
        <f aca="false">IF(J705&lt;=Inputs!$C$21,1,0)</f>
        <v>1</v>
      </c>
      <c r="P705" s="19" t="n">
        <f aca="false">IF(D705&gt;=Inputs!$C$22,1,0)</f>
        <v>1</v>
      </c>
      <c r="Q705" s="19" t="n">
        <f aca="false">IF(I705&lt;=Inputs!$C$23,1,0)</f>
        <v>1</v>
      </c>
      <c r="R705" s="19" t="n">
        <f aca="false">M705*N705*O705*P705*Q705</f>
        <v>1</v>
      </c>
      <c r="S705" s="14" t="n">
        <f aca="false">I705*R705</f>
        <v>20560.88</v>
      </c>
      <c r="T705" s="19" t="n">
        <f aca="false">IF(F705&gt;72,1,0)</f>
        <v>0</v>
      </c>
      <c r="U705" s="19" t="n">
        <f aca="false">IF(J705&gt;1.25,1,0)</f>
        <v>0</v>
      </c>
    </row>
    <row r="706" customFormat="false" ht="15" hidden="false" customHeight="false" outlineLevel="0" collapsed="false">
      <c r="B706" s="13" t="s">
        <v>926</v>
      </c>
      <c r="C706" s="13" t="s">
        <v>223</v>
      </c>
      <c r="D706" s="19" t="n">
        <v>643</v>
      </c>
      <c r="E706" s="23" t="n">
        <v>0.1957</v>
      </c>
      <c r="F706" s="19" t="n">
        <v>48</v>
      </c>
      <c r="G706" s="19" t="n">
        <v>6</v>
      </c>
      <c r="H706" s="14" t="n">
        <v>10480</v>
      </c>
      <c r="I706" s="14" t="n">
        <v>9569.98</v>
      </c>
      <c r="J706" s="24" t="n">
        <v>0.97</v>
      </c>
      <c r="K706" s="19" t="n">
        <v>0</v>
      </c>
      <c r="L706" s="13" t="str">
        <f aca="false">IF(D706&gt;=Inputs!$C$14,"Near-prime","Non-prime")</f>
        <v>Near-prime</v>
      </c>
      <c r="M706" s="19" t="n">
        <f aca="false">IF(K706&lt;=Inputs!$C$19,1,0)</f>
        <v>1</v>
      </c>
      <c r="N706" s="19" t="n">
        <f aca="false">IF(F706&lt;=Inputs!$C$20,1,0)</f>
        <v>1</v>
      </c>
      <c r="O706" s="19" t="n">
        <f aca="false">IF(J706&lt;=Inputs!$C$21,1,0)</f>
        <v>1</v>
      </c>
      <c r="P706" s="19" t="n">
        <f aca="false">IF(D706&gt;=Inputs!$C$22,1,0)</f>
        <v>1</v>
      </c>
      <c r="Q706" s="19" t="n">
        <f aca="false">IF(I706&lt;=Inputs!$C$23,1,0)</f>
        <v>1</v>
      </c>
      <c r="R706" s="19" t="n">
        <f aca="false">M706*N706*O706*P706*Q706</f>
        <v>1</v>
      </c>
      <c r="S706" s="14" t="n">
        <f aca="false">I706*R706</f>
        <v>9569.98</v>
      </c>
      <c r="T706" s="19" t="n">
        <f aca="false">IF(F706&gt;72,1,0)</f>
        <v>0</v>
      </c>
      <c r="U706" s="19" t="n">
        <f aca="false">IF(J706&gt;1.25,1,0)</f>
        <v>0</v>
      </c>
    </row>
    <row r="707" customFormat="false" ht="15" hidden="false" customHeight="false" outlineLevel="0" collapsed="false">
      <c r="B707" s="13" t="s">
        <v>927</v>
      </c>
      <c r="C707" s="13" t="s">
        <v>217</v>
      </c>
      <c r="D707" s="19" t="n">
        <v>626</v>
      </c>
      <c r="E707" s="23" t="n">
        <v>0.2097</v>
      </c>
      <c r="F707" s="19" t="n">
        <v>84</v>
      </c>
      <c r="G707" s="19" t="n">
        <v>10</v>
      </c>
      <c r="H707" s="14" t="n">
        <v>15540</v>
      </c>
      <c r="I707" s="14" t="n">
        <v>14645.32</v>
      </c>
      <c r="J707" s="24" t="n">
        <v>1.259</v>
      </c>
      <c r="K707" s="19" t="n">
        <v>0</v>
      </c>
      <c r="L707" s="13" t="str">
        <f aca="false">IF(D707&gt;=Inputs!$C$14,"Near-prime","Non-prime")</f>
        <v>Near-prime</v>
      </c>
      <c r="M707" s="19" t="n">
        <f aca="false">IF(K707&lt;=Inputs!$C$19,1,0)</f>
        <v>1</v>
      </c>
      <c r="N707" s="19" t="n">
        <f aca="false">IF(F707&lt;=Inputs!$C$20,1,0)</f>
        <v>0</v>
      </c>
      <c r="O707" s="19" t="n">
        <f aca="false">IF(J707&lt;=Inputs!$C$21,1,0)</f>
        <v>1</v>
      </c>
      <c r="P707" s="19" t="n">
        <f aca="false">IF(D707&gt;=Inputs!$C$22,1,0)</f>
        <v>1</v>
      </c>
      <c r="Q707" s="19" t="n">
        <f aca="false">IF(I707&lt;=Inputs!$C$23,1,0)</f>
        <v>1</v>
      </c>
      <c r="R707" s="19" t="n">
        <f aca="false">M707*N707*O707*P707*Q707</f>
        <v>0</v>
      </c>
      <c r="S707" s="14" t="n">
        <f aca="false">I707*R707</f>
        <v>0</v>
      </c>
      <c r="T707" s="19" t="n">
        <f aca="false">IF(F707&gt;72,1,0)</f>
        <v>1</v>
      </c>
      <c r="U707" s="19" t="n">
        <f aca="false">IF(J707&gt;1.25,1,0)</f>
        <v>1</v>
      </c>
    </row>
    <row r="708" customFormat="false" ht="15" hidden="false" customHeight="false" outlineLevel="0" collapsed="false">
      <c r="B708" s="13" t="s">
        <v>928</v>
      </c>
      <c r="C708" s="13" t="s">
        <v>228</v>
      </c>
      <c r="D708" s="19" t="n">
        <v>637</v>
      </c>
      <c r="E708" s="23" t="n">
        <v>0.2181</v>
      </c>
      <c r="F708" s="19" t="n">
        <v>66</v>
      </c>
      <c r="G708" s="19" t="n">
        <v>8</v>
      </c>
      <c r="H708" s="14" t="n">
        <v>30200</v>
      </c>
      <c r="I708" s="14" t="n">
        <v>28149.78</v>
      </c>
      <c r="J708" s="24" t="n">
        <v>0.801</v>
      </c>
      <c r="K708" s="19" t="n">
        <v>0</v>
      </c>
      <c r="L708" s="13" t="str">
        <f aca="false">IF(D708&gt;=Inputs!$C$14,"Near-prime","Non-prime")</f>
        <v>Near-prime</v>
      </c>
      <c r="M708" s="19" t="n">
        <f aca="false">IF(K708&lt;=Inputs!$C$19,1,0)</f>
        <v>1</v>
      </c>
      <c r="N708" s="19" t="n">
        <f aca="false">IF(F708&lt;=Inputs!$C$20,1,0)</f>
        <v>1</v>
      </c>
      <c r="O708" s="19" t="n">
        <f aca="false">IF(J708&lt;=Inputs!$C$21,1,0)</f>
        <v>1</v>
      </c>
      <c r="P708" s="19" t="n">
        <f aca="false">IF(D708&gt;=Inputs!$C$22,1,0)</f>
        <v>1</v>
      </c>
      <c r="Q708" s="19" t="n">
        <f aca="false">IF(I708&lt;=Inputs!$C$23,1,0)</f>
        <v>1</v>
      </c>
      <c r="R708" s="19" t="n">
        <f aca="false">M708*N708*O708*P708*Q708</f>
        <v>1</v>
      </c>
      <c r="S708" s="14" t="n">
        <f aca="false">I708*R708</f>
        <v>28149.78</v>
      </c>
      <c r="T708" s="19" t="n">
        <f aca="false">IF(F708&gt;72,1,0)</f>
        <v>0</v>
      </c>
      <c r="U708" s="19" t="n">
        <f aca="false">IF(J708&gt;1.25,1,0)</f>
        <v>0</v>
      </c>
    </row>
    <row r="709" customFormat="false" ht="15" hidden="false" customHeight="false" outlineLevel="0" collapsed="false">
      <c r="B709" s="13" t="s">
        <v>929</v>
      </c>
      <c r="C709" s="13" t="s">
        <v>221</v>
      </c>
      <c r="D709" s="19" t="n">
        <v>598</v>
      </c>
      <c r="E709" s="23" t="n">
        <v>0.196</v>
      </c>
      <c r="F709" s="19" t="n">
        <v>60</v>
      </c>
      <c r="G709" s="19" t="n">
        <v>4</v>
      </c>
      <c r="H709" s="14" t="n">
        <v>16770</v>
      </c>
      <c r="I709" s="14" t="n">
        <v>16086.81</v>
      </c>
      <c r="J709" s="24" t="n">
        <v>0.958</v>
      </c>
      <c r="K709" s="19" t="n">
        <v>0</v>
      </c>
      <c r="L709" s="13" t="str">
        <f aca="false">IF(D709&gt;=Inputs!$C$14,"Near-prime","Non-prime")</f>
        <v>Non-prime</v>
      </c>
      <c r="M709" s="19" t="n">
        <f aca="false">IF(K709&lt;=Inputs!$C$19,1,0)</f>
        <v>1</v>
      </c>
      <c r="N709" s="19" t="n">
        <f aca="false">IF(F709&lt;=Inputs!$C$20,1,0)</f>
        <v>1</v>
      </c>
      <c r="O709" s="19" t="n">
        <f aca="false">IF(J709&lt;=Inputs!$C$21,1,0)</f>
        <v>1</v>
      </c>
      <c r="P709" s="19" t="n">
        <f aca="false">IF(D709&gt;=Inputs!$C$22,1,0)</f>
        <v>1</v>
      </c>
      <c r="Q709" s="19" t="n">
        <f aca="false">IF(I709&lt;=Inputs!$C$23,1,0)</f>
        <v>1</v>
      </c>
      <c r="R709" s="19" t="n">
        <f aca="false">M709*N709*O709*P709*Q709</f>
        <v>1</v>
      </c>
      <c r="S709" s="14" t="n">
        <f aca="false">I709*R709</f>
        <v>16086.81</v>
      </c>
      <c r="T709" s="19" t="n">
        <f aca="false">IF(F709&gt;72,1,0)</f>
        <v>0</v>
      </c>
      <c r="U709" s="19" t="n">
        <f aca="false">IF(J709&gt;1.25,1,0)</f>
        <v>0</v>
      </c>
    </row>
    <row r="710" customFormat="false" ht="15" hidden="false" customHeight="false" outlineLevel="0" collapsed="false">
      <c r="B710" s="13" t="s">
        <v>930</v>
      </c>
      <c r="C710" s="13" t="s">
        <v>223</v>
      </c>
      <c r="D710" s="19" t="n">
        <v>664</v>
      </c>
      <c r="E710" s="23" t="n">
        <v>0.2017</v>
      </c>
      <c r="F710" s="19" t="n">
        <v>72</v>
      </c>
      <c r="G710" s="19" t="n">
        <v>6</v>
      </c>
      <c r="H710" s="14" t="n">
        <v>27710</v>
      </c>
      <c r="I710" s="14" t="n">
        <v>26454</v>
      </c>
      <c r="J710" s="24" t="n">
        <v>1.257</v>
      </c>
      <c r="K710" s="19" t="n">
        <v>0</v>
      </c>
      <c r="L710" s="13" t="str">
        <f aca="false">IF(D710&gt;=Inputs!$C$14,"Near-prime","Non-prime")</f>
        <v>Near-prime</v>
      </c>
      <c r="M710" s="19" t="n">
        <f aca="false">IF(K710&lt;=Inputs!$C$19,1,0)</f>
        <v>1</v>
      </c>
      <c r="N710" s="19" t="n">
        <f aca="false">IF(F710&lt;=Inputs!$C$20,1,0)</f>
        <v>1</v>
      </c>
      <c r="O710" s="19" t="n">
        <f aca="false">IF(J710&lt;=Inputs!$C$21,1,0)</f>
        <v>1</v>
      </c>
      <c r="P710" s="19" t="n">
        <f aca="false">IF(D710&gt;=Inputs!$C$22,1,0)</f>
        <v>1</v>
      </c>
      <c r="Q710" s="19" t="n">
        <f aca="false">IF(I710&lt;=Inputs!$C$23,1,0)</f>
        <v>1</v>
      </c>
      <c r="R710" s="19" t="n">
        <f aca="false">M710*N710*O710*P710*Q710</f>
        <v>1</v>
      </c>
      <c r="S710" s="14" t="n">
        <f aca="false">I710*R710</f>
        <v>26454</v>
      </c>
      <c r="T710" s="19" t="n">
        <f aca="false">IF(F710&gt;72,1,0)</f>
        <v>0</v>
      </c>
      <c r="U710" s="19" t="n">
        <f aca="false">IF(J710&gt;1.25,1,0)</f>
        <v>1</v>
      </c>
    </row>
    <row r="711" customFormat="false" ht="15" hidden="false" customHeight="false" outlineLevel="0" collapsed="false">
      <c r="B711" s="13" t="s">
        <v>931</v>
      </c>
      <c r="C711" s="13" t="s">
        <v>223</v>
      </c>
      <c r="D711" s="19" t="n">
        <v>623</v>
      </c>
      <c r="E711" s="23" t="n">
        <v>0.1928</v>
      </c>
      <c r="F711" s="19" t="n">
        <v>72</v>
      </c>
      <c r="G711" s="19" t="n">
        <v>3</v>
      </c>
      <c r="H711" s="14" t="n">
        <v>15210</v>
      </c>
      <c r="I711" s="14" t="n">
        <v>14863.61</v>
      </c>
      <c r="J711" s="24" t="n">
        <v>1.412</v>
      </c>
      <c r="K711" s="19" t="n">
        <v>0</v>
      </c>
      <c r="L711" s="13" t="str">
        <f aca="false">IF(D711&gt;=Inputs!$C$14,"Near-prime","Non-prime")</f>
        <v>Near-prime</v>
      </c>
      <c r="M711" s="19" t="n">
        <f aca="false">IF(K711&lt;=Inputs!$C$19,1,0)</f>
        <v>1</v>
      </c>
      <c r="N711" s="19" t="n">
        <f aca="false">IF(F711&lt;=Inputs!$C$20,1,0)</f>
        <v>1</v>
      </c>
      <c r="O711" s="19" t="n">
        <f aca="false">IF(J711&lt;=Inputs!$C$21,1,0)</f>
        <v>1</v>
      </c>
      <c r="P711" s="19" t="n">
        <f aca="false">IF(D711&gt;=Inputs!$C$22,1,0)</f>
        <v>1</v>
      </c>
      <c r="Q711" s="19" t="n">
        <f aca="false">IF(I711&lt;=Inputs!$C$23,1,0)</f>
        <v>1</v>
      </c>
      <c r="R711" s="19" t="n">
        <f aca="false">M711*N711*O711*P711*Q711</f>
        <v>1</v>
      </c>
      <c r="S711" s="14" t="n">
        <f aca="false">I711*R711</f>
        <v>14863.61</v>
      </c>
      <c r="T711" s="19" t="n">
        <f aca="false">IF(F711&gt;72,1,0)</f>
        <v>0</v>
      </c>
      <c r="U711" s="19" t="n">
        <f aca="false">IF(J711&gt;1.25,1,0)</f>
        <v>1</v>
      </c>
    </row>
    <row r="712" customFormat="false" ht="15" hidden="false" customHeight="false" outlineLevel="0" collapsed="false">
      <c r="B712" s="13" t="s">
        <v>932</v>
      </c>
      <c r="C712" s="13" t="s">
        <v>223</v>
      </c>
      <c r="D712" s="19" t="n">
        <v>604</v>
      </c>
      <c r="E712" s="23" t="n">
        <v>0.2326</v>
      </c>
      <c r="F712" s="19" t="n">
        <v>60</v>
      </c>
      <c r="G712" s="19" t="n">
        <v>5</v>
      </c>
      <c r="H712" s="14" t="n">
        <v>28650</v>
      </c>
      <c r="I712" s="14" t="n">
        <v>27316.24</v>
      </c>
      <c r="J712" s="24" t="n">
        <v>0.829</v>
      </c>
      <c r="K712" s="19" t="n">
        <v>15</v>
      </c>
      <c r="L712" s="13" t="str">
        <f aca="false">IF(D712&gt;=Inputs!$C$14,"Near-prime","Non-prime")</f>
        <v>Non-prime</v>
      </c>
      <c r="M712" s="19" t="n">
        <f aca="false">IF(K712&lt;=Inputs!$C$19,1,0)</f>
        <v>1</v>
      </c>
      <c r="N712" s="19" t="n">
        <f aca="false">IF(F712&lt;=Inputs!$C$20,1,0)</f>
        <v>1</v>
      </c>
      <c r="O712" s="19" t="n">
        <f aca="false">IF(J712&lt;=Inputs!$C$21,1,0)</f>
        <v>1</v>
      </c>
      <c r="P712" s="19" t="n">
        <f aca="false">IF(D712&gt;=Inputs!$C$22,1,0)</f>
        <v>1</v>
      </c>
      <c r="Q712" s="19" t="n">
        <f aca="false">IF(I712&lt;=Inputs!$C$23,1,0)</f>
        <v>1</v>
      </c>
      <c r="R712" s="19" t="n">
        <f aca="false">M712*N712*O712*P712*Q712</f>
        <v>1</v>
      </c>
      <c r="S712" s="14" t="n">
        <f aca="false">I712*R712</f>
        <v>27316.24</v>
      </c>
      <c r="T712" s="19" t="n">
        <f aca="false">IF(F712&gt;72,1,0)</f>
        <v>0</v>
      </c>
      <c r="U712" s="19" t="n">
        <f aca="false">IF(J712&gt;1.25,1,0)</f>
        <v>0</v>
      </c>
    </row>
    <row r="713" customFormat="false" ht="15" hidden="false" customHeight="false" outlineLevel="0" collapsed="false">
      <c r="B713" s="13" t="s">
        <v>933</v>
      </c>
      <c r="C713" s="13" t="s">
        <v>252</v>
      </c>
      <c r="D713" s="19" t="n">
        <v>741</v>
      </c>
      <c r="E713" s="23" t="n">
        <v>0.1864</v>
      </c>
      <c r="F713" s="19" t="n">
        <v>72</v>
      </c>
      <c r="G713" s="19" t="n">
        <v>2</v>
      </c>
      <c r="H713" s="14" t="n">
        <v>24490</v>
      </c>
      <c r="I713" s="14" t="n">
        <v>24113</v>
      </c>
      <c r="J713" s="24" t="n">
        <v>1.152</v>
      </c>
      <c r="K713" s="19" t="n">
        <v>0</v>
      </c>
      <c r="L713" s="13" t="str">
        <f aca="false">IF(D713&gt;=Inputs!$C$14,"Near-prime","Non-prime")</f>
        <v>Near-prime</v>
      </c>
      <c r="M713" s="19" t="n">
        <f aca="false">IF(K713&lt;=Inputs!$C$19,1,0)</f>
        <v>1</v>
      </c>
      <c r="N713" s="19" t="n">
        <f aca="false">IF(F713&lt;=Inputs!$C$20,1,0)</f>
        <v>1</v>
      </c>
      <c r="O713" s="19" t="n">
        <f aca="false">IF(J713&lt;=Inputs!$C$21,1,0)</f>
        <v>1</v>
      </c>
      <c r="P713" s="19" t="n">
        <f aca="false">IF(D713&gt;=Inputs!$C$22,1,0)</f>
        <v>1</v>
      </c>
      <c r="Q713" s="19" t="n">
        <f aca="false">IF(I713&lt;=Inputs!$C$23,1,0)</f>
        <v>1</v>
      </c>
      <c r="R713" s="19" t="n">
        <f aca="false">M713*N713*O713*P713*Q713</f>
        <v>1</v>
      </c>
      <c r="S713" s="14" t="n">
        <f aca="false">I713*R713</f>
        <v>24113</v>
      </c>
      <c r="T713" s="19" t="n">
        <f aca="false">IF(F713&gt;72,1,0)</f>
        <v>0</v>
      </c>
      <c r="U713" s="19" t="n">
        <f aca="false">IF(J713&gt;1.25,1,0)</f>
        <v>0</v>
      </c>
    </row>
    <row r="714" customFormat="false" ht="15" hidden="false" customHeight="false" outlineLevel="0" collapsed="false">
      <c r="B714" s="13" t="s">
        <v>934</v>
      </c>
      <c r="C714" s="13" t="s">
        <v>221</v>
      </c>
      <c r="D714" s="19" t="n">
        <v>625</v>
      </c>
      <c r="E714" s="23" t="n">
        <v>0.2284</v>
      </c>
      <c r="F714" s="19" t="n">
        <v>60</v>
      </c>
      <c r="G714" s="19" t="n">
        <v>6</v>
      </c>
      <c r="H714" s="14" t="n">
        <v>23700</v>
      </c>
      <c r="I714" s="14" t="n">
        <v>22348</v>
      </c>
      <c r="J714" s="24" t="n">
        <v>1.278</v>
      </c>
      <c r="K714" s="19" t="n">
        <v>0</v>
      </c>
      <c r="L714" s="13" t="str">
        <f aca="false">IF(D714&gt;=Inputs!$C$14,"Near-prime","Non-prime")</f>
        <v>Near-prime</v>
      </c>
      <c r="M714" s="19" t="n">
        <f aca="false">IF(K714&lt;=Inputs!$C$19,1,0)</f>
        <v>1</v>
      </c>
      <c r="N714" s="19" t="n">
        <f aca="false">IF(F714&lt;=Inputs!$C$20,1,0)</f>
        <v>1</v>
      </c>
      <c r="O714" s="19" t="n">
        <f aca="false">IF(J714&lt;=Inputs!$C$21,1,0)</f>
        <v>1</v>
      </c>
      <c r="P714" s="19" t="n">
        <f aca="false">IF(D714&gt;=Inputs!$C$22,1,0)</f>
        <v>1</v>
      </c>
      <c r="Q714" s="19" t="n">
        <f aca="false">IF(I714&lt;=Inputs!$C$23,1,0)</f>
        <v>1</v>
      </c>
      <c r="R714" s="19" t="n">
        <f aca="false">M714*N714*O714*P714*Q714</f>
        <v>1</v>
      </c>
      <c r="S714" s="14" t="n">
        <f aca="false">I714*R714</f>
        <v>22348</v>
      </c>
      <c r="T714" s="19" t="n">
        <f aca="false">IF(F714&gt;72,1,0)</f>
        <v>0</v>
      </c>
      <c r="U714" s="19" t="n">
        <f aca="false">IF(J714&gt;1.25,1,0)</f>
        <v>1</v>
      </c>
    </row>
    <row r="715" customFormat="false" ht="15" hidden="false" customHeight="false" outlineLevel="0" collapsed="false">
      <c r="B715" s="13" t="s">
        <v>935</v>
      </c>
      <c r="C715" s="13" t="s">
        <v>223</v>
      </c>
      <c r="D715" s="19" t="n">
        <v>573</v>
      </c>
      <c r="E715" s="23" t="n">
        <v>0.2217</v>
      </c>
      <c r="F715" s="19" t="n">
        <v>72</v>
      </c>
      <c r="G715" s="19" t="n">
        <v>0</v>
      </c>
      <c r="H715" s="14" t="n">
        <v>20460</v>
      </c>
      <c r="I715" s="14" t="n">
        <v>20460</v>
      </c>
      <c r="J715" s="24" t="n">
        <v>1.043</v>
      </c>
      <c r="K715" s="19" t="n">
        <v>0</v>
      </c>
      <c r="L715" s="13" t="str">
        <f aca="false">IF(D715&gt;=Inputs!$C$14,"Near-prime","Non-prime")</f>
        <v>Non-prime</v>
      </c>
      <c r="M715" s="19" t="n">
        <f aca="false">IF(K715&lt;=Inputs!$C$19,1,0)</f>
        <v>1</v>
      </c>
      <c r="N715" s="19" t="n">
        <f aca="false">IF(F715&lt;=Inputs!$C$20,1,0)</f>
        <v>1</v>
      </c>
      <c r="O715" s="19" t="n">
        <f aca="false">IF(J715&lt;=Inputs!$C$21,1,0)</f>
        <v>1</v>
      </c>
      <c r="P715" s="19" t="n">
        <f aca="false">IF(D715&gt;=Inputs!$C$22,1,0)</f>
        <v>1</v>
      </c>
      <c r="Q715" s="19" t="n">
        <f aca="false">IF(I715&lt;=Inputs!$C$23,1,0)</f>
        <v>1</v>
      </c>
      <c r="R715" s="19" t="n">
        <f aca="false">M715*N715*O715*P715*Q715</f>
        <v>1</v>
      </c>
      <c r="S715" s="14" t="n">
        <f aca="false">I715*R715</f>
        <v>20460</v>
      </c>
      <c r="T715" s="19" t="n">
        <f aca="false">IF(F715&gt;72,1,0)</f>
        <v>0</v>
      </c>
      <c r="U715" s="19" t="n">
        <f aca="false">IF(J715&gt;1.25,1,0)</f>
        <v>0</v>
      </c>
    </row>
    <row r="716" customFormat="false" ht="15" hidden="false" customHeight="false" outlineLevel="0" collapsed="false">
      <c r="B716" s="13" t="s">
        <v>936</v>
      </c>
      <c r="C716" s="13" t="s">
        <v>217</v>
      </c>
      <c r="D716" s="19" t="n">
        <v>708</v>
      </c>
      <c r="E716" s="23" t="n">
        <v>0.1728</v>
      </c>
      <c r="F716" s="19" t="n">
        <v>66</v>
      </c>
      <c r="G716" s="19" t="n">
        <v>6</v>
      </c>
      <c r="H716" s="14" t="n">
        <v>27020</v>
      </c>
      <c r="I716" s="14" t="n">
        <v>25477.75</v>
      </c>
      <c r="J716" s="24" t="n">
        <v>1.038</v>
      </c>
      <c r="K716" s="19" t="n">
        <v>0</v>
      </c>
      <c r="L716" s="13" t="str">
        <f aca="false">IF(D716&gt;=Inputs!$C$14,"Near-prime","Non-prime")</f>
        <v>Near-prime</v>
      </c>
      <c r="M716" s="19" t="n">
        <f aca="false">IF(K716&lt;=Inputs!$C$19,1,0)</f>
        <v>1</v>
      </c>
      <c r="N716" s="19" t="n">
        <f aca="false">IF(F716&lt;=Inputs!$C$20,1,0)</f>
        <v>1</v>
      </c>
      <c r="O716" s="19" t="n">
        <f aca="false">IF(J716&lt;=Inputs!$C$21,1,0)</f>
        <v>1</v>
      </c>
      <c r="P716" s="19" t="n">
        <f aca="false">IF(D716&gt;=Inputs!$C$22,1,0)</f>
        <v>1</v>
      </c>
      <c r="Q716" s="19" t="n">
        <f aca="false">IF(I716&lt;=Inputs!$C$23,1,0)</f>
        <v>1</v>
      </c>
      <c r="R716" s="19" t="n">
        <f aca="false">M716*N716*O716*P716*Q716</f>
        <v>1</v>
      </c>
      <c r="S716" s="14" t="n">
        <f aca="false">I716*R716</f>
        <v>25477.75</v>
      </c>
      <c r="T716" s="19" t="n">
        <f aca="false">IF(F716&gt;72,1,0)</f>
        <v>0</v>
      </c>
      <c r="U716" s="19" t="n">
        <f aca="false">IF(J716&gt;1.25,1,0)</f>
        <v>0</v>
      </c>
    </row>
    <row r="717" customFormat="false" ht="15" hidden="false" customHeight="false" outlineLevel="0" collapsed="false">
      <c r="B717" s="13" t="s">
        <v>937</v>
      </c>
      <c r="C717" s="13" t="s">
        <v>233</v>
      </c>
      <c r="D717" s="19" t="n">
        <v>718</v>
      </c>
      <c r="E717" s="23" t="n">
        <v>0.1855</v>
      </c>
      <c r="F717" s="19" t="n">
        <v>60</v>
      </c>
      <c r="G717" s="19" t="n">
        <v>8</v>
      </c>
      <c r="H717" s="14" t="n">
        <v>15740</v>
      </c>
      <c r="I717" s="14" t="n">
        <v>14379.25</v>
      </c>
      <c r="J717" s="24" t="n">
        <v>0.995</v>
      </c>
      <c r="K717" s="19" t="n">
        <v>0</v>
      </c>
      <c r="L717" s="13" t="str">
        <f aca="false">IF(D717&gt;=Inputs!$C$14,"Near-prime","Non-prime")</f>
        <v>Near-prime</v>
      </c>
      <c r="M717" s="19" t="n">
        <f aca="false">IF(K717&lt;=Inputs!$C$19,1,0)</f>
        <v>1</v>
      </c>
      <c r="N717" s="19" t="n">
        <f aca="false">IF(F717&lt;=Inputs!$C$20,1,0)</f>
        <v>1</v>
      </c>
      <c r="O717" s="19" t="n">
        <f aca="false">IF(J717&lt;=Inputs!$C$21,1,0)</f>
        <v>1</v>
      </c>
      <c r="P717" s="19" t="n">
        <f aca="false">IF(D717&gt;=Inputs!$C$22,1,0)</f>
        <v>1</v>
      </c>
      <c r="Q717" s="19" t="n">
        <f aca="false">IF(I717&lt;=Inputs!$C$23,1,0)</f>
        <v>1</v>
      </c>
      <c r="R717" s="19" t="n">
        <f aca="false">M717*N717*O717*P717*Q717</f>
        <v>1</v>
      </c>
      <c r="S717" s="14" t="n">
        <f aca="false">I717*R717</f>
        <v>14379.25</v>
      </c>
      <c r="T717" s="19" t="n">
        <f aca="false">IF(F717&gt;72,1,0)</f>
        <v>0</v>
      </c>
      <c r="U717" s="19" t="n">
        <f aca="false">IF(J717&gt;1.25,1,0)</f>
        <v>0</v>
      </c>
    </row>
    <row r="718" customFormat="false" ht="15" hidden="false" customHeight="false" outlineLevel="0" collapsed="false">
      <c r="B718" s="13" t="s">
        <v>938</v>
      </c>
      <c r="C718" s="13" t="s">
        <v>217</v>
      </c>
      <c r="D718" s="19" t="n">
        <v>594</v>
      </c>
      <c r="E718" s="23" t="n">
        <v>0.2597</v>
      </c>
      <c r="F718" s="19" t="n">
        <v>48</v>
      </c>
      <c r="G718" s="19" t="n">
        <v>4</v>
      </c>
      <c r="H718" s="14" t="n">
        <v>26230</v>
      </c>
      <c r="I718" s="14" t="n">
        <v>24923.13</v>
      </c>
      <c r="J718" s="24" t="n">
        <v>1.14</v>
      </c>
      <c r="K718" s="19" t="n">
        <v>30</v>
      </c>
      <c r="L718" s="13" t="str">
        <f aca="false">IF(D718&gt;=Inputs!$C$14,"Near-prime","Non-prime")</f>
        <v>Non-prime</v>
      </c>
      <c r="M718" s="19" t="n">
        <f aca="false">IF(K718&lt;=Inputs!$C$19,1,0)</f>
        <v>1</v>
      </c>
      <c r="N718" s="19" t="n">
        <f aca="false">IF(F718&lt;=Inputs!$C$20,1,0)</f>
        <v>1</v>
      </c>
      <c r="O718" s="19" t="n">
        <f aca="false">IF(J718&lt;=Inputs!$C$21,1,0)</f>
        <v>1</v>
      </c>
      <c r="P718" s="19" t="n">
        <f aca="false">IF(D718&gt;=Inputs!$C$22,1,0)</f>
        <v>1</v>
      </c>
      <c r="Q718" s="19" t="n">
        <f aca="false">IF(I718&lt;=Inputs!$C$23,1,0)</f>
        <v>1</v>
      </c>
      <c r="R718" s="19" t="n">
        <f aca="false">M718*N718*O718*P718*Q718</f>
        <v>1</v>
      </c>
      <c r="S718" s="14" t="n">
        <f aca="false">I718*R718</f>
        <v>24923.13</v>
      </c>
      <c r="T718" s="19" t="n">
        <f aca="false">IF(F718&gt;72,1,0)</f>
        <v>0</v>
      </c>
      <c r="U718" s="19" t="n">
        <f aca="false">IF(J718&gt;1.25,1,0)</f>
        <v>0</v>
      </c>
    </row>
    <row r="719" customFormat="false" ht="15" hidden="false" customHeight="false" outlineLevel="0" collapsed="false">
      <c r="B719" s="13" t="s">
        <v>939</v>
      </c>
      <c r="C719" s="13" t="s">
        <v>228</v>
      </c>
      <c r="D719" s="19" t="n">
        <v>622</v>
      </c>
      <c r="E719" s="23" t="n">
        <v>0.2126</v>
      </c>
      <c r="F719" s="19" t="n">
        <v>60</v>
      </c>
      <c r="G719" s="19" t="n">
        <v>3</v>
      </c>
      <c r="H719" s="14" t="n">
        <v>21590</v>
      </c>
      <c r="I719" s="14" t="n">
        <v>20964.83</v>
      </c>
      <c r="J719" s="24" t="n">
        <v>1.088</v>
      </c>
      <c r="K719" s="19" t="n">
        <v>0</v>
      </c>
      <c r="L719" s="13" t="str">
        <f aca="false">IF(D719&gt;=Inputs!$C$14,"Near-prime","Non-prime")</f>
        <v>Near-prime</v>
      </c>
      <c r="M719" s="19" t="n">
        <f aca="false">IF(K719&lt;=Inputs!$C$19,1,0)</f>
        <v>1</v>
      </c>
      <c r="N719" s="19" t="n">
        <f aca="false">IF(F719&lt;=Inputs!$C$20,1,0)</f>
        <v>1</v>
      </c>
      <c r="O719" s="19" t="n">
        <f aca="false">IF(J719&lt;=Inputs!$C$21,1,0)</f>
        <v>1</v>
      </c>
      <c r="P719" s="19" t="n">
        <f aca="false">IF(D719&gt;=Inputs!$C$22,1,0)</f>
        <v>1</v>
      </c>
      <c r="Q719" s="19" t="n">
        <f aca="false">IF(I719&lt;=Inputs!$C$23,1,0)</f>
        <v>1</v>
      </c>
      <c r="R719" s="19" t="n">
        <f aca="false">M719*N719*O719*P719*Q719</f>
        <v>1</v>
      </c>
      <c r="S719" s="14" t="n">
        <f aca="false">I719*R719</f>
        <v>20964.83</v>
      </c>
      <c r="T719" s="19" t="n">
        <f aca="false">IF(F719&gt;72,1,0)</f>
        <v>0</v>
      </c>
      <c r="U719" s="19" t="n">
        <f aca="false">IF(J719&gt;1.25,1,0)</f>
        <v>0</v>
      </c>
    </row>
    <row r="720" customFormat="false" ht="15" hidden="false" customHeight="false" outlineLevel="0" collapsed="false">
      <c r="B720" s="13" t="s">
        <v>940</v>
      </c>
      <c r="C720" s="13" t="s">
        <v>217</v>
      </c>
      <c r="D720" s="19" t="n">
        <v>635</v>
      </c>
      <c r="E720" s="23" t="n">
        <v>0.2226</v>
      </c>
      <c r="F720" s="19" t="n">
        <v>48</v>
      </c>
      <c r="G720" s="19" t="n">
        <v>6</v>
      </c>
      <c r="H720" s="14" t="n">
        <v>41490</v>
      </c>
      <c r="I720" s="14" t="n">
        <v>38074.54</v>
      </c>
      <c r="J720" s="24" t="n">
        <v>1.008</v>
      </c>
      <c r="K720" s="19" t="n">
        <v>0</v>
      </c>
      <c r="L720" s="13" t="str">
        <f aca="false">IF(D720&gt;=Inputs!$C$14,"Near-prime","Non-prime")</f>
        <v>Near-prime</v>
      </c>
      <c r="M720" s="19" t="n">
        <f aca="false">IF(K720&lt;=Inputs!$C$19,1,0)</f>
        <v>1</v>
      </c>
      <c r="N720" s="19" t="n">
        <f aca="false">IF(F720&lt;=Inputs!$C$20,1,0)</f>
        <v>1</v>
      </c>
      <c r="O720" s="19" t="n">
        <f aca="false">IF(J720&lt;=Inputs!$C$21,1,0)</f>
        <v>1</v>
      </c>
      <c r="P720" s="19" t="n">
        <f aca="false">IF(D720&gt;=Inputs!$C$22,1,0)</f>
        <v>1</v>
      </c>
      <c r="Q720" s="19" t="n">
        <f aca="false">IF(I720&lt;=Inputs!$C$23,1,0)</f>
        <v>1</v>
      </c>
      <c r="R720" s="19" t="n">
        <f aca="false">M720*N720*O720*P720*Q720</f>
        <v>1</v>
      </c>
      <c r="S720" s="14" t="n">
        <f aca="false">I720*R720</f>
        <v>38074.54</v>
      </c>
      <c r="T720" s="19" t="n">
        <f aca="false">IF(F720&gt;72,1,0)</f>
        <v>0</v>
      </c>
      <c r="U720" s="19" t="n">
        <f aca="false">IF(J720&gt;1.25,1,0)</f>
        <v>0</v>
      </c>
    </row>
    <row r="721" customFormat="false" ht="15" hidden="false" customHeight="false" outlineLevel="0" collapsed="false">
      <c r="B721" s="13" t="s">
        <v>941</v>
      </c>
      <c r="C721" s="13" t="s">
        <v>221</v>
      </c>
      <c r="D721" s="19" t="n">
        <v>623</v>
      </c>
      <c r="E721" s="23" t="n">
        <v>0.2016</v>
      </c>
      <c r="F721" s="19" t="n">
        <v>66</v>
      </c>
      <c r="G721" s="19" t="n">
        <v>5</v>
      </c>
      <c r="H721" s="14" t="n">
        <v>11600</v>
      </c>
      <c r="I721" s="14" t="n">
        <v>11096.89</v>
      </c>
      <c r="J721" s="24" t="n">
        <v>0.936</v>
      </c>
      <c r="K721" s="19" t="n">
        <v>0</v>
      </c>
      <c r="L721" s="13" t="str">
        <f aca="false">IF(D721&gt;=Inputs!$C$14,"Near-prime","Non-prime")</f>
        <v>Near-prime</v>
      </c>
      <c r="M721" s="19" t="n">
        <f aca="false">IF(K721&lt;=Inputs!$C$19,1,0)</f>
        <v>1</v>
      </c>
      <c r="N721" s="19" t="n">
        <f aca="false">IF(F721&lt;=Inputs!$C$20,1,0)</f>
        <v>1</v>
      </c>
      <c r="O721" s="19" t="n">
        <f aca="false">IF(J721&lt;=Inputs!$C$21,1,0)</f>
        <v>1</v>
      </c>
      <c r="P721" s="19" t="n">
        <f aca="false">IF(D721&gt;=Inputs!$C$22,1,0)</f>
        <v>1</v>
      </c>
      <c r="Q721" s="19" t="n">
        <f aca="false">IF(I721&lt;=Inputs!$C$23,1,0)</f>
        <v>1</v>
      </c>
      <c r="R721" s="19" t="n">
        <f aca="false">M721*N721*O721*P721*Q721</f>
        <v>1</v>
      </c>
      <c r="S721" s="14" t="n">
        <f aca="false">I721*R721</f>
        <v>11096.89</v>
      </c>
      <c r="T721" s="19" t="n">
        <f aca="false">IF(F721&gt;72,1,0)</f>
        <v>0</v>
      </c>
      <c r="U721" s="19" t="n">
        <f aca="false">IF(J721&gt;1.25,1,0)</f>
        <v>0</v>
      </c>
    </row>
    <row r="722" customFormat="false" ht="15" hidden="false" customHeight="false" outlineLevel="0" collapsed="false">
      <c r="B722" s="13" t="s">
        <v>942</v>
      </c>
      <c r="C722" s="13" t="s">
        <v>226</v>
      </c>
      <c r="D722" s="19" t="n">
        <v>572</v>
      </c>
      <c r="E722" s="23" t="n">
        <v>0.2183</v>
      </c>
      <c r="F722" s="19" t="n">
        <v>72</v>
      </c>
      <c r="G722" s="19" t="n">
        <v>0</v>
      </c>
      <c r="H722" s="14" t="n">
        <v>25110</v>
      </c>
      <c r="I722" s="14" t="n">
        <v>25110</v>
      </c>
      <c r="J722" s="24" t="n">
        <v>1.26</v>
      </c>
      <c r="K722" s="19" t="n">
        <v>0</v>
      </c>
      <c r="L722" s="13" t="str">
        <f aca="false">IF(D722&gt;=Inputs!$C$14,"Near-prime","Non-prime")</f>
        <v>Non-prime</v>
      </c>
      <c r="M722" s="19" t="n">
        <f aca="false">IF(K722&lt;=Inputs!$C$19,1,0)</f>
        <v>1</v>
      </c>
      <c r="N722" s="19" t="n">
        <f aca="false">IF(F722&lt;=Inputs!$C$20,1,0)</f>
        <v>1</v>
      </c>
      <c r="O722" s="19" t="n">
        <f aca="false">IF(J722&lt;=Inputs!$C$21,1,0)</f>
        <v>1</v>
      </c>
      <c r="P722" s="19" t="n">
        <f aca="false">IF(D722&gt;=Inputs!$C$22,1,0)</f>
        <v>1</v>
      </c>
      <c r="Q722" s="19" t="n">
        <f aca="false">IF(I722&lt;=Inputs!$C$23,1,0)</f>
        <v>1</v>
      </c>
      <c r="R722" s="19" t="n">
        <f aca="false">M722*N722*O722*P722*Q722</f>
        <v>1</v>
      </c>
      <c r="S722" s="14" t="n">
        <f aca="false">I722*R722</f>
        <v>25110</v>
      </c>
      <c r="T722" s="19" t="n">
        <f aca="false">IF(F722&gt;72,1,0)</f>
        <v>0</v>
      </c>
      <c r="U722" s="19" t="n">
        <f aca="false">IF(J722&gt;1.25,1,0)</f>
        <v>1</v>
      </c>
    </row>
    <row r="723" customFormat="false" ht="15" hidden="false" customHeight="false" outlineLevel="0" collapsed="false">
      <c r="B723" s="13" t="s">
        <v>943</v>
      </c>
      <c r="C723" s="13" t="s">
        <v>219</v>
      </c>
      <c r="D723" s="19" t="n">
        <v>588</v>
      </c>
      <c r="E723" s="23" t="n">
        <v>0.2303</v>
      </c>
      <c r="F723" s="19" t="n">
        <v>72</v>
      </c>
      <c r="G723" s="19" t="n">
        <v>7</v>
      </c>
      <c r="H723" s="14" t="n">
        <v>18420</v>
      </c>
      <c r="I723" s="14" t="n">
        <v>17525.31</v>
      </c>
      <c r="J723" s="24" t="n">
        <v>0.91</v>
      </c>
      <c r="K723" s="19" t="n">
        <v>0</v>
      </c>
      <c r="L723" s="13" t="str">
        <f aca="false">IF(D723&gt;=Inputs!$C$14,"Near-prime","Non-prime")</f>
        <v>Non-prime</v>
      </c>
      <c r="M723" s="19" t="n">
        <f aca="false">IF(K723&lt;=Inputs!$C$19,1,0)</f>
        <v>1</v>
      </c>
      <c r="N723" s="19" t="n">
        <f aca="false">IF(F723&lt;=Inputs!$C$20,1,0)</f>
        <v>1</v>
      </c>
      <c r="O723" s="19" t="n">
        <f aca="false">IF(J723&lt;=Inputs!$C$21,1,0)</f>
        <v>1</v>
      </c>
      <c r="P723" s="19" t="n">
        <f aca="false">IF(D723&gt;=Inputs!$C$22,1,0)</f>
        <v>1</v>
      </c>
      <c r="Q723" s="19" t="n">
        <f aca="false">IF(I723&lt;=Inputs!$C$23,1,0)</f>
        <v>1</v>
      </c>
      <c r="R723" s="19" t="n">
        <f aca="false">M723*N723*O723*P723*Q723</f>
        <v>1</v>
      </c>
      <c r="S723" s="14" t="n">
        <f aca="false">I723*R723</f>
        <v>17525.31</v>
      </c>
      <c r="T723" s="19" t="n">
        <f aca="false">IF(F723&gt;72,1,0)</f>
        <v>0</v>
      </c>
      <c r="U723" s="19" t="n">
        <f aca="false">IF(J723&gt;1.25,1,0)</f>
        <v>0</v>
      </c>
    </row>
    <row r="724" customFormat="false" ht="15" hidden="false" customHeight="false" outlineLevel="0" collapsed="false">
      <c r="B724" s="13" t="s">
        <v>944</v>
      </c>
      <c r="C724" s="13" t="s">
        <v>237</v>
      </c>
      <c r="D724" s="19" t="n">
        <v>755</v>
      </c>
      <c r="E724" s="23" t="n">
        <v>0.1991</v>
      </c>
      <c r="F724" s="19" t="n">
        <v>66</v>
      </c>
      <c r="G724" s="19" t="n">
        <v>3</v>
      </c>
      <c r="H724" s="14" t="n">
        <v>27940</v>
      </c>
      <c r="I724" s="14" t="n">
        <v>27219.57</v>
      </c>
      <c r="J724" s="24" t="n">
        <v>1.076</v>
      </c>
      <c r="K724" s="19" t="n">
        <v>0</v>
      </c>
      <c r="L724" s="13" t="str">
        <f aca="false">IF(D724&gt;=Inputs!$C$14,"Near-prime","Non-prime")</f>
        <v>Near-prime</v>
      </c>
      <c r="M724" s="19" t="n">
        <f aca="false">IF(K724&lt;=Inputs!$C$19,1,0)</f>
        <v>1</v>
      </c>
      <c r="N724" s="19" t="n">
        <f aca="false">IF(F724&lt;=Inputs!$C$20,1,0)</f>
        <v>1</v>
      </c>
      <c r="O724" s="19" t="n">
        <f aca="false">IF(J724&lt;=Inputs!$C$21,1,0)</f>
        <v>1</v>
      </c>
      <c r="P724" s="19" t="n">
        <f aca="false">IF(D724&gt;=Inputs!$C$22,1,0)</f>
        <v>1</v>
      </c>
      <c r="Q724" s="19" t="n">
        <f aca="false">IF(I724&lt;=Inputs!$C$23,1,0)</f>
        <v>1</v>
      </c>
      <c r="R724" s="19" t="n">
        <f aca="false">M724*N724*O724*P724*Q724</f>
        <v>1</v>
      </c>
      <c r="S724" s="14" t="n">
        <f aca="false">I724*R724</f>
        <v>27219.57</v>
      </c>
      <c r="T724" s="19" t="n">
        <f aca="false">IF(F724&gt;72,1,0)</f>
        <v>0</v>
      </c>
      <c r="U724" s="19" t="n">
        <f aca="false">IF(J724&gt;1.25,1,0)</f>
        <v>0</v>
      </c>
    </row>
    <row r="725" customFormat="false" ht="15" hidden="false" customHeight="false" outlineLevel="0" collapsed="false">
      <c r="B725" s="13" t="s">
        <v>945</v>
      </c>
      <c r="C725" s="13" t="s">
        <v>217</v>
      </c>
      <c r="D725" s="19" t="n">
        <v>613</v>
      </c>
      <c r="E725" s="23" t="n">
        <v>0.2278</v>
      </c>
      <c r="F725" s="19" t="n">
        <v>72</v>
      </c>
      <c r="G725" s="19" t="n">
        <v>3</v>
      </c>
      <c r="H725" s="14" t="n">
        <v>32580</v>
      </c>
      <c r="I725" s="14" t="n">
        <v>31921.81</v>
      </c>
      <c r="J725" s="24" t="n">
        <v>1.021</v>
      </c>
      <c r="K725" s="19" t="n">
        <v>0</v>
      </c>
      <c r="L725" s="13" t="str">
        <f aca="false">IF(D725&gt;=Inputs!$C$14,"Near-prime","Non-prime")</f>
        <v>Non-prime</v>
      </c>
      <c r="M725" s="19" t="n">
        <f aca="false">IF(K725&lt;=Inputs!$C$19,1,0)</f>
        <v>1</v>
      </c>
      <c r="N725" s="19" t="n">
        <f aca="false">IF(F725&lt;=Inputs!$C$20,1,0)</f>
        <v>1</v>
      </c>
      <c r="O725" s="19" t="n">
        <f aca="false">IF(J725&lt;=Inputs!$C$21,1,0)</f>
        <v>1</v>
      </c>
      <c r="P725" s="19" t="n">
        <f aca="false">IF(D725&gt;=Inputs!$C$22,1,0)</f>
        <v>1</v>
      </c>
      <c r="Q725" s="19" t="n">
        <f aca="false">IF(I725&lt;=Inputs!$C$23,1,0)</f>
        <v>1</v>
      </c>
      <c r="R725" s="19" t="n">
        <f aca="false">M725*N725*O725*P725*Q725</f>
        <v>1</v>
      </c>
      <c r="S725" s="14" t="n">
        <f aca="false">I725*R725</f>
        <v>31921.81</v>
      </c>
      <c r="T725" s="19" t="n">
        <f aca="false">IF(F725&gt;72,1,0)</f>
        <v>0</v>
      </c>
      <c r="U725" s="19" t="n">
        <f aca="false">IF(J725&gt;1.25,1,0)</f>
        <v>0</v>
      </c>
    </row>
    <row r="726" customFormat="false" ht="15" hidden="false" customHeight="false" outlineLevel="0" collapsed="false">
      <c r="B726" s="13" t="s">
        <v>946</v>
      </c>
      <c r="C726" s="13" t="s">
        <v>257</v>
      </c>
      <c r="D726" s="19" t="n">
        <v>616</v>
      </c>
      <c r="E726" s="23" t="n">
        <v>0.2009</v>
      </c>
      <c r="F726" s="19" t="n">
        <v>66</v>
      </c>
      <c r="G726" s="19" t="n">
        <v>7</v>
      </c>
      <c r="H726" s="14" t="n">
        <v>14440</v>
      </c>
      <c r="I726" s="14" t="n">
        <v>13546.41</v>
      </c>
      <c r="J726" s="24" t="n">
        <v>1.2</v>
      </c>
      <c r="K726" s="19" t="n">
        <v>0</v>
      </c>
      <c r="L726" s="13" t="str">
        <f aca="false">IF(D726&gt;=Inputs!$C$14,"Near-prime","Non-prime")</f>
        <v>Non-prime</v>
      </c>
      <c r="M726" s="19" t="n">
        <f aca="false">IF(K726&lt;=Inputs!$C$19,1,0)</f>
        <v>1</v>
      </c>
      <c r="N726" s="19" t="n">
        <f aca="false">IF(F726&lt;=Inputs!$C$20,1,0)</f>
        <v>1</v>
      </c>
      <c r="O726" s="19" t="n">
        <f aca="false">IF(J726&lt;=Inputs!$C$21,1,0)</f>
        <v>1</v>
      </c>
      <c r="P726" s="19" t="n">
        <f aca="false">IF(D726&gt;=Inputs!$C$22,1,0)</f>
        <v>1</v>
      </c>
      <c r="Q726" s="19" t="n">
        <f aca="false">IF(I726&lt;=Inputs!$C$23,1,0)</f>
        <v>1</v>
      </c>
      <c r="R726" s="19" t="n">
        <f aca="false">M726*N726*O726*P726*Q726</f>
        <v>1</v>
      </c>
      <c r="S726" s="14" t="n">
        <f aca="false">I726*R726</f>
        <v>13546.41</v>
      </c>
      <c r="T726" s="19" t="n">
        <f aca="false">IF(F726&gt;72,1,0)</f>
        <v>0</v>
      </c>
      <c r="U726" s="19" t="n">
        <f aca="false">IF(J726&gt;1.25,1,0)</f>
        <v>0</v>
      </c>
    </row>
    <row r="727" customFormat="false" ht="15" hidden="false" customHeight="false" outlineLevel="0" collapsed="false">
      <c r="B727" s="13" t="s">
        <v>947</v>
      </c>
      <c r="C727" s="13" t="s">
        <v>219</v>
      </c>
      <c r="D727" s="19" t="n">
        <v>684</v>
      </c>
      <c r="E727" s="23" t="n">
        <v>0.1782</v>
      </c>
      <c r="F727" s="19" t="n">
        <v>72</v>
      </c>
      <c r="G727" s="19" t="n">
        <v>6</v>
      </c>
      <c r="H727" s="14" t="n">
        <v>38280</v>
      </c>
      <c r="I727" s="14" t="n">
        <v>36407.27</v>
      </c>
      <c r="J727" s="24" t="n">
        <v>1.254</v>
      </c>
      <c r="K727" s="19" t="n">
        <v>0</v>
      </c>
      <c r="L727" s="13" t="str">
        <f aca="false">IF(D727&gt;=Inputs!$C$14,"Near-prime","Non-prime")</f>
        <v>Near-prime</v>
      </c>
      <c r="M727" s="19" t="n">
        <f aca="false">IF(K727&lt;=Inputs!$C$19,1,0)</f>
        <v>1</v>
      </c>
      <c r="N727" s="19" t="n">
        <f aca="false">IF(F727&lt;=Inputs!$C$20,1,0)</f>
        <v>1</v>
      </c>
      <c r="O727" s="19" t="n">
        <f aca="false">IF(J727&lt;=Inputs!$C$21,1,0)</f>
        <v>1</v>
      </c>
      <c r="P727" s="19" t="n">
        <f aca="false">IF(D727&gt;=Inputs!$C$22,1,0)</f>
        <v>1</v>
      </c>
      <c r="Q727" s="19" t="n">
        <f aca="false">IF(I727&lt;=Inputs!$C$23,1,0)</f>
        <v>1</v>
      </c>
      <c r="R727" s="19" t="n">
        <f aca="false">M727*N727*O727*P727*Q727</f>
        <v>1</v>
      </c>
      <c r="S727" s="14" t="n">
        <f aca="false">I727*R727</f>
        <v>36407.27</v>
      </c>
      <c r="T727" s="19" t="n">
        <f aca="false">IF(F727&gt;72,1,0)</f>
        <v>0</v>
      </c>
      <c r="U727" s="19" t="n">
        <f aca="false">IF(J727&gt;1.25,1,0)</f>
        <v>1</v>
      </c>
    </row>
    <row r="728" customFormat="false" ht="15" hidden="false" customHeight="false" outlineLevel="0" collapsed="false">
      <c r="B728" s="13" t="s">
        <v>948</v>
      </c>
      <c r="C728" s="13" t="s">
        <v>228</v>
      </c>
      <c r="D728" s="19" t="n">
        <v>619</v>
      </c>
      <c r="E728" s="23" t="n">
        <v>0.1948</v>
      </c>
      <c r="F728" s="19" t="n">
        <v>72</v>
      </c>
      <c r="G728" s="19" t="n">
        <v>6</v>
      </c>
      <c r="H728" s="14" t="n">
        <v>20080</v>
      </c>
      <c r="I728" s="14" t="n">
        <v>19149.09</v>
      </c>
      <c r="J728" s="24" t="n">
        <v>1.092</v>
      </c>
      <c r="K728" s="19" t="n">
        <v>15</v>
      </c>
      <c r="L728" s="13" t="str">
        <f aca="false">IF(D728&gt;=Inputs!$C$14,"Near-prime","Non-prime")</f>
        <v>Non-prime</v>
      </c>
      <c r="M728" s="19" t="n">
        <f aca="false">IF(K728&lt;=Inputs!$C$19,1,0)</f>
        <v>1</v>
      </c>
      <c r="N728" s="19" t="n">
        <f aca="false">IF(F728&lt;=Inputs!$C$20,1,0)</f>
        <v>1</v>
      </c>
      <c r="O728" s="19" t="n">
        <f aca="false">IF(J728&lt;=Inputs!$C$21,1,0)</f>
        <v>1</v>
      </c>
      <c r="P728" s="19" t="n">
        <f aca="false">IF(D728&gt;=Inputs!$C$22,1,0)</f>
        <v>1</v>
      </c>
      <c r="Q728" s="19" t="n">
        <f aca="false">IF(I728&lt;=Inputs!$C$23,1,0)</f>
        <v>1</v>
      </c>
      <c r="R728" s="19" t="n">
        <f aca="false">M728*N728*O728*P728*Q728</f>
        <v>1</v>
      </c>
      <c r="S728" s="14" t="n">
        <f aca="false">I728*R728</f>
        <v>19149.09</v>
      </c>
      <c r="T728" s="19" t="n">
        <f aca="false">IF(F728&gt;72,1,0)</f>
        <v>0</v>
      </c>
      <c r="U728" s="19" t="n">
        <f aca="false">IF(J728&gt;1.25,1,0)</f>
        <v>0</v>
      </c>
    </row>
    <row r="729" customFormat="false" ht="15" hidden="false" customHeight="false" outlineLevel="0" collapsed="false">
      <c r="B729" s="13" t="s">
        <v>949</v>
      </c>
      <c r="C729" s="13" t="s">
        <v>233</v>
      </c>
      <c r="D729" s="19" t="n">
        <v>609</v>
      </c>
      <c r="E729" s="23" t="n">
        <v>0.2057</v>
      </c>
      <c r="F729" s="19" t="n">
        <v>66</v>
      </c>
      <c r="G729" s="19" t="n">
        <v>5</v>
      </c>
      <c r="H729" s="14" t="n">
        <v>21550</v>
      </c>
      <c r="I729" s="14" t="n">
        <v>20626.72</v>
      </c>
      <c r="J729" s="24" t="n">
        <v>1.163</v>
      </c>
      <c r="K729" s="19" t="n">
        <v>0</v>
      </c>
      <c r="L729" s="13" t="str">
        <f aca="false">IF(D729&gt;=Inputs!$C$14,"Near-prime","Non-prime")</f>
        <v>Non-prime</v>
      </c>
      <c r="M729" s="19" t="n">
        <f aca="false">IF(K729&lt;=Inputs!$C$19,1,0)</f>
        <v>1</v>
      </c>
      <c r="N729" s="19" t="n">
        <f aca="false">IF(F729&lt;=Inputs!$C$20,1,0)</f>
        <v>1</v>
      </c>
      <c r="O729" s="19" t="n">
        <f aca="false">IF(J729&lt;=Inputs!$C$21,1,0)</f>
        <v>1</v>
      </c>
      <c r="P729" s="19" t="n">
        <f aca="false">IF(D729&gt;=Inputs!$C$22,1,0)</f>
        <v>1</v>
      </c>
      <c r="Q729" s="19" t="n">
        <f aca="false">IF(I729&lt;=Inputs!$C$23,1,0)</f>
        <v>1</v>
      </c>
      <c r="R729" s="19" t="n">
        <f aca="false">M729*N729*O729*P729*Q729</f>
        <v>1</v>
      </c>
      <c r="S729" s="14" t="n">
        <f aca="false">I729*R729</f>
        <v>20626.72</v>
      </c>
      <c r="T729" s="19" t="n">
        <f aca="false">IF(F729&gt;72,1,0)</f>
        <v>0</v>
      </c>
      <c r="U729" s="19" t="n">
        <f aca="false">IF(J729&gt;1.25,1,0)</f>
        <v>0</v>
      </c>
    </row>
    <row r="730" customFormat="false" ht="15" hidden="false" customHeight="false" outlineLevel="0" collapsed="false">
      <c r="B730" s="13" t="s">
        <v>950</v>
      </c>
      <c r="C730" s="13" t="s">
        <v>237</v>
      </c>
      <c r="D730" s="19" t="n">
        <v>590</v>
      </c>
      <c r="E730" s="23" t="n">
        <v>0.2143</v>
      </c>
      <c r="F730" s="19" t="n">
        <v>72</v>
      </c>
      <c r="G730" s="19" t="n">
        <v>9</v>
      </c>
      <c r="H730" s="14" t="n">
        <v>18290</v>
      </c>
      <c r="I730" s="14" t="n">
        <v>17064.18</v>
      </c>
      <c r="J730" s="24" t="n">
        <v>0.993</v>
      </c>
      <c r="K730" s="19" t="n">
        <v>0</v>
      </c>
      <c r="L730" s="13" t="str">
        <f aca="false">IF(D730&gt;=Inputs!$C$14,"Near-prime","Non-prime")</f>
        <v>Non-prime</v>
      </c>
      <c r="M730" s="19" t="n">
        <f aca="false">IF(K730&lt;=Inputs!$C$19,1,0)</f>
        <v>1</v>
      </c>
      <c r="N730" s="19" t="n">
        <f aca="false">IF(F730&lt;=Inputs!$C$20,1,0)</f>
        <v>1</v>
      </c>
      <c r="O730" s="19" t="n">
        <f aca="false">IF(J730&lt;=Inputs!$C$21,1,0)</f>
        <v>1</v>
      </c>
      <c r="P730" s="19" t="n">
        <f aca="false">IF(D730&gt;=Inputs!$C$22,1,0)</f>
        <v>1</v>
      </c>
      <c r="Q730" s="19" t="n">
        <f aca="false">IF(I730&lt;=Inputs!$C$23,1,0)</f>
        <v>1</v>
      </c>
      <c r="R730" s="19" t="n">
        <f aca="false">M730*N730*O730*P730*Q730</f>
        <v>1</v>
      </c>
      <c r="S730" s="14" t="n">
        <f aca="false">I730*R730</f>
        <v>17064.18</v>
      </c>
      <c r="T730" s="19" t="n">
        <f aca="false">IF(F730&gt;72,1,0)</f>
        <v>0</v>
      </c>
      <c r="U730" s="19" t="n">
        <f aca="false">IF(J730&gt;1.25,1,0)</f>
        <v>0</v>
      </c>
    </row>
    <row r="731" customFormat="false" ht="15" hidden="false" customHeight="false" outlineLevel="0" collapsed="false">
      <c r="B731" s="13" t="s">
        <v>951</v>
      </c>
      <c r="C731" s="13" t="s">
        <v>226</v>
      </c>
      <c r="D731" s="19" t="n">
        <v>672</v>
      </c>
      <c r="E731" s="23" t="n">
        <v>0.207</v>
      </c>
      <c r="F731" s="19" t="n">
        <v>60</v>
      </c>
      <c r="G731" s="19" t="n">
        <v>2</v>
      </c>
      <c r="H731" s="14" t="n">
        <v>10570</v>
      </c>
      <c r="I731" s="14" t="n">
        <v>10364.56</v>
      </c>
      <c r="J731" s="24" t="n">
        <v>1.365</v>
      </c>
      <c r="K731" s="19" t="n">
        <v>0</v>
      </c>
      <c r="L731" s="13" t="str">
        <f aca="false">IF(D731&gt;=Inputs!$C$14,"Near-prime","Non-prime")</f>
        <v>Near-prime</v>
      </c>
      <c r="M731" s="19" t="n">
        <f aca="false">IF(K731&lt;=Inputs!$C$19,1,0)</f>
        <v>1</v>
      </c>
      <c r="N731" s="19" t="n">
        <f aca="false">IF(F731&lt;=Inputs!$C$20,1,0)</f>
        <v>1</v>
      </c>
      <c r="O731" s="19" t="n">
        <f aca="false">IF(J731&lt;=Inputs!$C$21,1,0)</f>
        <v>1</v>
      </c>
      <c r="P731" s="19" t="n">
        <f aca="false">IF(D731&gt;=Inputs!$C$22,1,0)</f>
        <v>1</v>
      </c>
      <c r="Q731" s="19" t="n">
        <f aca="false">IF(I731&lt;=Inputs!$C$23,1,0)</f>
        <v>1</v>
      </c>
      <c r="R731" s="19" t="n">
        <f aca="false">M731*N731*O731*P731*Q731</f>
        <v>1</v>
      </c>
      <c r="S731" s="14" t="n">
        <f aca="false">I731*R731</f>
        <v>10364.56</v>
      </c>
      <c r="T731" s="19" t="n">
        <f aca="false">IF(F731&gt;72,1,0)</f>
        <v>0</v>
      </c>
      <c r="U731" s="19" t="n">
        <f aca="false">IF(J731&gt;1.25,1,0)</f>
        <v>1</v>
      </c>
    </row>
    <row r="732" customFormat="false" ht="15" hidden="false" customHeight="false" outlineLevel="0" collapsed="false">
      <c r="B732" s="13" t="s">
        <v>952</v>
      </c>
      <c r="C732" s="13" t="s">
        <v>233</v>
      </c>
      <c r="D732" s="19" t="n">
        <v>655</v>
      </c>
      <c r="E732" s="23" t="n">
        <v>0.1822</v>
      </c>
      <c r="F732" s="19" t="n">
        <v>75</v>
      </c>
      <c r="G732" s="19" t="n">
        <v>8</v>
      </c>
      <c r="H732" s="14" t="n">
        <v>19600</v>
      </c>
      <c r="I732" s="14" t="n">
        <v>18402.06</v>
      </c>
      <c r="J732" s="24" t="n">
        <v>0.973</v>
      </c>
      <c r="K732" s="19" t="n">
        <v>75</v>
      </c>
      <c r="L732" s="13" t="str">
        <f aca="false">IF(D732&gt;=Inputs!$C$14,"Near-prime","Non-prime")</f>
        <v>Near-prime</v>
      </c>
      <c r="M732" s="19" t="n">
        <f aca="false">IF(K732&lt;=Inputs!$C$19,1,0)</f>
        <v>0</v>
      </c>
      <c r="N732" s="19" t="n">
        <f aca="false">IF(F732&lt;=Inputs!$C$20,1,0)</f>
        <v>1</v>
      </c>
      <c r="O732" s="19" t="n">
        <f aca="false">IF(J732&lt;=Inputs!$C$21,1,0)</f>
        <v>1</v>
      </c>
      <c r="P732" s="19" t="n">
        <f aca="false">IF(D732&gt;=Inputs!$C$22,1,0)</f>
        <v>1</v>
      </c>
      <c r="Q732" s="19" t="n">
        <f aca="false">IF(I732&lt;=Inputs!$C$23,1,0)</f>
        <v>1</v>
      </c>
      <c r="R732" s="19" t="n">
        <f aca="false">M732*N732*O732*P732*Q732</f>
        <v>0</v>
      </c>
      <c r="S732" s="14" t="n">
        <f aca="false">I732*R732</f>
        <v>0</v>
      </c>
      <c r="T732" s="19" t="n">
        <f aca="false">IF(F732&gt;72,1,0)</f>
        <v>1</v>
      </c>
      <c r="U732" s="19" t="n">
        <f aca="false">IF(J732&gt;1.25,1,0)</f>
        <v>0</v>
      </c>
    </row>
    <row r="733" customFormat="false" ht="15" hidden="false" customHeight="false" outlineLevel="0" collapsed="false">
      <c r="B733" s="13" t="s">
        <v>953</v>
      </c>
      <c r="C733" s="13" t="s">
        <v>237</v>
      </c>
      <c r="D733" s="19" t="n">
        <v>702</v>
      </c>
      <c r="E733" s="23" t="n">
        <v>0.1767</v>
      </c>
      <c r="F733" s="19" t="n">
        <v>75</v>
      </c>
      <c r="G733" s="19" t="n">
        <v>2</v>
      </c>
      <c r="H733" s="14" t="n">
        <v>15000</v>
      </c>
      <c r="I733" s="14" t="n">
        <v>14776.73</v>
      </c>
      <c r="J733" s="24" t="n">
        <v>1.454</v>
      </c>
      <c r="K733" s="19" t="n">
        <v>0</v>
      </c>
      <c r="L733" s="13" t="str">
        <f aca="false">IF(D733&gt;=Inputs!$C$14,"Near-prime","Non-prime")</f>
        <v>Near-prime</v>
      </c>
      <c r="M733" s="19" t="n">
        <f aca="false">IF(K733&lt;=Inputs!$C$19,1,0)</f>
        <v>1</v>
      </c>
      <c r="N733" s="19" t="n">
        <f aca="false">IF(F733&lt;=Inputs!$C$20,1,0)</f>
        <v>1</v>
      </c>
      <c r="O733" s="19" t="n">
        <f aca="false">IF(J733&lt;=Inputs!$C$21,1,0)</f>
        <v>1</v>
      </c>
      <c r="P733" s="19" t="n">
        <f aca="false">IF(D733&gt;=Inputs!$C$22,1,0)</f>
        <v>1</v>
      </c>
      <c r="Q733" s="19" t="n">
        <f aca="false">IF(I733&lt;=Inputs!$C$23,1,0)</f>
        <v>1</v>
      </c>
      <c r="R733" s="19" t="n">
        <f aca="false">M733*N733*O733*P733*Q733</f>
        <v>1</v>
      </c>
      <c r="S733" s="14" t="n">
        <f aca="false">I733*R733</f>
        <v>14776.73</v>
      </c>
      <c r="T733" s="19" t="n">
        <f aca="false">IF(F733&gt;72,1,0)</f>
        <v>1</v>
      </c>
      <c r="U733" s="19" t="n">
        <f aca="false">IF(J733&gt;1.25,1,0)</f>
        <v>1</v>
      </c>
    </row>
    <row r="734" customFormat="false" ht="15" hidden="false" customHeight="false" outlineLevel="0" collapsed="false">
      <c r="B734" s="13" t="s">
        <v>954</v>
      </c>
      <c r="C734" s="13" t="s">
        <v>252</v>
      </c>
      <c r="D734" s="19" t="n">
        <v>622</v>
      </c>
      <c r="E734" s="23" t="n">
        <v>0.2149</v>
      </c>
      <c r="F734" s="19" t="n">
        <v>60</v>
      </c>
      <c r="G734" s="19" t="n">
        <v>8</v>
      </c>
      <c r="H734" s="14" t="n">
        <v>13070</v>
      </c>
      <c r="I734" s="14" t="n">
        <v>12020.89</v>
      </c>
      <c r="J734" s="24" t="n">
        <v>0.848</v>
      </c>
      <c r="K734" s="19" t="n">
        <v>0</v>
      </c>
      <c r="L734" s="13" t="str">
        <f aca="false">IF(D734&gt;=Inputs!$C$14,"Near-prime","Non-prime")</f>
        <v>Near-prime</v>
      </c>
      <c r="M734" s="19" t="n">
        <f aca="false">IF(K734&lt;=Inputs!$C$19,1,0)</f>
        <v>1</v>
      </c>
      <c r="N734" s="19" t="n">
        <f aca="false">IF(F734&lt;=Inputs!$C$20,1,0)</f>
        <v>1</v>
      </c>
      <c r="O734" s="19" t="n">
        <f aca="false">IF(J734&lt;=Inputs!$C$21,1,0)</f>
        <v>1</v>
      </c>
      <c r="P734" s="19" t="n">
        <f aca="false">IF(D734&gt;=Inputs!$C$22,1,0)</f>
        <v>1</v>
      </c>
      <c r="Q734" s="19" t="n">
        <f aca="false">IF(I734&lt;=Inputs!$C$23,1,0)</f>
        <v>1</v>
      </c>
      <c r="R734" s="19" t="n">
        <f aca="false">M734*N734*O734*P734*Q734</f>
        <v>1</v>
      </c>
      <c r="S734" s="14" t="n">
        <f aca="false">I734*R734</f>
        <v>12020.89</v>
      </c>
      <c r="T734" s="19" t="n">
        <f aca="false">IF(F734&gt;72,1,0)</f>
        <v>0</v>
      </c>
      <c r="U734" s="19" t="n">
        <f aca="false">IF(J734&gt;1.25,1,0)</f>
        <v>0</v>
      </c>
    </row>
    <row r="735" customFormat="false" ht="15" hidden="false" customHeight="false" outlineLevel="0" collapsed="false">
      <c r="B735" s="13" t="s">
        <v>955</v>
      </c>
      <c r="C735" s="13" t="s">
        <v>221</v>
      </c>
      <c r="D735" s="19" t="n">
        <v>712</v>
      </c>
      <c r="E735" s="23" t="n">
        <v>0.1923</v>
      </c>
      <c r="F735" s="19" t="n">
        <v>72</v>
      </c>
      <c r="G735" s="19" t="n">
        <v>9</v>
      </c>
      <c r="H735" s="14" t="n">
        <v>34790</v>
      </c>
      <c r="I735" s="14" t="n">
        <v>32290.86</v>
      </c>
      <c r="J735" s="24" t="n">
        <v>1.017</v>
      </c>
      <c r="K735" s="19" t="n">
        <v>0</v>
      </c>
      <c r="L735" s="13" t="str">
        <f aca="false">IF(D735&gt;=Inputs!$C$14,"Near-prime","Non-prime")</f>
        <v>Near-prime</v>
      </c>
      <c r="M735" s="19" t="n">
        <f aca="false">IF(K735&lt;=Inputs!$C$19,1,0)</f>
        <v>1</v>
      </c>
      <c r="N735" s="19" t="n">
        <f aca="false">IF(F735&lt;=Inputs!$C$20,1,0)</f>
        <v>1</v>
      </c>
      <c r="O735" s="19" t="n">
        <f aca="false">IF(J735&lt;=Inputs!$C$21,1,0)</f>
        <v>1</v>
      </c>
      <c r="P735" s="19" t="n">
        <f aca="false">IF(D735&gt;=Inputs!$C$22,1,0)</f>
        <v>1</v>
      </c>
      <c r="Q735" s="19" t="n">
        <f aca="false">IF(I735&lt;=Inputs!$C$23,1,0)</f>
        <v>1</v>
      </c>
      <c r="R735" s="19" t="n">
        <f aca="false">M735*N735*O735*P735*Q735</f>
        <v>1</v>
      </c>
      <c r="S735" s="14" t="n">
        <f aca="false">I735*R735</f>
        <v>32290.86</v>
      </c>
      <c r="T735" s="19" t="n">
        <f aca="false">IF(F735&gt;72,1,0)</f>
        <v>0</v>
      </c>
      <c r="U735" s="19" t="n">
        <f aca="false">IF(J735&gt;1.25,1,0)</f>
        <v>0</v>
      </c>
    </row>
    <row r="736" customFormat="false" ht="15" hidden="false" customHeight="false" outlineLevel="0" collapsed="false">
      <c r="B736" s="13" t="s">
        <v>956</v>
      </c>
      <c r="C736" s="13" t="s">
        <v>221</v>
      </c>
      <c r="D736" s="19" t="n">
        <v>652</v>
      </c>
      <c r="E736" s="23" t="n">
        <v>0.2006</v>
      </c>
      <c r="F736" s="19" t="n">
        <v>60</v>
      </c>
      <c r="G736" s="19" t="n">
        <v>0</v>
      </c>
      <c r="H736" s="14" t="n">
        <v>34300</v>
      </c>
      <c r="I736" s="14" t="n">
        <v>34300</v>
      </c>
      <c r="J736" s="24" t="n">
        <v>1.116</v>
      </c>
      <c r="K736" s="19" t="n">
        <v>0</v>
      </c>
      <c r="L736" s="13" t="str">
        <f aca="false">IF(D736&gt;=Inputs!$C$14,"Near-prime","Non-prime")</f>
        <v>Near-prime</v>
      </c>
      <c r="M736" s="19" t="n">
        <f aca="false">IF(K736&lt;=Inputs!$C$19,1,0)</f>
        <v>1</v>
      </c>
      <c r="N736" s="19" t="n">
        <f aca="false">IF(F736&lt;=Inputs!$C$20,1,0)</f>
        <v>1</v>
      </c>
      <c r="O736" s="19" t="n">
        <f aca="false">IF(J736&lt;=Inputs!$C$21,1,0)</f>
        <v>1</v>
      </c>
      <c r="P736" s="19" t="n">
        <f aca="false">IF(D736&gt;=Inputs!$C$22,1,0)</f>
        <v>1</v>
      </c>
      <c r="Q736" s="19" t="n">
        <f aca="false">IF(I736&lt;=Inputs!$C$23,1,0)</f>
        <v>1</v>
      </c>
      <c r="R736" s="19" t="n">
        <f aca="false">M736*N736*O736*P736*Q736</f>
        <v>1</v>
      </c>
      <c r="S736" s="14" t="n">
        <f aca="false">I736*R736</f>
        <v>34300</v>
      </c>
      <c r="T736" s="19" t="n">
        <f aca="false">IF(F736&gt;72,1,0)</f>
        <v>0</v>
      </c>
      <c r="U736" s="19" t="n">
        <f aca="false">IF(J736&gt;1.25,1,0)</f>
        <v>0</v>
      </c>
    </row>
    <row r="737" customFormat="false" ht="15" hidden="false" customHeight="false" outlineLevel="0" collapsed="false">
      <c r="B737" s="13" t="s">
        <v>957</v>
      </c>
      <c r="C737" s="13" t="s">
        <v>219</v>
      </c>
      <c r="D737" s="19" t="n">
        <v>616</v>
      </c>
      <c r="E737" s="23" t="n">
        <v>0.2349</v>
      </c>
      <c r="F737" s="19" t="n">
        <v>72</v>
      </c>
      <c r="G737" s="19" t="n">
        <v>6</v>
      </c>
      <c r="H737" s="14" t="n">
        <v>25970</v>
      </c>
      <c r="I737" s="14" t="n">
        <v>24915.6</v>
      </c>
      <c r="J737" s="24" t="n">
        <v>1.047</v>
      </c>
      <c r="K737" s="19" t="n">
        <v>0</v>
      </c>
      <c r="L737" s="13" t="str">
        <f aca="false">IF(D737&gt;=Inputs!$C$14,"Near-prime","Non-prime")</f>
        <v>Non-prime</v>
      </c>
      <c r="M737" s="19" t="n">
        <f aca="false">IF(K737&lt;=Inputs!$C$19,1,0)</f>
        <v>1</v>
      </c>
      <c r="N737" s="19" t="n">
        <f aca="false">IF(F737&lt;=Inputs!$C$20,1,0)</f>
        <v>1</v>
      </c>
      <c r="O737" s="19" t="n">
        <f aca="false">IF(J737&lt;=Inputs!$C$21,1,0)</f>
        <v>1</v>
      </c>
      <c r="P737" s="19" t="n">
        <f aca="false">IF(D737&gt;=Inputs!$C$22,1,0)</f>
        <v>1</v>
      </c>
      <c r="Q737" s="19" t="n">
        <f aca="false">IF(I737&lt;=Inputs!$C$23,1,0)</f>
        <v>1</v>
      </c>
      <c r="R737" s="19" t="n">
        <f aca="false">M737*N737*O737*P737*Q737</f>
        <v>1</v>
      </c>
      <c r="S737" s="14" t="n">
        <f aca="false">I737*R737</f>
        <v>24915.6</v>
      </c>
      <c r="T737" s="19" t="n">
        <f aca="false">IF(F737&gt;72,1,0)</f>
        <v>0</v>
      </c>
      <c r="U737" s="19" t="n">
        <f aca="false">IF(J737&gt;1.25,1,0)</f>
        <v>0</v>
      </c>
    </row>
    <row r="738" customFormat="false" ht="15" hidden="false" customHeight="false" outlineLevel="0" collapsed="false">
      <c r="B738" s="13" t="s">
        <v>958</v>
      </c>
      <c r="C738" s="13" t="s">
        <v>219</v>
      </c>
      <c r="D738" s="19" t="n">
        <v>668</v>
      </c>
      <c r="E738" s="23" t="n">
        <v>0.1891</v>
      </c>
      <c r="F738" s="19" t="n">
        <v>84</v>
      </c>
      <c r="G738" s="19" t="n">
        <v>5</v>
      </c>
      <c r="H738" s="14" t="n">
        <v>16690</v>
      </c>
      <c r="I738" s="14" t="n">
        <v>16190.82</v>
      </c>
      <c r="J738" s="24" t="n">
        <v>0.672</v>
      </c>
      <c r="K738" s="19" t="n">
        <v>0</v>
      </c>
      <c r="L738" s="13" t="str">
        <f aca="false">IF(D738&gt;=Inputs!$C$14,"Near-prime","Non-prime")</f>
        <v>Near-prime</v>
      </c>
      <c r="M738" s="19" t="n">
        <f aca="false">IF(K738&lt;=Inputs!$C$19,1,0)</f>
        <v>1</v>
      </c>
      <c r="N738" s="19" t="n">
        <f aca="false">IF(F738&lt;=Inputs!$C$20,1,0)</f>
        <v>0</v>
      </c>
      <c r="O738" s="19" t="n">
        <f aca="false">IF(J738&lt;=Inputs!$C$21,1,0)</f>
        <v>1</v>
      </c>
      <c r="P738" s="19" t="n">
        <f aca="false">IF(D738&gt;=Inputs!$C$22,1,0)</f>
        <v>1</v>
      </c>
      <c r="Q738" s="19" t="n">
        <f aca="false">IF(I738&lt;=Inputs!$C$23,1,0)</f>
        <v>1</v>
      </c>
      <c r="R738" s="19" t="n">
        <f aca="false">M738*N738*O738*P738*Q738</f>
        <v>0</v>
      </c>
      <c r="S738" s="14" t="n">
        <f aca="false">I738*R738</f>
        <v>0</v>
      </c>
      <c r="T738" s="19" t="n">
        <f aca="false">IF(F738&gt;72,1,0)</f>
        <v>1</v>
      </c>
      <c r="U738" s="19" t="n">
        <f aca="false">IF(J738&gt;1.25,1,0)</f>
        <v>0</v>
      </c>
    </row>
    <row r="739" customFormat="false" ht="15" hidden="false" customHeight="false" outlineLevel="0" collapsed="false">
      <c r="B739" s="13" t="s">
        <v>959</v>
      </c>
      <c r="C739" s="13" t="s">
        <v>217</v>
      </c>
      <c r="D739" s="19" t="n">
        <v>662</v>
      </c>
      <c r="E739" s="23" t="n">
        <v>0.2137</v>
      </c>
      <c r="F739" s="19" t="n">
        <v>72</v>
      </c>
      <c r="G739" s="19" t="n">
        <v>4</v>
      </c>
      <c r="H739" s="14" t="n">
        <v>34690</v>
      </c>
      <c r="I739" s="14" t="n">
        <v>33700.23</v>
      </c>
      <c r="J739" s="24" t="n">
        <v>1.274</v>
      </c>
      <c r="K739" s="19" t="n">
        <v>0</v>
      </c>
      <c r="L739" s="13" t="str">
        <f aca="false">IF(D739&gt;=Inputs!$C$14,"Near-prime","Non-prime")</f>
        <v>Near-prime</v>
      </c>
      <c r="M739" s="19" t="n">
        <f aca="false">IF(K739&lt;=Inputs!$C$19,1,0)</f>
        <v>1</v>
      </c>
      <c r="N739" s="19" t="n">
        <f aca="false">IF(F739&lt;=Inputs!$C$20,1,0)</f>
        <v>1</v>
      </c>
      <c r="O739" s="19" t="n">
        <f aca="false">IF(J739&lt;=Inputs!$C$21,1,0)</f>
        <v>1</v>
      </c>
      <c r="P739" s="19" t="n">
        <f aca="false">IF(D739&gt;=Inputs!$C$22,1,0)</f>
        <v>1</v>
      </c>
      <c r="Q739" s="19" t="n">
        <f aca="false">IF(I739&lt;=Inputs!$C$23,1,0)</f>
        <v>1</v>
      </c>
      <c r="R739" s="19" t="n">
        <f aca="false">M739*N739*O739*P739*Q739</f>
        <v>1</v>
      </c>
      <c r="S739" s="14" t="n">
        <f aca="false">I739*R739</f>
        <v>33700.23</v>
      </c>
      <c r="T739" s="19" t="n">
        <f aca="false">IF(F739&gt;72,1,0)</f>
        <v>0</v>
      </c>
      <c r="U739" s="19" t="n">
        <f aca="false">IF(J739&gt;1.25,1,0)</f>
        <v>1</v>
      </c>
    </row>
    <row r="740" customFormat="false" ht="15" hidden="false" customHeight="false" outlineLevel="0" collapsed="false">
      <c r="B740" s="13" t="s">
        <v>960</v>
      </c>
      <c r="C740" s="13" t="s">
        <v>217</v>
      </c>
      <c r="D740" s="19" t="n">
        <v>658</v>
      </c>
      <c r="E740" s="23" t="n">
        <v>0.2054</v>
      </c>
      <c r="F740" s="19" t="n">
        <v>66</v>
      </c>
      <c r="G740" s="19" t="n">
        <v>2</v>
      </c>
      <c r="H740" s="14" t="n">
        <v>24160</v>
      </c>
      <c r="I740" s="14" t="n">
        <v>23756.11</v>
      </c>
      <c r="J740" s="24" t="n">
        <v>1.009</v>
      </c>
      <c r="K740" s="19" t="n">
        <v>0</v>
      </c>
      <c r="L740" s="13" t="str">
        <f aca="false">IF(D740&gt;=Inputs!$C$14,"Near-prime","Non-prime")</f>
        <v>Near-prime</v>
      </c>
      <c r="M740" s="19" t="n">
        <f aca="false">IF(K740&lt;=Inputs!$C$19,1,0)</f>
        <v>1</v>
      </c>
      <c r="N740" s="19" t="n">
        <f aca="false">IF(F740&lt;=Inputs!$C$20,1,0)</f>
        <v>1</v>
      </c>
      <c r="O740" s="19" t="n">
        <f aca="false">IF(J740&lt;=Inputs!$C$21,1,0)</f>
        <v>1</v>
      </c>
      <c r="P740" s="19" t="n">
        <f aca="false">IF(D740&gt;=Inputs!$C$22,1,0)</f>
        <v>1</v>
      </c>
      <c r="Q740" s="19" t="n">
        <f aca="false">IF(I740&lt;=Inputs!$C$23,1,0)</f>
        <v>1</v>
      </c>
      <c r="R740" s="19" t="n">
        <f aca="false">M740*N740*O740*P740*Q740</f>
        <v>1</v>
      </c>
      <c r="S740" s="14" t="n">
        <f aca="false">I740*R740</f>
        <v>23756.11</v>
      </c>
      <c r="T740" s="19" t="n">
        <f aca="false">IF(F740&gt;72,1,0)</f>
        <v>0</v>
      </c>
      <c r="U740" s="19" t="n">
        <f aca="false">IF(J740&gt;1.25,1,0)</f>
        <v>0</v>
      </c>
    </row>
    <row r="741" customFormat="false" ht="15" hidden="false" customHeight="false" outlineLevel="0" collapsed="false">
      <c r="B741" s="13" t="s">
        <v>961</v>
      </c>
      <c r="C741" s="13" t="s">
        <v>221</v>
      </c>
      <c r="D741" s="19" t="n">
        <v>605</v>
      </c>
      <c r="E741" s="23" t="n">
        <v>0.2115</v>
      </c>
      <c r="F741" s="19" t="n">
        <v>60</v>
      </c>
      <c r="G741" s="19" t="n">
        <v>1</v>
      </c>
      <c r="H741" s="14" t="n">
        <v>21360</v>
      </c>
      <c r="I741" s="14" t="n">
        <v>21156.81</v>
      </c>
      <c r="J741" s="24" t="n">
        <v>1.285</v>
      </c>
      <c r="K741" s="19" t="n">
        <v>0</v>
      </c>
      <c r="L741" s="13" t="str">
        <f aca="false">IF(D741&gt;=Inputs!$C$14,"Near-prime","Non-prime")</f>
        <v>Non-prime</v>
      </c>
      <c r="M741" s="19" t="n">
        <f aca="false">IF(K741&lt;=Inputs!$C$19,1,0)</f>
        <v>1</v>
      </c>
      <c r="N741" s="19" t="n">
        <f aca="false">IF(F741&lt;=Inputs!$C$20,1,0)</f>
        <v>1</v>
      </c>
      <c r="O741" s="19" t="n">
        <f aca="false">IF(J741&lt;=Inputs!$C$21,1,0)</f>
        <v>1</v>
      </c>
      <c r="P741" s="19" t="n">
        <f aca="false">IF(D741&gt;=Inputs!$C$22,1,0)</f>
        <v>1</v>
      </c>
      <c r="Q741" s="19" t="n">
        <f aca="false">IF(I741&lt;=Inputs!$C$23,1,0)</f>
        <v>1</v>
      </c>
      <c r="R741" s="19" t="n">
        <f aca="false">M741*N741*O741*P741*Q741</f>
        <v>1</v>
      </c>
      <c r="S741" s="14" t="n">
        <f aca="false">I741*R741</f>
        <v>21156.81</v>
      </c>
      <c r="T741" s="19" t="n">
        <f aca="false">IF(F741&gt;72,1,0)</f>
        <v>0</v>
      </c>
      <c r="U741" s="19" t="n">
        <f aca="false">IF(J741&gt;1.25,1,0)</f>
        <v>1</v>
      </c>
    </row>
    <row r="742" customFormat="false" ht="15" hidden="false" customHeight="false" outlineLevel="0" collapsed="false">
      <c r="B742" s="13" t="s">
        <v>962</v>
      </c>
      <c r="C742" s="13" t="s">
        <v>223</v>
      </c>
      <c r="D742" s="19" t="n">
        <v>639</v>
      </c>
      <c r="E742" s="23" t="n">
        <v>0.1981</v>
      </c>
      <c r="F742" s="19" t="n">
        <v>84</v>
      </c>
      <c r="G742" s="19" t="n">
        <v>2</v>
      </c>
      <c r="H742" s="14" t="n">
        <v>17500</v>
      </c>
      <c r="I742" s="14" t="n">
        <v>17302.96</v>
      </c>
      <c r="J742" s="24" t="n">
        <v>1.001</v>
      </c>
      <c r="K742" s="19" t="n">
        <v>0</v>
      </c>
      <c r="L742" s="13" t="str">
        <f aca="false">IF(D742&gt;=Inputs!$C$14,"Near-prime","Non-prime")</f>
        <v>Near-prime</v>
      </c>
      <c r="M742" s="19" t="n">
        <f aca="false">IF(K742&lt;=Inputs!$C$19,1,0)</f>
        <v>1</v>
      </c>
      <c r="N742" s="19" t="n">
        <f aca="false">IF(F742&lt;=Inputs!$C$20,1,0)</f>
        <v>0</v>
      </c>
      <c r="O742" s="19" t="n">
        <f aca="false">IF(J742&lt;=Inputs!$C$21,1,0)</f>
        <v>1</v>
      </c>
      <c r="P742" s="19" t="n">
        <f aca="false">IF(D742&gt;=Inputs!$C$22,1,0)</f>
        <v>1</v>
      </c>
      <c r="Q742" s="19" t="n">
        <f aca="false">IF(I742&lt;=Inputs!$C$23,1,0)</f>
        <v>1</v>
      </c>
      <c r="R742" s="19" t="n">
        <f aca="false">M742*N742*O742*P742*Q742</f>
        <v>0</v>
      </c>
      <c r="S742" s="14" t="n">
        <f aca="false">I742*R742</f>
        <v>0</v>
      </c>
      <c r="T742" s="19" t="n">
        <f aca="false">IF(F742&gt;72,1,0)</f>
        <v>1</v>
      </c>
      <c r="U742" s="19" t="n">
        <f aca="false">IF(J742&gt;1.25,1,0)</f>
        <v>0</v>
      </c>
    </row>
    <row r="743" customFormat="false" ht="15" hidden="false" customHeight="false" outlineLevel="0" collapsed="false">
      <c r="B743" s="13" t="s">
        <v>963</v>
      </c>
      <c r="C743" s="13" t="s">
        <v>219</v>
      </c>
      <c r="D743" s="19" t="n">
        <v>634</v>
      </c>
      <c r="E743" s="23" t="n">
        <v>0.1882</v>
      </c>
      <c r="F743" s="19" t="n">
        <v>60</v>
      </c>
      <c r="G743" s="19" t="n">
        <v>1</v>
      </c>
      <c r="H743" s="14" t="n">
        <v>24320</v>
      </c>
      <c r="I743" s="14" t="n">
        <v>24072.95</v>
      </c>
      <c r="J743" s="24" t="n">
        <v>1.157</v>
      </c>
      <c r="K743" s="19" t="n">
        <v>0</v>
      </c>
      <c r="L743" s="13" t="str">
        <f aca="false">IF(D743&gt;=Inputs!$C$14,"Near-prime","Non-prime")</f>
        <v>Near-prime</v>
      </c>
      <c r="M743" s="19" t="n">
        <f aca="false">IF(K743&lt;=Inputs!$C$19,1,0)</f>
        <v>1</v>
      </c>
      <c r="N743" s="19" t="n">
        <f aca="false">IF(F743&lt;=Inputs!$C$20,1,0)</f>
        <v>1</v>
      </c>
      <c r="O743" s="19" t="n">
        <f aca="false">IF(J743&lt;=Inputs!$C$21,1,0)</f>
        <v>1</v>
      </c>
      <c r="P743" s="19" t="n">
        <f aca="false">IF(D743&gt;=Inputs!$C$22,1,0)</f>
        <v>1</v>
      </c>
      <c r="Q743" s="19" t="n">
        <f aca="false">IF(I743&lt;=Inputs!$C$23,1,0)</f>
        <v>1</v>
      </c>
      <c r="R743" s="19" t="n">
        <f aca="false">M743*N743*O743*P743*Q743</f>
        <v>1</v>
      </c>
      <c r="S743" s="14" t="n">
        <f aca="false">I743*R743</f>
        <v>24072.95</v>
      </c>
      <c r="T743" s="19" t="n">
        <f aca="false">IF(F743&gt;72,1,0)</f>
        <v>0</v>
      </c>
      <c r="U743" s="19" t="n">
        <f aca="false">IF(J743&gt;1.25,1,0)</f>
        <v>0</v>
      </c>
    </row>
    <row r="744" customFormat="false" ht="15" hidden="false" customHeight="false" outlineLevel="0" collapsed="false">
      <c r="B744" s="13" t="s">
        <v>964</v>
      </c>
      <c r="C744" s="13" t="s">
        <v>233</v>
      </c>
      <c r="D744" s="19" t="n">
        <v>682</v>
      </c>
      <c r="E744" s="23" t="n">
        <v>0.1827</v>
      </c>
      <c r="F744" s="19" t="n">
        <v>66</v>
      </c>
      <c r="G744" s="19" t="n">
        <v>9</v>
      </c>
      <c r="H744" s="14" t="n">
        <v>21560</v>
      </c>
      <c r="I744" s="14" t="n">
        <v>19724.28</v>
      </c>
      <c r="J744" s="24" t="n">
        <v>1.245</v>
      </c>
      <c r="K744" s="19" t="n">
        <v>30</v>
      </c>
      <c r="L744" s="13" t="str">
        <f aca="false">IF(D744&gt;=Inputs!$C$14,"Near-prime","Non-prime")</f>
        <v>Near-prime</v>
      </c>
      <c r="M744" s="19" t="n">
        <f aca="false">IF(K744&lt;=Inputs!$C$19,1,0)</f>
        <v>1</v>
      </c>
      <c r="N744" s="19" t="n">
        <f aca="false">IF(F744&lt;=Inputs!$C$20,1,0)</f>
        <v>1</v>
      </c>
      <c r="O744" s="19" t="n">
        <f aca="false">IF(J744&lt;=Inputs!$C$21,1,0)</f>
        <v>1</v>
      </c>
      <c r="P744" s="19" t="n">
        <f aca="false">IF(D744&gt;=Inputs!$C$22,1,0)</f>
        <v>1</v>
      </c>
      <c r="Q744" s="19" t="n">
        <f aca="false">IF(I744&lt;=Inputs!$C$23,1,0)</f>
        <v>1</v>
      </c>
      <c r="R744" s="19" t="n">
        <f aca="false">M744*N744*O744*P744*Q744</f>
        <v>1</v>
      </c>
      <c r="S744" s="14" t="n">
        <f aca="false">I744*R744</f>
        <v>19724.28</v>
      </c>
      <c r="T744" s="19" t="n">
        <f aca="false">IF(F744&gt;72,1,0)</f>
        <v>0</v>
      </c>
      <c r="U744" s="19" t="n">
        <f aca="false">IF(J744&gt;1.25,1,0)</f>
        <v>0</v>
      </c>
    </row>
    <row r="745" customFormat="false" ht="15" hidden="false" customHeight="false" outlineLevel="0" collapsed="false">
      <c r="B745" s="13" t="s">
        <v>965</v>
      </c>
      <c r="C745" s="13" t="s">
        <v>223</v>
      </c>
      <c r="D745" s="19" t="n">
        <v>711</v>
      </c>
      <c r="E745" s="23" t="n">
        <v>0.1878</v>
      </c>
      <c r="F745" s="19" t="n">
        <v>66</v>
      </c>
      <c r="G745" s="19" t="n">
        <v>3</v>
      </c>
      <c r="H745" s="14" t="n">
        <v>20660</v>
      </c>
      <c r="I745" s="14" t="n">
        <v>20108.6</v>
      </c>
      <c r="J745" s="24" t="n">
        <v>0.945</v>
      </c>
      <c r="K745" s="19" t="n">
        <v>0</v>
      </c>
      <c r="L745" s="13" t="str">
        <f aca="false">IF(D745&gt;=Inputs!$C$14,"Near-prime","Non-prime")</f>
        <v>Near-prime</v>
      </c>
      <c r="M745" s="19" t="n">
        <f aca="false">IF(K745&lt;=Inputs!$C$19,1,0)</f>
        <v>1</v>
      </c>
      <c r="N745" s="19" t="n">
        <f aca="false">IF(F745&lt;=Inputs!$C$20,1,0)</f>
        <v>1</v>
      </c>
      <c r="O745" s="19" t="n">
        <f aca="false">IF(J745&lt;=Inputs!$C$21,1,0)</f>
        <v>1</v>
      </c>
      <c r="P745" s="19" t="n">
        <f aca="false">IF(D745&gt;=Inputs!$C$22,1,0)</f>
        <v>1</v>
      </c>
      <c r="Q745" s="19" t="n">
        <f aca="false">IF(I745&lt;=Inputs!$C$23,1,0)</f>
        <v>1</v>
      </c>
      <c r="R745" s="19" t="n">
        <f aca="false">M745*N745*O745*P745*Q745</f>
        <v>1</v>
      </c>
      <c r="S745" s="14" t="n">
        <f aca="false">I745*R745</f>
        <v>20108.6</v>
      </c>
      <c r="T745" s="19" t="n">
        <f aca="false">IF(F745&gt;72,1,0)</f>
        <v>0</v>
      </c>
      <c r="U745" s="19" t="n">
        <f aca="false">IF(J745&gt;1.25,1,0)</f>
        <v>0</v>
      </c>
    </row>
    <row r="746" customFormat="false" ht="15" hidden="false" customHeight="false" outlineLevel="0" collapsed="false">
      <c r="B746" s="13" t="s">
        <v>966</v>
      </c>
      <c r="C746" s="13" t="s">
        <v>226</v>
      </c>
      <c r="D746" s="19" t="n">
        <v>687</v>
      </c>
      <c r="E746" s="23" t="n">
        <v>0.187</v>
      </c>
      <c r="F746" s="19" t="n">
        <v>72</v>
      </c>
      <c r="G746" s="19" t="n">
        <v>5</v>
      </c>
      <c r="H746" s="14" t="n">
        <v>20680</v>
      </c>
      <c r="I746" s="14" t="n">
        <v>19866.94</v>
      </c>
      <c r="J746" s="24" t="n">
        <v>1.239</v>
      </c>
      <c r="K746" s="19" t="n">
        <v>0</v>
      </c>
      <c r="L746" s="13" t="str">
        <f aca="false">IF(D746&gt;=Inputs!$C$14,"Near-prime","Non-prime")</f>
        <v>Near-prime</v>
      </c>
      <c r="M746" s="19" t="n">
        <f aca="false">IF(K746&lt;=Inputs!$C$19,1,0)</f>
        <v>1</v>
      </c>
      <c r="N746" s="19" t="n">
        <f aca="false">IF(F746&lt;=Inputs!$C$20,1,0)</f>
        <v>1</v>
      </c>
      <c r="O746" s="19" t="n">
        <f aca="false">IF(J746&lt;=Inputs!$C$21,1,0)</f>
        <v>1</v>
      </c>
      <c r="P746" s="19" t="n">
        <f aca="false">IF(D746&gt;=Inputs!$C$22,1,0)</f>
        <v>1</v>
      </c>
      <c r="Q746" s="19" t="n">
        <f aca="false">IF(I746&lt;=Inputs!$C$23,1,0)</f>
        <v>1</v>
      </c>
      <c r="R746" s="19" t="n">
        <f aca="false">M746*N746*O746*P746*Q746</f>
        <v>1</v>
      </c>
      <c r="S746" s="14" t="n">
        <f aca="false">I746*R746</f>
        <v>19866.94</v>
      </c>
      <c r="T746" s="19" t="n">
        <f aca="false">IF(F746&gt;72,1,0)</f>
        <v>0</v>
      </c>
      <c r="U746" s="19" t="n">
        <f aca="false">IF(J746&gt;1.25,1,0)</f>
        <v>0</v>
      </c>
    </row>
    <row r="747" customFormat="false" ht="15" hidden="false" customHeight="false" outlineLevel="0" collapsed="false">
      <c r="B747" s="13" t="s">
        <v>967</v>
      </c>
      <c r="C747" s="13" t="s">
        <v>223</v>
      </c>
      <c r="D747" s="19" t="n">
        <v>683</v>
      </c>
      <c r="E747" s="23" t="n">
        <v>0.1888</v>
      </c>
      <c r="F747" s="19" t="n">
        <v>60</v>
      </c>
      <c r="G747" s="19" t="n">
        <v>7</v>
      </c>
      <c r="H747" s="14" t="n">
        <v>29250</v>
      </c>
      <c r="I747" s="14" t="n">
        <v>27072.96</v>
      </c>
      <c r="J747" s="24" t="n">
        <v>1.117</v>
      </c>
      <c r="K747" s="19" t="n">
        <v>0</v>
      </c>
      <c r="L747" s="13" t="str">
        <f aca="false">IF(D747&gt;=Inputs!$C$14,"Near-prime","Non-prime")</f>
        <v>Near-prime</v>
      </c>
      <c r="M747" s="19" t="n">
        <f aca="false">IF(K747&lt;=Inputs!$C$19,1,0)</f>
        <v>1</v>
      </c>
      <c r="N747" s="19" t="n">
        <f aca="false">IF(F747&lt;=Inputs!$C$20,1,0)</f>
        <v>1</v>
      </c>
      <c r="O747" s="19" t="n">
        <f aca="false">IF(J747&lt;=Inputs!$C$21,1,0)</f>
        <v>1</v>
      </c>
      <c r="P747" s="19" t="n">
        <f aca="false">IF(D747&gt;=Inputs!$C$22,1,0)</f>
        <v>1</v>
      </c>
      <c r="Q747" s="19" t="n">
        <f aca="false">IF(I747&lt;=Inputs!$C$23,1,0)</f>
        <v>1</v>
      </c>
      <c r="R747" s="19" t="n">
        <f aca="false">M747*N747*O747*P747*Q747</f>
        <v>1</v>
      </c>
      <c r="S747" s="14" t="n">
        <f aca="false">I747*R747</f>
        <v>27072.96</v>
      </c>
      <c r="T747" s="19" t="n">
        <f aca="false">IF(F747&gt;72,1,0)</f>
        <v>0</v>
      </c>
      <c r="U747" s="19" t="n">
        <f aca="false">IF(J747&gt;1.25,1,0)</f>
        <v>0</v>
      </c>
    </row>
    <row r="748" customFormat="false" ht="15" hidden="false" customHeight="false" outlineLevel="0" collapsed="false">
      <c r="B748" s="13" t="s">
        <v>968</v>
      </c>
      <c r="C748" s="13" t="s">
        <v>237</v>
      </c>
      <c r="D748" s="19" t="n">
        <v>701</v>
      </c>
      <c r="E748" s="23" t="n">
        <v>0.1926</v>
      </c>
      <c r="F748" s="19" t="n">
        <v>60</v>
      </c>
      <c r="G748" s="19" t="n">
        <v>6</v>
      </c>
      <c r="H748" s="14" t="n">
        <v>28310</v>
      </c>
      <c r="I748" s="14" t="n">
        <v>26535.79</v>
      </c>
      <c r="J748" s="24" t="n">
        <v>1.048</v>
      </c>
      <c r="K748" s="19" t="n">
        <v>0</v>
      </c>
      <c r="L748" s="13" t="str">
        <f aca="false">IF(D748&gt;=Inputs!$C$14,"Near-prime","Non-prime")</f>
        <v>Near-prime</v>
      </c>
      <c r="M748" s="19" t="n">
        <f aca="false">IF(K748&lt;=Inputs!$C$19,1,0)</f>
        <v>1</v>
      </c>
      <c r="N748" s="19" t="n">
        <f aca="false">IF(F748&lt;=Inputs!$C$20,1,0)</f>
        <v>1</v>
      </c>
      <c r="O748" s="19" t="n">
        <f aca="false">IF(J748&lt;=Inputs!$C$21,1,0)</f>
        <v>1</v>
      </c>
      <c r="P748" s="19" t="n">
        <f aca="false">IF(D748&gt;=Inputs!$C$22,1,0)</f>
        <v>1</v>
      </c>
      <c r="Q748" s="19" t="n">
        <f aca="false">IF(I748&lt;=Inputs!$C$23,1,0)</f>
        <v>1</v>
      </c>
      <c r="R748" s="19" t="n">
        <f aca="false">M748*N748*O748*P748*Q748</f>
        <v>1</v>
      </c>
      <c r="S748" s="14" t="n">
        <f aca="false">I748*R748</f>
        <v>26535.79</v>
      </c>
      <c r="T748" s="19" t="n">
        <f aca="false">IF(F748&gt;72,1,0)</f>
        <v>0</v>
      </c>
      <c r="U748" s="19" t="n">
        <f aca="false">IF(J748&gt;1.25,1,0)</f>
        <v>0</v>
      </c>
    </row>
    <row r="749" customFormat="false" ht="15" hidden="false" customHeight="false" outlineLevel="0" collapsed="false">
      <c r="B749" s="13" t="s">
        <v>969</v>
      </c>
      <c r="C749" s="13" t="s">
        <v>217</v>
      </c>
      <c r="D749" s="19" t="n">
        <v>708</v>
      </c>
      <c r="E749" s="23" t="n">
        <v>0.2081</v>
      </c>
      <c r="F749" s="19" t="n">
        <v>72</v>
      </c>
      <c r="G749" s="19" t="n">
        <v>1</v>
      </c>
      <c r="H749" s="14" t="n">
        <v>37320</v>
      </c>
      <c r="I749" s="14" t="n">
        <v>37055.66</v>
      </c>
      <c r="J749" s="24" t="n">
        <v>1.387</v>
      </c>
      <c r="K749" s="19" t="n">
        <v>0</v>
      </c>
      <c r="L749" s="13" t="str">
        <f aca="false">IF(D749&gt;=Inputs!$C$14,"Near-prime","Non-prime")</f>
        <v>Near-prime</v>
      </c>
      <c r="M749" s="19" t="n">
        <f aca="false">IF(K749&lt;=Inputs!$C$19,1,0)</f>
        <v>1</v>
      </c>
      <c r="N749" s="19" t="n">
        <f aca="false">IF(F749&lt;=Inputs!$C$20,1,0)</f>
        <v>1</v>
      </c>
      <c r="O749" s="19" t="n">
        <f aca="false">IF(J749&lt;=Inputs!$C$21,1,0)</f>
        <v>1</v>
      </c>
      <c r="P749" s="19" t="n">
        <f aca="false">IF(D749&gt;=Inputs!$C$22,1,0)</f>
        <v>1</v>
      </c>
      <c r="Q749" s="19" t="n">
        <f aca="false">IF(I749&lt;=Inputs!$C$23,1,0)</f>
        <v>1</v>
      </c>
      <c r="R749" s="19" t="n">
        <f aca="false">M749*N749*O749*P749*Q749</f>
        <v>1</v>
      </c>
      <c r="S749" s="14" t="n">
        <f aca="false">I749*R749</f>
        <v>37055.66</v>
      </c>
      <c r="T749" s="19" t="n">
        <f aca="false">IF(F749&gt;72,1,0)</f>
        <v>0</v>
      </c>
      <c r="U749" s="19" t="n">
        <f aca="false">IF(J749&gt;1.25,1,0)</f>
        <v>1</v>
      </c>
    </row>
    <row r="750" customFormat="false" ht="15" hidden="false" customHeight="false" outlineLevel="0" collapsed="false">
      <c r="B750" s="13" t="s">
        <v>970</v>
      </c>
      <c r="C750" s="13" t="s">
        <v>219</v>
      </c>
      <c r="D750" s="19" t="n">
        <v>624</v>
      </c>
      <c r="E750" s="23" t="n">
        <v>0.2172</v>
      </c>
      <c r="F750" s="19" t="n">
        <v>60</v>
      </c>
      <c r="G750" s="19" t="n">
        <v>10</v>
      </c>
      <c r="H750" s="14" t="n">
        <v>21070</v>
      </c>
      <c r="I750" s="14" t="n">
        <v>18929.22</v>
      </c>
      <c r="J750" s="24" t="n">
        <v>1.378</v>
      </c>
      <c r="K750" s="19" t="n">
        <v>0</v>
      </c>
      <c r="L750" s="13" t="str">
        <f aca="false">IF(D750&gt;=Inputs!$C$14,"Near-prime","Non-prime")</f>
        <v>Near-prime</v>
      </c>
      <c r="M750" s="19" t="n">
        <f aca="false">IF(K750&lt;=Inputs!$C$19,1,0)</f>
        <v>1</v>
      </c>
      <c r="N750" s="19" t="n">
        <f aca="false">IF(F750&lt;=Inputs!$C$20,1,0)</f>
        <v>1</v>
      </c>
      <c r="O750" s="19" t="n">
        <f aca="false">IF(J750&lt;=Inputs!$C$21,1,0)</f>
        <v>1</v>
      </c>
      <c r="P750" s="19" t="n">
        <f aca="false">IF(D750&gt;=Inputs!$C$22,1,0)</f>
        <v>1</v>
      </c>
      <c r="Q750" s="19" t="n">
        <f aca="false">IF(I750&lt;=Inputs!$C$23,1,0)</f>
        <v>1</v>
      </c>
      <c r="R750" s="19" t="n">
        <f aca="false">M750*N750*O750*P750*Q750</f>
        <v>1</v>
      </c>
      <c r="S750" s="14" t="n">
        <f aca="false">I750*R750</f>
        <v>18929.22</v>
      </c>
      <c r="T750" s="19" t="n">
        <f aca="false">IF(F750&gt;72,1,0)</f>
        <v>0</v>
      </c>
      <c r="U750" s="19" t="n">
        <f aca="false">IF(J750&gt;1.25,1,0)</f>
        <v>1</v>
      </c>
    </row>
    <row r="751" customFormat="false" ht="15" hidden="false" customHeight="false" outlineLevel="0" collapsed="false">
      <c r="B751" s="13" t="s">
        <v>971</v>
      </c>
      <c r="C751" s="13" t="s">
        <v>221</v>
      </c>
      <c r="D751" s="19" t="n">
        <v>584</v>
      </c>
      <c r="E751" s="23" t="n">
        <v>0.2205</v>
      </c>
      <c r="F751" s="19" t="n">
        <v>66</v>
      </c>
      <c r="G751" s="19" t="n">
        <v>7</v>
      </c>
      <c r="H751" s="14" t="n">
        <v>15240</v>
      </c>
      <c r="I751" s="14" t="n">
        <v>14349.3</v>
      </c>
      <c r="J751" s="24" t="n">
        <v>1.436</v>
      </c>
      <c r="K751" s="19" t="n">
        <v>0</v>
      </c>
      <c r="L751" s="13" t="str">
        <f aca="false">IF(D751&gt;=Inputs!$C$14,"Near-prime","Non-prime")</f>
        <v>Non-prime</v>
      </c>
      <c r="M751" s="19" t="n">
        <f aca="false">IF(K751&lt;=Inputs!$C$19,1,0)</f>
        <v>1</v>
      </c>
      <c r="N751" s="19" t="n">
        <f aca="false">IF(F751&lt;=Inputs!$C$20,1,0)</f>
        <v>1</v>
      </c>
      <c r="O751" s="19" t="n">
        <f aca="false">IF(J751&lt;=Inputs!$C$21,1,0)</f>
        <v>1</v>
      </c>
      <c r="P751" s="19" t="n">
        <f aca="false">IF(D751&gt;=Inputs!$C$22,1,0)</f>
        <v>1</v>
      </c>
      <c r="Q751" s="19" t="n">
        <f aca="false">IF(I751&lt;=Inputs!$C$23,1,0)</f>
        <v>1</v>
      </c>
      <c r="R751" s="19" t="n">
        <f aca="false">M751*N751*O751*P751*Q751</f>
        <v>1</v>
      </c>
      <c r="S751" s="14" t="n">
        <f aca="false">I751*R751</f>
        <v>14349.3</v>
      </c>
      <c r="T751" s="19" t="n">
        <f aca="false">IF(F751&gt;72,1,0)</f>
        <v>0</v>
      </c>
      <c r="U751" s="19" t="n">
        <f aca="false">IF(J751&gt;1.25,1,0)</f>
        <v>1</v>
      </c>
    </row>
    <row r="752" customFormat="false" ht="15" hidden="false" customHeight="false" outlineLevel="0" collapsed="false">
      <c r="B752" s="13" t="s">
        <v>972</v>
      </c>
      <c r="C752" s="13" t="s">
        <v>226</v>
      </c>
      <c r="D752" s="19" t="n">
        <v>652</v>
      </c>
      <c r="E752" s="23" t="n">
        <v>0.1929</v>
      </c>
      <c r="F752" s="19" t="n">
        <v>72</v>
      </c>
      <c r="G752" s="19" t="n">
        <v>6</v>
      </c>
      <c r="H752" s="14" t="n">
        <v>24710</v>
      </c>
      <c r="I752" s="14" t="n">
        <v>23557.32</v>
      </c>
      <c r="J752" s="24" t="n">
        <v>1.106</v>
      </c>
      <c r="K752" s="19" t="n">
        <v>30</v>
      </c>
      <c r="L752" s="13" t="str">
        <f aca="false">IF(D752&gt;=Inputs!$C$14,"Near-prime","Non-prime")</f>
        <v>Near-prime</v>
      </c>
      <c r="M752" s="19" t="n">
        <f aca="false">IF(K752&lt;=Inputs!$C$19,1,0)</f>
        <v>1</v>
      </c>
      <c r="N752" s="19" t="n">
        <f aca="false">IF(F752&lt;=Inputs!$C$20,1,0)</f>
        <v>1</v>
      </c>
      <c r="O752" s="19" t="n">
        <f aca="false">IF(J752&lt;=Inputs!$C$21,1,0)</f>
        <v>1</v>
      </c>
      <c r="P752" s="19" t="n">
        <f aca="false">IF(D752&gt;=Inputs!$C$22,1,0)</f>
        <v>1</v>
      </c>
      <c r="Q752" s="19" t="n">
        <f aca="false">IF(I752&lt;=Inputs!$C$23,1,0)</f>
        <v>1</v>
      </c>
      <c r="R752" s="19" t="n">
        <f aca="false">M752*N752*O752*P752*Q752</f>
        <v>1</v>
      </c>
      <c r="S752" s="14" t="n">
        <f aca="false">I752*R752</f>
        <v>23557.32</v>
      </c>
      <c r="T752" s="19" t="n">
        <f aca="false">IF(F752&gt;72,1,0)</f>
        <v>0</v>
      </c>
      <c r="U752" s="19" t="n">
        <f aca="false">IF(J752&gt;1.25,1,0)</f>
        <v>0</v>
      </c>
    </row>
    <row r="753" customFormat="false" ht="15" hidden="false" customHeight="false" outlineLevel="0" collapsed="false">
      <c r="B753" s="13" t="s">
        <v>973</v>
      </c>
      <c r="C753" s="13" t="s">
        <v>217</v>
      </c>
      <c r="D753" s="19" t="n">
        <v>723</v>
      </c>
      <c r="E753" s="23" t="n">
        <v>0.1864</v>
      </c>
      <c r="F753" s="19" t="n">
        <v>60</v>
      </c>
      <c r="G753" s="19" t="n">
        <v>0</v>
      </c>
      <c r="H753" s="14" t="n">
        <v>13160</v>
      </c>
      <c r="I753" s="14" t="n">
        <v>13160</v>
      </c>
      <c r="J753" s="24" t="n">
        <v>0.851</v>
      </c>
      <c r="K753" s="19" t="n">
        <v>0</v>
      </c>
      <c r="L753" s="13" t="str">
        <f aca="false">IF(D753&gt;=Inputs!$C$14,"Near-prime","Non-prime")</f>
        <v>Near-prime</v>
      </c>
      <c r="M753" s="19" t="n">
        <f aca="false">IF(K753&lt;=Inputs!$C$19,1,0)</f>
        <v>1</v>
      </c>
      <c r="N753" s="19" t="n">
        <f aca="false">IF(F753&lt;=Inputs!$C$20,1,0)</f>
        <v>1</v>
      </c>
      <c r="O753" s="19" t="n">
        <f aca="false">IF(J753&lt;=Inputs!$C$21,1,0)</f>
        <v>1</v>
      </c>
      <c r="P753" s="19" t="n">
        <f aca="false">IF(D753&gt;=Inputs!$C$22,1,0)</f>
        <v>1</v>
      </c>
      <c r="Q753" s="19" t="n">
        <f aca="false">IF(I753&lt;=Inputs!$C$23,1,0)</f>
        <v>1</v>
      </c>
      <c r="R753" s="19" t="n">
        <f aca="false">M753*N753*O753*P753*Q753</f>
        <v>1</v>
      </c>
      <c r="S753" s="14" t="n">
        <f aca="false">I753*R753</f>
        <v>13160</v>
      </c>
      <c r="T753" s="19" t="n">
        <f aca="false">IF(F753&gt;72,1,0)</f>
        <v>0</v>
      </c>
      <c r="U753" s="19" t="n">
        <f aca="false">IF(J753&gt;1.25,1,0)</f>
        <v>0</v>
      </c>
    </row>
    <row r="754" customFormat="false" ht="15" hidden="false" customHeight="false" outlineLevel="0" collapsed="false">
      <c r="B754" s="13" t="s">
        <v>974</v>
      </c>
      <c r="C754" s="13" t="s">
        <v>221</v>
      </c>
      <c r="D754" s="19" t="n">
        <v>579</v>
      </c>
      <c r="E754" s="23" t="n">
        <v>0.2247</v>
      </c>
      <c r="F754" s="19" t="n">
        <v>60</v>
      </c>
      <c r="G754" s="19" t="n">
        <v>9</v>
      </c>
      <c r="H754" s="14" t="n">
        <v>16950</v>
      </c>
      <c r="I754" s="14" t="n">
        <v>15442.98</v>
      </c>
      <c r="J754" s="24" t="n">
        <v>0.82</v>
      </c>
      <c r="K754" s="19" t="n">
        <v>0</v>
      </c>
      <c r="L754" s="13" t="str">
        <f aca="false">IF(D754&gt;=Inputs!$C$14,"Near-prime","Non-prime")</f>
        <v>Non-prime</v>
      </c>
      <c r="M754" s="19" t="n">
        <f aca="false">IF(K754&lt;=Inputs!$C$19,1,0)</f>
        <v>1</v>
      </c>
      <c r="N754" s="19" t="n">
        <f aca="false">IF(F754&lt;=Inputs!$C$20,1,0)</f>
        <v>1</v>
      </c>
      <c r="O754" s="19" t="n">
        <f aca="false">IF(J754&lt;=Inputs!$C$21,1,0)</f>
        <v>1</v>
      </c>
      <c r="P754" s="19" t="n">
        <f aca="false">IF(D754&gt;=Inputs!$C$22,1,0)</f>
        <v>1</v>
      </c>
      <c r="Q754" s="19" t="n">
        <f aca="false">IF(I754&lt;=Inputs!$C$23,1,0)</f>
        <v>1</v>
      </c>
      <c r="R754" s="19" t="n">
        <f aca="false">M754*N754*O754*P754*Q754</f>
        <v>1</v>
      </c>
      <c r="S754" s="14" t="n">
        <f aca="false">I754*R754</f>
        <v>15442.98</v>
      </c>
      <c r="T754" s="19" t="n">
        <f aca="false">IF(F754&gt;72,1,0)</f>
        <v>0</v>
      </c>
      <c r="U754" s="19" t="n">
        <f aca="false">IF(J754&gt;1.25,1,0)</f>
        <v>0</v>
      </c>
    </row>
    <row r="755" customFormat="false" ht="15" hidden="false" customHeight="false" outlineLevel="0" collapsed="false">
      <c r="B755" s="13" t="s">
        <v>975</v>
      </c>
      <c r="C755" s="13" t="s">
        <v>257</v>
      </c>
      <c r="D755" s="19" t="n">
        <v>594</v>
      </c>
      <c r="E755" s="23" t="n">
        <v>0.2088</v>
      </c>
      <c r="F755" s="19" t="n">
        <v>72</v>
      </c>
      <c r="G755" s="19" t="n">
        <v>6</v>
      </c>
      <c r="H755" s="14" t="n">
        <v>33540</v>
      </c>
      <c r="I755" s="14" t="n">
        <v>32054.8</v>
      </c>
      <c r="J755" s="24" t="n">
        <v>1.129</v>
      </c>
      <c r="K755" s="19" t="n">
        <v>0</v>
      </c>
      <c r="L755" s="13" t="str">
        <f aca="false">IF(D755&gt;=Inputs!$C$14,"Near-prime","Non-prime")</f>
        <v>Non-prime</v>
      </c>
      <c r="M755" s="19" t="n">
        <f aca="false">IF(K755&lt;=Inputs!$C$19,1,0)</f>
        <v>1</v>
      </c>
      <c r="N755" s="19" t="n">
        <f aca="false">IF(F755&lt;=Inputs!$C$20,1,0)</f>
        <v>1</v>
      </c>
      <c r="O755" s="19" t="n">
        <f aca="false">IF(J755&lt;=Inputs!$C$21,1,0)</f>
        <v>1</v>
      </c>
      <c r="P755" s="19" t="n">
        <f aca="false">IF(D755&gt;=Inputs!$C$22,1,0)</f>
        <v>1</v>
      </c>
      <c r="Q755" s="19" t="n">
        <f aca="false">IF(I755&lt;=Inputs!$C$23,1,0)</f>
        <v>1</v>
      </c>
      <c r="R755" s="19" t="n">
        <f aca="false">M755*N755*O755*P755*Q755</f>
        <v>1</v>
      </c>
      <c r="S755" s="14" t="n">
        <f aca="false">I755*R755</f>
        <v>32054.8</v>
      </c>
      <c r="T755" s="19" t="n">
        <f aca="false">IF(F755&gt;72,1,0)</f>
        <v>0</v>
      </c>
      <c r="U755" s="19" t="n">
        <f aca="false">IF(J755&gt;1.25,1,0)</f>
        <v>0</v>
      </c>
    </row>
    <row r="756" customFormat="false" ht="15" hidden="false" customHeight="false" outlineLevel="0" collapsed="false">
      <c r="B756" s="13" t="s">
        <v>976</v>
      </c>
      <c r="C756" s="13" t="s">
        <v>219</v>
      </c>
      <c r="D756" s="19" t="n">
        <v>647</v>
      </c>
      <c r="E756" s="23" t="n">
        <v>0.2117</v>
      </c>
      <c r="F756" s="19" t="n">
        <v>66</v>
      </c>
      <c r="G756" s="19" t="n">
        <v>6</v>
      </c>
      <c r="H756" s="14" t="n">
        <v>41060</v>
      </c>
      <c r="I756" s="14" t="n">
        <v>38968.13</v>
      </c>
      <c r="J756" s="24" t="n">
        <v>0.985</v>
      </c>
      <c r="K756" s="19" t="n">
        <v>0</v>
      </c>
      <c r="L756" s="13" t="str">
        <f aca="false">IF(D756&gt;=Inputs!$C$14,"Near-prime","Non-prime")</f>
        <v>Near-prime</v>
      </c>
      <c r="M756" s="19" t="n">
        <f aca="false">IF(K756&lt;=Inputs!$C$19,1,0)</f>
        <v>1</v>
      </c>
      <c r="N756" s="19" t="n">
        <f aca="false">IF(F756&lt;=Inputs!$C$20,1,0)</f>
        <v>1</v>
      </c>
      <c r="O756" s="19" t="n">
        <f aca="false">IF(J756&lt;=Inputs!$C$21,1,0)</f>
        <v>1</v>
      </c>
      <c r="P756" s="19" t="n">
        <f aca="false">IF(D756&gt;=Inputs!$C$22,1,0)</f>
        <v>1</v>
      </c>
      <c r="Q756" s="19" t="n">
        <f aca="false">IF(I756&lt;=Inputs!$C$23,1,0)</f>
        <v>1</v>
      </c>
      <c r="R756" s="19" t="n">
        <f aca="false">M756*N756*O756*P756*Q756</f>
        <v>1</v>
      </c>
      <c r="S756" s="14" t="n">
        <f aca="false">I756*R756</f>
        <v>38968.13</v>
      </c>
      <c r="T756" s="19" t="n">
        <f aca="false">IF(F756&gt;72,1,0)</f>
        <v>0</v>
      </c>
      <c r="U756" s="19" t="n">
        <f aca="false">IF(J756&gt;1.25,1,0)</f>
        <v>0</v>
      </c>
    </row>
    <row r="757" customFormat="false" ht="15" hidden="false" customHeight="false" outlineLevel="0" collapsed="false">
      <c r="B757" s="13" t="s">
        <v>977</v>
      </c>
      <c r="C757" s="13" t="s">
        <v>217</v>
      </c>
      <c r="D757" s="19" t="n">
        <v>615</v>
      </c>
      <c r="E757" s="23" t="n">
        <v>0.213</v>
      </c>
      <c r="F757" s="19" t="n">
        <v>60</v>
      </c>
      <c r="G757" s="19" t="n">
        <v>3</v>
      </c>
      <c r="H757" s="14" t="n">
        <v>27580</v>
      </c>
      <c r="I757" s="14" t="n">
        <v>26782.26</v>
      </c>
      <c r="J757" s="24" t="n">
        <v>1.146</v>
      </c>
      <c r="K757" s="19" t="n">
        <v>0</v>
      </c>
      <c r="L757" s="13" t="str">
        <f aca="false">IF(D757&gt;=Inputs!$C$14,"Near-prime","Non-prime")</f>
        <v>Non-prime</v>
      </c>
      <c r="M757" s="19" t="n">
        <f aca="false">IF(K757&lt;=Inputs!$C$19,1,0)</f>
        <v>1</v>
      </c>
      <c r="N757" s="19" t="n">
        <f aca="false">IF(F757&lt;=Inputs!$C$20,1,0)</f>
        <v>1</v>
      </c>
      <c r="O757" s="19" t="n">
        <f aca="false">IF(J757&lt;=Inputs!$C$21,1,0)</f>
        <v>1</v>
      </c>
      <c r="P757" s="19" t="n">
        <f aca="false">IF(D757&gt;=Inputs!$C$22,1,0)</f>
        <v>1</v>
      </c>
      <c r="Q757" s="19" t="n">
        <f aca="false">IF(I757&lt;=Inputs!$C$23,1,0)</f>
        <v>1</v>
      </c>
      <c r="R757" s="19" t="n">
        <f aca="false">M757*N757*O757*P757*Q757</f>
        <v>1</v>
      </c>
      <c r="S757" s="14" t="n">
        <f aca="false">I757*R757</f>
        <v>26782.26</v>
      </c>
      <c r="T757" s="19" t="n">
        <f aca="false">IF(F757&gt;72,1,0)</f>
        <v>0</v>
      </c>
      <c r="U757" s="19" t="n">
        <f aca="false">IF(J757&gt;1.25,1,0)</f>
        <v>0</v>
      </c>
    </row>
    <row r="758" customFormat="false" ht="15" hidden="false" customHeight="false" outlineLevel="0" collapsed="false">
      <c r="B758" s="13" t="s">
        <v>978</v>
      </c>
      <c r="C758" s="13" t="s">
        <v>257</v>
      </c>
      <c r="D758" s="19" t="n">
        <v>696</v>
      </c>
      <c r="E758" s="23" t="n">
        <v>0.2023</v>
      </c>
      <c r="F758" s="19" t="n">
        <v>75</v>
      </c>
      <c r="G758" s="19" t="n">
        <v>6</v>
      </c>
      <c r="H758" s="14" t="n">
        <v>24790</v>
      </c>
      <c r="I758" s="14" t="n">
        <v>23745.33</v>
      </c>
      <c r="J758" s="24" t="n">
        <v>1.017</v>
      </c>
      <c r="K758" s="19" t="n">
        <v>0</v>
      </c>
      <c r="L758" s="13" t="str">
        <f aca="false">IF(D758&gt;=Inputs!$C$14,"Near-prime","Non-prime")</f>
        <v>Near-prime</v>
      </c>
      <c r="M758" s="19" t="n">
        <f aca="false">IF(K758&lt;=Inputs!$C$19,1,0)</f>
        <v>1</v>
      </c>
      <c r="N758" s="19" t="n">
        <f aca="false">IF(F758&lt;=Inputs!$C$20,1,0)</f>
        <v>1</v>
      </c>
      <c r="O758" s="19" t="n">
        <f aca="false">IF(J758&lt;=Inputs!$C$21,1,0)</f>
        <v>1</v>
      </c>
      <c r="P758" s="19" t="n">
        <f aca="false">IF(D758&gt;=Inputs!$C$22,1,0)</f>
        <v>1</v>
      </c>
      <c r="Q758" s="19" t="n">
        <f aca="false">IF(I758&lt;=Inputs!$C$23,1,0)</f>
        <v>1</v>
      </c>
      <c r="R758" s="19" t="n">
        <f aca="false">M758*N758*O758*P758*Q758</f>
        <v>1</v>
      </c>
      <c r="S758" s="14" t="n">
        <f aca="false">I758*R758</f>
        <v>23745.33</v>
      </c>
      <c r="T758" s="19" t="n">
        <f aca="false">IF(F758&gt;72,1,0)</f>
        <v>1</v>
      </c>
      <c r="U758" s="19" t="n">
        <f aca="false">IF(J758&gt;1.25,1,0)</f>
        <v>0</v>
      </c>
    </row>
    <row r="759" customFormat="false" ht="15" hidden="false" customHeight="false" outlineLevel="0" collapsed="false">
      <c r="B759" s="13" t="s">
        <v>979</v>
      </c>
      <c r="C759" s="13" t="s">
        <v>217</v>
      </c>
      <c r="D759" s="19" t="n">
        <v>648</v>
      </c>
      <c r="E759" s="23" t="n">
        <v>0.2418</v>
      </c>
      <c r="F759" s="19" t="n">
        <v>72</v>
      </c>
      <c r="G759" s="19" t="n">
        <v>0</v>
      </c>
      <c r="H759" s="14" t="n">
        <v>20880</v>
      </c>
      <c r="I759" s="14" t="n">
        <v>20880</v>
      </c>
      <c r="J759" s="24" t="n">
        <v>0.828</v>
      </c>
      <c r="K759" s="19" t="n">
        <v>15</v>
      </c>
      <c r="L759" s="13" t="str">
        <f aca="false">IF(D759&gt;=Inputs!$C$14,"Near-prime","Non-prime")</f>
        <v>Near-prime</v>
      </c>
      <c r="M759" s="19" t="n">
        <f aca="false">IF(K759&lt;=Inputs!$C$19,1,0)</f>
        <v>1</v>
      </c>
      <c r="N759" s="19" t="n">
        <f aca="false">IF(F759&lt;=Inputs!$C$20,1,0)</f>
        <v>1</v>
      </c>
      <c r="O759" s="19" t="n">
        <f aca="false">IF(J759&lt;=Inputs!$C$21,1,0)</f>
        <v>1</v>
      </c>
      <c r="P759" s="19" t="n">
        <f aca="false">IF(D759&gt;=Inputs!$C$22,1,0)</f>
        <v>1</v>
      </c>
      <c r="Q759" s="19" t="n">
        <f aca="false">IF(I759&lt;=Inputs!$C$23,1,0)</f>
        <v>1</v>
      </c>
      <c r="R759" s="19" t="n">
        <f aca="false">M759*N759*O759*P759*Q759</f>
        <v>1</v>
      </c>
      <c r="S759" s="14" t="n">
        <f aca="false">I759*R759</f>
        <v>20880</v>
      </c>
      <c r="T759" s="19" t="n">
        <f aca="false">IF(F759&gt;72,1,0)</f>
        <v>0</v>
      </c>
      <c r="U759" s="19" t="n">
        <f aca="false">IF(J759&gt;1.25,1,0)</f>
        <v>0</v>
      </c>
    </row>
    <row r="760" customFormat="false" ht="15" hidden="false" customHeight="false" outlineLevel="0" collapsed="false">
      <c r="B760" s="13" t="s">
        <v>980</v>
      </c>
      <c r="C760" s="13" t="s">
        <v>217</v>
      </c>
      <c r="D760" s="19" t="n">
        <v>688</v>
      </c>
      <c r="E760" s="23" t="n">
        <v>0.2003</v>
      </c>
      <c r="F760" s="19" t="n">
        <v>60</v>
      </c>
      <c r="G760" s="19" t="n">
        <v>2</v>
      </c>
      <c r="H760" s="14" t="n">
        <v>24310</v>
      </c>
      <c r="I760" s="14" t="n">
        <v>23828.62</v>
      </c>
      <c r="J760" s="24" t="n">
        <v>1.095</v>
      </c>
      <c r="K760" s="19" t="n">
        <v>0</v>
      </c>
      <c r="L760" s="13" t="str">
        <f aca="false">IF(D760&gt;=Inputs!$C$14,"Near-prime","Non-prime")</f>
        <v>Near-prime</v>
      </c>
      <c r="M760" s="19" t="n">
        <f aca="false">IF(K760&lt;=Inputs!$C$19,1,0)</f>
        <v>1</v>
      </c>
      <c r="N760" s="19" t="n">
        <f aca="false">IF(F760&lt;=Inputs!$C$20,1,0)</f>
        <v>1</v>
      </c>
      <c r="O760" s="19" t="n">
        <f aca="false">IF(J760&lt;=Inputs!$C$21,1,0)</f>
        <v>1</v>
      </c>
      <c r="P760" s="19" t="n">
        <f aca="false">IF(D760&gt;=Inputs!$C$22,1,0)</f>
        <v>1</v>
      </c>
      <c r="Q760" s="19" t="n">
        <f aca="false">IF(I760&lt;=Inputs!$C$23,1,0)</f>
        <v>1</v>
      </c>
      <c r="R760" s="19" t="n">
        <f aca="false">M760*N760*O760*P760*Q760</f>
        <v>1</v>
      </c>
      <c r="S760" s="14" t="n">
        <f aca="false">I760*R760</f>
        <v>23828.62</v>
      </c>
      <c r="T760" s="19" t="n">
        <f aca="false">IF(F760&gt;72,1,0)</f>
        <v>0</v>
      </c>
      <c r="U760" s="19" t="n">
        <f aca="false">IF(J760&gt;1.25,1,0)</f>
        <v>0</v>
      </c>
    </row>
    <row r="761" customFormat="false" ht="15" hidden="false" customHeight="false" outlineLevel="0" collapsed="false">
      <c r="B761" s="13" t="s">
        <v>981</v>
      </c>
      <c r="C761" s="13" t="s">
        <v>217</v>
      </c>
      <c r="D761" s="19" t="n">
        <v>660</v>
      </c>
      <c r="E761" s="23" t="n">
        <v>0.2084</v>
      </c>
      <c r="F761" s="19" t="n">
        <v>60</v>
      </c>
      <c r="G761" s="19" t="n">
        <v>9</v>
      </c>
      <c r="H761" s="14" t="n">
        <v>23710</v>
      </c>
      <c r="I761" s="14" t="n">
        <v>21513.97</v>
      </c>
      <c r="J761" s="24" t="n">
        <v>1.295</v>
      </c>
      <c r="K761" s="19" t="n">
        <v>15</v>
      </c>
      <c r="L761" s="13" t="str">
        <f aca="false">IF(D761&gt;=Inputs!$C$14,"Near-prime","Non-prime")</f>
        <v>Near-prime</v>
      </c>
      <c r="M761" s="19" t="n">
        <f aca="false">IF(K761&lt;=Inputs!$C$19,1,0)</f>
        <v>1</v>
      </c>
      <c r="N761" s="19" t="n">
        <f aca="false">IF(F761&lt;=Inputs!$C$20,1,0)</f>
        <v>1</v>
      </c>
      <c r="O761" s="19" t="n">
        <f aca="false">IF(J761&lt;=Inputs!$C$21,1,0)</f>
        <v>1</v>
      </c>
      <c r="P761" s="19" t="n">
        <f aca="false">IF(D761&gt;=Inputs!$C$22,1,0)</f>
        <v>1</v>
      </c>
      <c r="Q761" s="19" t="n">
        <f aca="false">IF(I761&lt;=Inputs!$C$23,1,0)</f>
        <v>1</v>
      </c>
      <c r="R761" s="19" t="n">
        <f aca="false">M761*N761*O761*P761*Q761</f>
        <v>1</v>
      </c>
      <c r="S761" s="14" t="n">
        <f aca="false">I761*R761</f>
        <v>21513.97</v>
      </c>
      <c r="T761" s="19" t="n">
        <f aca="false">IF(F761&gt;72,1,0)</f>
        <v>0</v>
      </c>
      <c r="U761" s="19" t="n">
        <f aca="false">IF(J761&gt;1.25,1,0)</f>
        <v>1</v>
      </c>
    </row>
    <row r="762" customFormat="false" ht="15" hidden="false" customHeight="false" outlineLevel="0" collapsed="false">
      <c r="B762" s="13" t="s">
        <v>982</v>
      </c>
      <c r="C762" s="13" t="s">
        <v>226</v>
      </c>
      <c r="D762" s="19" t="n">
        <v>665</v>
      </c>
      <c r="E762" s="23" t="n">
        <v>0.1981</v>
      </c>
      <c r="F762" s="19" t="n">
        <v>72</v>
      </c>
      <c r="G762" s="19" t="n">
        <v>6</v>
      </c>
      <c r="H762" s="14" t="n">
        <v>26070</v>
      </c>
      <c r="I762" s="14" t="n">
        <v>24874.34</v>
      </c>
      <c r="J762" s="24" t="n">
        <v>1.029</v>
      </c>
      <c r="K762" s="19" t="n">
        <v>0</v>
      </c>
      <c r="L762" s="13" t="str">
        <f aca="false">IF(D762&gt;=Inputs!$C$14,"Near-prime","Non-prime")</f>
        <v>Near-prime</v>
      </c>
      <c r="M762" s="19" t="n">
        <f aca="false">IF(K762&lt;=Inputs!$C$19,1,0)</f>
        <v>1</v>
      </c>
      <c r="N762" s="19" t="n">
        <f aca="false">IF(F762&lt;=Inputs!$C$20,1,0)</f>
        <v>1</v>
      </c>
      <c r="O762" s="19" t="n">
        <f aca="false">IF(J762&lt;=Inputs!$C$21,1,0)</f>
        <v>1</v>
      </c>
      <c r="P762" s="19" t="n">
        <f aca="false">IF(D762&gt;=Inputs!$C$22,1,0)</f>
        <v>1</v>
      </c>
      <c r="Q762" s="19" t="n">
        <f aca="false">IF(I762&lt;=Inputs!$C$23,1,0)</f>
        <v>1</v>
      </c>
      <c r="R762" s="19" t="n">
        <f aca="false">M762*N762*O762*P762*Q762</f>
        <v>1</v>
      </c>
      <c r="S762" s="14" t="n">
        <f aca="false">I762*R762</f>
        <v>24874.34</v>
      </c>
      <c r="T762" s="19" t="n">
        <f aca="false">IF(F762&gt;72,1,0)</f>
        <v>0</v>
      </c>
      <c r="U762" s="19" t="n">
        <f aca="false">IF(J762&gt;1.25,1,0)</f>
        <v>0</v>
      </c>
    </row>
    <row r="763" customFormat="false" ht="15" hidden="false" customHeight="false" outlineLevel="0" collapsed="false">
      <c r="B763" s="13" t="s">
        <v>983</v>
      </c>
      <c r="C763" s="13" t="s">
        <v>257</v>
      </c>
      <c r="D763" s="19" t="n">
        <v>583</v>
      </c>
      <c r="E763" s="23" t="n">
        <v>0.2303</v>
      </c>
      <c r="F763" s="19" t="n">
        <v>72</v>
      </c>
      <c r="G763" s="19" t="n">
        <v>3</v>
      </c>
      <c r="H763" s="14" t="n">
        <v>17710</v>
      </c>
      <c r="I763" s="14" t="n">
        <v>17355.31</v>
      </c>
      <c r="J763" s="24" t="n">
        <v>0.985</v>
      </c>
      <c r="K763" s="19" t="n">
        <v>0</v>
      </c>
      <c r="L763" s="13" t="str">
        <f aca="false">IF(D763&gt;=Inputs!$C$14,"Near-prime","Non-prime")</f>
        <v>Non-prime</v>
      </c>
      <c r="M763" s="19" t="n">
        <f aca="false">IF(K763&lt;=Inputs!$C$19,1,0)</f>
        <v>1</v>
      </c>
      <c r="N763" s="19" t="n">
        <f aca="false">IF(F763&lt;=Inputs!$C$20,1,0)</f>
        <v>1</v>
      </c>
      <c r="O763" s="19" t="n">
        <f aca="false">IF(J763&lt;=Inputs!$C$21,1,0)</f>
        <v>1</v>
      </c>
      <c r="P763" s="19" t="n">
        <f aca="false">IF(D763&gt;=Inputs!$C$22,1,0)</f>
        <v>1</v>
      </c>
      <c r="Q763" s="19" t="n">
        <f aca="false">IF(I763&lt;=Inputs!$C$23,1,0)</f>
        <v>1</v>
      </c>
      <c r="R763" s="19" t="n">
        <f aca="false">M763*N763*O763*P763*Q763</f>
        <v>1</v>
      </c>
      <c r="S763" s="14" t="n">
        <f aca="false">I763*R763</f>
        <v>17355.31</v>
      </c>
      <c r="T763" s="19" t="n">
        <f aca="false">IF(F763&gt;72,1,0)</f>
        <v>0</v>
      </c>
      <c r="U763" s="19" t="n">
        <f aca="false">IF(J763&gt;1.25,1,0)</f>
        <v>0</v>
      </c>
    </row>
    <row r="764" customFormat="false" ht="15" hidden="false" customHeight="false" outlineLevel="0" collapsed="false">
      <c r="B764" s="13" t="s">
        <v>984</v>
      </c>
      <c r="C764" s="13" t="s">
        <v>257</v>
      </c>
      <c r="D764" s="19" t="n">
        <v>611</v>
      </c>
      <c r="E764" s="23" t="n">
        <v>0.2054</v>
      </c>
      <c r="F764" s="19" t="n">
        <v>60</v>
      </c>
      <c r="G764" s="19" t="n">
        <v>8</v>
      </c>
      <c r="H764" s="14" t="n">
        <v>25060</v>
      </c>
      <c r="I764" s="14" t="n">
        <v>22999.33</v>
      </c>
      <c r="J764" s="24" t="n">
        <v>0.873</v>
      </c>
      <c r="K764" s="19" t="n">
        <v>0</v>
      </c>
      <c r="L764" s="13" t="str">
        <f aca="false">IF(D764&gt;=Inputs!$C$14,"Near-prime","Non-prime")</f>
        <v>Non-prime</v>
      </c>
      <c r="M764" s="19" t="n">
        <f aca="false">IF(K764&lt;=Inputs!$C$19,1,0)</f>
        <v>1</v>
      </c>
      <c r="N764" s="19" t="n">
        <f aca="false">IF(F764&lt;=Inputs!$C$20,1,0)</f>
        <v>1</v>
      </c>
      <c r="O764" s="19" t="n">
        <f aca="false">IF(J764&lt;=Inputs!$C$21,1,0)</f>
        <v>1</v>
      </c>
      <c r="P764" s="19" t="n">
        <f aca="false">IF(D764&gt;=Inputs!$C$22,1,0)</f>
        <v>1</v>
      </c>
      <c r="Q764" s="19" t="n">
        <f aca="false">IF(I764&lt;=Inputs!$C$23,1,0)</f>
        <v>1</v>
      </c>
      <c r="R764" s="19" t="n">
        <f aca="false">M764*N764*O764*P764*Q764</f>
        <v>1</v>
      </c>
      <c r="S764" s="14" t="n">
        <f aca="false">I764*R764</f>
        <v>22999.33</v>
      </c>
      <c r="T764" s="19" t="n">
        <f aca="false">IF(F764&gt;72,1,0)</f>
        <v>0</v>
      </c>
      <c r="U764" s="19" t="n">
        <f aca="false">IF(J764&gt;1.25,1,0)</f>
        <v>0</v>
      </c>
    </row>
    <row r="765" customFormat="false" ht="15" hidden="false" customHeight="false" outlineLevel="0" collapsed="false">
      <c r="B765" s="13" t="s">
        <v>985</v>
      </c>
      <c r="C765" s="13" t="s">
        <v>237</v>
      </c>
      <c r="D765" s="19" t="n">
        <v>542</v>
      </c>
      <c r="E765" s="23" t="n">
        <v>0.231</v>
      </c>
      <c r="F765" s="19" t="n">
        <v>60</v>
      </c>
      <c r="G765" s="19" t="n">
        <v>10</v>
      </c>
      <c r="H765" s="14" t="n">
        <v>14350</v>
      </c>
      <c r="I765" s="14" t="n">
        <v>12941</v>
      </c>
      <c r="J765" s="24" t="n">
        <v>1.112</v>
      </c>
      <c r="K765" s="19" t="n">
        <v>30</v>
      </c>
      <c r="L765" s="13" t="str">
        <f aca="false">IF(D765&gt;=Inputs!$C$14,"Near-prime","Non-prime")</f>
        <v>Non-prime</v>
      </c>
      <c r="M765" s="19" t="n">
        <f aca="false">IF(K765&lt;=Inputs!$C$19,1,0)</f>
        <v>1</v>
      </c>
      <c r="N765" s="19" t="n">
        <f aca="false">IF(F765&lt;=Inputs!$C$20,1,0)</f>
        <v>1</v>
      </c>
      <c r="O765" s="19" t="n">
        <f aca="false">IF(J765&lt;=Inputs!$C$21,1,0)</f>
        <v>1</v>
      </c>
      <c r="P765" s="19" t="n">
        <f aca="false">IF(D765&gt;=Inputs!$C$22,1,0)</f>
        <v>1</v>
      </c>
      <c r="Q765" s="19" t="n">
        <f aca="false">IF(I765&lt;=Inputs!$C$23,1,0)</f>
        <v>1</v>
      </c>
      <c r="R765" s="19" t="n">
        <f aca="false">M765*N765*O765*P765*Q765</f>
        <v>1</v>
      </c>
      <c r="S765" s="14" t="n">
        <f aca="false">I765*R765</f>
        <v>12941</v>
      </c>
      <c r="T765" s="19" t="n">
        <f aca="false">IF(F765&gt;72,1,0)</f>
        <v>0</v>
      </c>
      <c r="U765" s="19" t="n">
        <f aca="false">IF(J765&gt;1.25,1,0)</f>
        <v>0</v>
      </c>
    </row>
    <row r="766" customFormat="false" ht="15" hidden="false" customHeight="false" outlineLevel="0" collapsed="false">
      <c r="B766" s="13" t="s">
        <v>986</v>
      </c>
      <c r="C766" s="13" t="s">
        <v>228</v>
      </c>
      <c r="D766" s="19" t="n">
        <v>604</v>
      </c>
      <c r="E766" s="23" t="n">
        <v>0.1933</v>
      </c>
      <c r="F766" s="19" t="n">
        <v>60</v>
      </c>
      <c r="G766" s="19" t="n">
        <v>6</v>
      </c>
      <c r="H766" s="14" t="n">
        <v>13390</v>
      </c>
      <c r="I766" s="14" t="n">
        <v>12552.36</v>
      </c>
      <c r="J766" s="24" t="n">
        <v>1.148</v>
      </c>
      <c r="K766" s="19" t="n">
        <v>75</v>
      </c>
      <c r="L766" s="13" t="str">
        <f aca="false">IF(D766&gt;=Inputs!$C$14,"Near-prime","Non-prime")</f>
        <v>Non-prime</v>
      </c>
      <c r="M766" s="19" t="n">
        <f aca="false">IF(K766&lt;=Inputs!$C$19,1,0)</f>
        <v>0</v>
      </c>
      <c r="N766" s="19" t="n">
        <f aca="false">IF(F766&lt;=Inputs!$C$20,1,0)</f>
        <v>1</v>
      </c>
      <c r="O766" s="19" t="n">
        <f aca="false">IF(J766&lt;=Inputs!$C$21,1,0)</f>
        <v>1</v>
      </c>
      <c r="P766" s="19" t="n">
        <f aca="false">IF(D766&gt;=Inputs!$C$22,1,0)</f>
        <v>1</v>
      </c>
      <c r="Q766" s="19" t="n">
        <f aca="false">IF(I766&lt;=Inputs!$C$23,1,0)</f>
        <v>1</v>
      </c>
      <c r="R766" s="19" t="n">
        <f aca="false">M766*N766*O766*P766*Q766</f>
        <v>0</v>
      </c>
      <c r="S766" s="14" t="n">
        <f aca="false">I766*R766</f>
        <v>0</v>
      </c>
      <c r="T766" s="19" t="n">
        <f aca="false">IF(F766&gt;72,1,0)</f>
        <v>0</v>
      </c>
      <c r="U766" s="19" t="n">
        <f aca="false">IF(J766&gt;1.25,1,0)</f>
        <v>0</v>
      </c>
    </row>
    <row r="767" customFormat="false" ht="15" hidden="false" customHeight="false" outlineLevel="0" collapsed="false">
      <c r="B767" s="13" t="s">
        <v>987</v>
      </c>
      <c r="C767" s="13" t="s">
        <v>228</v>
      </c>
      <c r="D767" s="19" t="n">
        <v>616</v>
      </c>
      <c r="E767" s="23" t="n">
        <v>0.2345</v>
      </c>
      <c r="F767" s="19" t="n">
        <v>75</v>
      </c>
      <c r="G767" s="19" t="n">
        <v>0</v>
      </c>
      <c r="H767" s="14" t="n">
        <v>34590</v>
      </c>
      <c r="I767" s="14" t="n">
        <v>34590</v>
      </c>
      <c r="J767" s="24" t="n">
        <v>1.067</v>
      </c>
      <c r="K767" s="19" t="n">
        <v>0</v>
      </c>
      <c r="L767" s="13" t="str">
        <f aca="false">IF(D767&gt;=Inputs!$C$14,"Near-prime","Non-prime")</f>
        <v>Non-prime</v>
      </c>
      <c r="M767" s="19" t="n">
        <f aca="false">IF(K767&lt;=Inputs!$C$19,1,0)</f>
        <v>1</v>
      </c>
      <c r="N767" s="19" t="n">
        <f aca="false">IF(F767&lt;=Inputs!$C$20,1,0)</f>
        <v>1</v>
      </c>
      <c r="O767" s="19" t="n">
        <f aca="false">IF(J767&lt;=Inputs!$C$21,1,0)</f>
        <v>1</v>
      </c>
      <c r="P767" s="19" t="n">
        <f aca="false">IF(D767&gt;=Inputs!$C$22,1,0)</f>
        <v>1</v>
      </c>
      <c r="Q767" s="19" t="n">
        <f aca="false">IF(I767&lt;=Inputs!$C$23,1,0)</f>
        <v>1</v>
      </c>
      <c r="R767" s="19" t="n">
        <f aca="false">M767*N767*O767*P767*Q767</f>
        <v>1</v>
      </c>
      <c r="S767" s="14" t="n">
        <f aca="false">I767*R767</f>
        <v>34590</v>
      </c>
      <c r="T767" s="19" t="n">
        <f aca="false">IF(F767&gt;72,1,0)</f>
        <v>1</v>
      </c>
      <c r="U767" s="19" t="n">
        <f aca="false">IF(J767&gt;1.25,1,0)</f>
        <v>0</v>
      </c>
    </row>
    <row r="768" customFormat="false" ht="15" hidden="false" customHeight="false" outlineLevel="0" collapsed="false">
      <c r="B768" s="13" t="s">
        <v>988</v>
      </c>
      <c r="C768" s="13" t="s">
        <v>252</v>
      </c>
      <c r="D768" s="19" t="n">
        <v>662</v>
      </c>
      <c r="E768" s="23" t="n">
        <v>0.2161</v>
      </c>
      <c r="F768" s="19" t="n">
        <v>72</v>
      </c>
      <c r="G768" s="19" t="n">
        <v>7</v>
      </c>
      <c r="H768" s="14" t="n">
        <v>62000</v>
      </c>
      <c r="I768" s="14" t="n">
        <v>58844.71</v>
      </c>
      <c r="J768" s="24" t="n">
        <v>1.155</v>
      </c>
      <c r="K768" s="19" t="n">
        <v>15</v>
      </c>
      <c r="L768" s="13" t="str">
        <f aca="false">IF(D768&gt;=Inputs!$C$14,"Near-prime","Non-prime")</f>
        <v>Near-prime</v>
      </c>
      <c r="M768" s="19" t="n">
        <f aca="false">IF(K768&lt;=Inputs!$C$19,1,0)</f>
        <v>1</v>
      </c>
      <c r="N768" s="19" t="n">
        <f aca="false">IF(F768&lt;=Inputs!$C$20,1,0)</f>
        <v>1</v>
      </c>
      <c r="O768" s="19" t="n">
        <f aca="false">IF(J768&lt;=Inputs!$C$21,1,0)</f>
        <v>1</v>
      </c>
      <c r="P768" s="19" t="n">
        <f aca="false">IF(D768&gt;=Inputs!$C$22,1,0)</f>
        <v>1</v>
      </c>
      <c r="Q768" s="19" t="n">
        <f aca="false">IF(I768&lt;=Inputs!$C$23,1,0)</f>
        <v>0</v>
      </c>
      <c r="R768" s="19" t="n">
        <f aca="false">M768*N768*O768*P768*Q768</f>
        <v>0</v>
      </c>
      <c r="S768" s="14" t="n">
        <f aca="false">I768*R768</f>
        <v>0</v>
      </c>
      <c r="T768" s="19" t="n">
        <f aca="false">IF(F768&gt;72,1,0)</f>
        <v>0</v>
      </c>
      <c r="U768" s="19" t="n">
        <f aca="false">IF(J768&gt;1.25,1,0)</f>
        <v>0</v>
      </c>
    </row>
    <row r="769" customFormat="false" ht="15" hidden="false" customHeight="false" outlineLevel="0" collapsed="false">
      <c r="B769" s="13" t="s">
        <v>989</v>
      </c>
      <c r="C769" s="13" t="s">
        <v>219</v>
      </c>
      <c r="D769" s="19" t="n">
        <v>585</v>
      </c>
      <c r="E769" s="23" t="n">
        <v>0.2077</v>
      </c>
      <c r="F769" s="19" t="n">
        <v>75</v>
      </c>
      <c r="G769" s="19" t="n">
        <v>8</v>
      </c>
      <c r="H769" s="14" t="n">
        <v>25000</v>
      </c>
      <c r="I769" s="14" t="n">
        <v>23596.94</v>
      </c>
      <c r="J769" s="24" t="n">
        <v>1.278</v>
      </c>
      <c r="K769" s="19" t="n">
        <v>0</v>
      </c>
      <c r="L769" s="13" t="str">
        <f aca="false">IF(D769&gt;=Inputs!$C$14,"Near-prime","Non-prime")</f>
        <v>Non-prime</v>
      </c>
      <c r="M769" s="19" t="n">
        <f aca="false">IF(K769&lt;=Inputs!$C$19,1,0)</f>
        <v>1</v>
      </c>
      <c r="N769" s="19" t="n">
        <f aca="false">IF(F769&lt;=Inputs!$C$20,1,0)</f>
        <v>1</v>
      </c>
      <c r="O769" s="19" t="n">
        <f aca="false">IF(J769&lt;=Inputs!$C$21,1,0)</f>
        <v>1</v>
      </c>
      <c r="P769" s="19" t="n">
        <f aca="false">IF(D769&gt;=Inputs!$C$22,1,0)</f>
        <v>1</v>
      </c>
      <c r="Q769" s="19" t="n">
        <f aca="false">IF(I769&lt;=Inputs!$C$23,1,0)</f>
        <v>1</v>
      </c>
      <c r="R769" s="19" t="n">
        <f aca="false">M769*N769*O769*P769*Q769</f>
        <v>1</v>
      </c>
      <c r="S769" s="14" t="n">
        <f aca="false">I769*R769</f>
        <v>23596.94</v>
      </c>
      <c r="T769" s="19" t="n">
        <f aca="false">IF(F769&gt;72,1,0)</f>
        <v>1</v>
      </c>
      <c r="U769" s="19" t="n">
        <f aca="false">IF(J769&gt;1.25,1,0)</f>
        <v>1</v>
      </c>
    </row>
    <row r="770" customFormat="false" ht="15" hidden="false" customHeight="false" outlineLevel="0" collapsed="false">
      <c r="B770" s="13" t="s">
        <v>990</v>
      </c>
      <c r="C770" s="13" t="s">
        <v>233</v>
      </c>
      <c r="D770" s="19" t="n">
        <v>737</v>
      </c>
      <c r="E770" s="23" t="n">
        <v>0.2059</v>
      </c>
      <c r="F770" s="19" t="n">
        <v>72</v>
      </c>
      <c r="G770" s="19" t="n">
        <v>6</v>
      </c>
      <c r="H770" s="14" t="n">
        <v>23800</v>
      </c>
      <c r="I770" s="14" t="n">
        <v>22736</v>
      </c>
      <c r="J770" s="24" t="n">
        <v>1.173</v>
      </c>
      <c r="K770" s="19" t="n">
        <v>0</v>
      </c>
      <c r="L770" s="13" t="str">
        <f aca="false">IF(D770&gt;=Inputs!$C$14,"Near-prime","Non-prime")</f>
        <v>Near-prime</v>
      </c>
      <c r="M770" s="19" t="n">
        <f aca="false">IF(K770&lt;=Inputs!$C$19,1,0)</f>
        <v>1</v>
      </c>
      <c r="N770" s="19" t="n">
        <f aca="false">IF(F770&lt;=Inputs!$C$20,1,0)</f>
        <v>1</v>
      </c>
      <c r="O770" s="19" t="n">
        <f aca="false">IF(J770&lt;=Inputs!$C$21,1,0)</f>
        <v>1</v>
      </c>
      <c r="P770" s="19" t="n">
        <f aca="false">IF(D770&gt;=Inputs!$C$22,1,0)</f>
        <v>1</v>
      </c>
      <c r="Q770" s="19" t="n">
        <f aca="false">IF(I770&lt;=Inputs!$C$23,1,0)</f>
        <v>1</v>
      </c>
      <c r="R770" s="19" t="n">
        <f aca="false">M770*N770*O770*P770*Q770</f>
        <v>1</v>
      </c>
      <c r="S770" s="14" t="n">
        <f aca="false">I770*R770</f>
        <v>22736</v>
      </c>
      <c r="T770" s="19" t="n">
        <f aca="false">IF(F770&gt;72,1,0)</f>
        <v>0</v>
      </c>
      <c r="U770" s="19" t="n">
        <f aca="false">IF(J770&gt;1.25,1,0)</f>
        <v>0</v>
      </c>
    </row>
    <row r="771" customFormat="false" ht="15" hidden="false" customHeight="false" outlineLevel="0" collapsed="false">
      <c r="B771" s="13" t="s">
        <v>991</v>
      </c>
      <c r="C771" s="13" t="s">
        <v>221</v>
      </c>
      <c r="D771" s="19" t="n">
        <v>708</v>
      </c>
      <c r="E771" s="23" t="n">
        <v>0.1965</v>
      </c>
      <c r="F771" s="19" t="n">
        <v>72</v>
      </c>
      <c r="G771" s="19" t="n">
        <v>10</v>
      </c>
      <c r="H771" s="14" t="n">
        <v>37610</v>
      </c>
      <c r="I771" s="14" t="n">
        <v>34622.53</v>
      </c>
      <c r="J771" s="24" t="n">
        <v>0.648</v>
      </c>
      <c r="K771" s="19" t="n">
        <v>0</v>
      </c>
      <c r="L771" s="13" t="str">
        <f aca="false">IF(D771&gt;=Inputs!$C$14,"Near-prime","Non-prime")</f>
        <v>Near-prime</v>
      </c>
      <c r="M771" s="19" t="n">
        <f aca="false">IF(K771&lt;=Inputs!$C$19,1,0)</f>
        <v>1</v>
      </c>
      <c r="N771" s="19" t="n">
        <f aca="false">IF(F771&lt;=Inputs!$C$20,1,0)</f>
        <v>1</v>
      </c>
      <c r="O771" s="19" t="n">
        <f aca="false">IF(J771&lt;=Inputs!$C$21,1,0)</f>
        <v>1</v>
      </c>
      <c r="P771" s="19" t="n">
        <f aca="false">IF(D771&gt;=Inputs!$C$22,1,0)</f>
        <v>1</v>
      </c>
      <c r="Q771" s="19" t="n">
        <f aca="false">IF(I771&lt;=Inputs!$C$23,1,0)</f>
        <v>1</v>
      </c>
      <c r="R771" s="19" t="n">
        <f aca="false">M771*N771*O771*P771*Q771</f>
        <v>1</v>
      </c>
      <c r="S771" s="14" t="n">
        <f aca="false">I771*R771</f>
        <v>34622.53</v>
      </c>
      <c r="T771" s="19" t="n">
        <f aca="false">IF(F771&gt;72,1,0)</f>
        <v>0</v>
      </c>
      <c r="U771" s="19" t="n">
        <f aca="false">IF(J771&gt;1.25,1,0)</f>
        <v>0</v>
      </c>
    </row>
    <row r="772" customFormat="false" ht="15" hidden="false" customHeight="false" outlineLevel="0" collapsed="false">
      <c r="B772" s="13" t="s">
        <v>992</v>
      </c>
      <c r="C772" s="13" t="s">
        <v>217</v>
      </c>
      <c r="D772" s="19" t="n">
        <v>592</v>
      </c>
      <c r="E772" s="23" t="n">
        <v>0.2267</v>
      </c>
      <c r="F772" s="19" t="n">
        <v>84</v>
      </c>
      <c r="G772" s="19" t="n">
        <v>6</v>
      </c>
      <c r="H772" s="14" t="n">
        <v>14690</v>
      </c>
      <c r="I772" s="14" t="n">
        <v>14232.6</v>
      </c>
      <c r="J772" s="24" t="n">
        <v>1.279</v>
      </c>
      <c r="K772" s="19" t="n">
        <v>0</v>
      </c>
      <c r="L772" s="13" t="str">
        <f aca="false">IF(D772&gt;=Inputs!$C$14,"Near-prime","Non-prime")</f>
        <v>Non-prime</v>
      </c>
      <c r="M772" s="19" t="n">
        <f aca="false">IF(K772&lt;=Inputs!$C$19,1,0)</f>
        <v>1</v>
      </c>
      <c r="N772" s="19" t="n">
        <f aca="false">IF(F772&lt;=Inputs!$C$20,1,0)</f>
        <v>0</v>
      </c>
      <c r="O772" s="19" t="n">
        <f aca="false">IF(J772&lt;=Inputs!$C$21,1,0)</f>
        <v>1</v>
      </c>
      <c r="P772" s="19" t="n">
        <f aca="false">IF(D772&gt;=Inputs!$C$22,1,0)</f>
        <v>1</v>
      </c>
      <c r="Q772" s="19" t="n">
        <f aca="false">IF(I772&lt;=Inputs!$C$23,1,0)</f>
        <v>1</v>
      </c>
      <c r="R772" s="19" t="n">
        <f aca="false">M772*N772*O772*P772*Q772</f>
        <v>0</v>
      </c>
      <c r="S772" s="14" t="n">
        <f aca="false">I772*R772</f>
        <v>0</v>
      </c>
      <c r="T772" s="19" t="n">
        <f aca="false">IF(F772&gt;72,1,0)</f>
        <v>1</v>
      </c>
      <c r="U772" s="19" t="n">
        <f aca="false">IF(J772&gt;1.25,1,0)</f>
        <v>1</v>
      </c>
    </row>
    <row r="773" customFormat="false" ht="15" hidden="false" customHeight="false" outlineLevel="0" collapsed="false">
      <c r="B773" s="13" t="s">
        <v>993</v>
      </c>
      <c r="C773" s="13" t="s">
        <v>228</v>
      </c>
      <c r="D773" s="19" t="n">
        <v>549</v>
      </c>
      <c r="E773" s="23" t="n">
        <v>0.2304</v>
      </c>
      <c r="F773" s="19" t="n">
        <v>72</v>
      </c>
      <c r="G773" s="19" t="n">
        <v>5</v>
      </c>
      <c r="H773" s="14" t="n">
        <v>13520</v>
      </c>
      <c r="I773" s="14" t="n">
        <v>13060.09</v>
      </c>
      <c r="J773" s="24" t="n">
        <v>1.108</v>
      </c>
      <c r="K773" s="19" t="n">
        <v>0</v>
      </c>
      <c r="L773" s="13" t="str">
        <f aca="false">IF(D773&gt;=Inputs!$C$14,"Near-prime","Non-prime")</f>
        <v>Non-prime</v>
      </c>
      <c r="M773" s="19" t="n">
        <f aca="false">IF(K773&lt;=Inputs!$C$19,1,0)</f>
        <v>1</v>
      </c>
      <c r="N773" s="19" t="n">
        <f aca="false">IF(F773&lt;=Inputs!$C$20,1,0)</f>
        <v>1</v>
      </c>
      <c r="O773" s="19" t="n">
        <f aca="false">IF(J773&lt;=Inputs!$C$21,1,0)</f>
        <v>1</v>
      </c>
      <c r="P773" s="19" t="n">
        <f aca="false">IF(D773&gt;=Inputs!$C$22,1,0)</f>
        <v>1</v>
      </c>
      <c r="Q773" s="19" t="n">
        <f aca="false">IF(I773&lt;=Inputs!$C$23,1,0)</f>
        <v>1</v>
      </c>
      <c r="R773" s="19" t="n">
        <f aca="false">M773*N773*O773*P773*Q773</f>
        <v>1</v>
      </c>
      <c r="S773" s="14" t="n">
        <f aca="false">I773*R773</f>
        <v>13060.09</v>
      </c>
      <c r="T773" s="19" t="n">
        <f aca="false">IF(F773&gt;72,1,0)</f>
        <v>0</v>
      </c>
      <c r="U773" s="19" t="n">
        <f aca="false">IF(J773&gt;1.25,1,0)</f>
        <v>0</v>
      </c>
    </row>
    <row r="774" customFormat="false" ht="15" hidden="false" customHeight="false" outlineLevel="0" collapsed="false">
      <c r="B774" s="13" t="s">
        <v>994</v>
      </c>
      <c r="C774" s="13" t="s">
        <v>217</v>
      </c>
      <c r="D774" s="19" t="n">
        <v>561</v>
      </c>
      <c r="E774" s="23" t="n">
        <v>0.2228</v>
      </c>
      <c r="F774" s="19" t="n">
        <v>60</v>
      </c>
      <c r="G774" s="19" t="n">
        <v>4</v>
      </c>
      <c r="H774" s="14" t="n">
        <v>30150</v>
      </c>
      <c r="I774" s="14" t="n">
        <v>29007.75</v>
      </c>
      <c r="J774" s="24" t="n">
        <v>0.859</v>
      </c>
      <c r="K774" s="19" t="n">
        <v>0</v>
      </c>
      <c r="L774" s="13" t="str">
        <f aca="false">IF(D774&gt;=Inputs!$C$14,"Near-prime","Non-prime")</f>
        <v>Non-prime</v>
      </c>
      <c r="M774" s="19" t="n">
        <f aca="false">IF(K774&lt;=Inputs!$C$19,1,0)</f>
        <v>1</v>
      </c>
      <c r="N774" s="19" t="n">
        <f aca="false">IF(F774&lt;=Inputs!$C$20,1,0)</f>
        <v>1</v>
      </c>
      <c r="O774" s="19" t="n">
        <f aca="false">IF(J774&lt;=Inputs!$C$21,1,0)</f>
        <v>1</v>
      </c>
      <c r="P774" s="19" t="n">
        <f aca="false">IF(D774&gt;=Inputs!$C$22,1,0)</f>
        <v>1</v>
      </c>
      <c r="Q774" s="19" t="n">
        <f aca="false">IF(I774&lt;=Inputs!$C$23,1,0)</f>
        <v>1</v>
      </c>
      <c r="R774" s="19" t="n">
        <f aca="false">M774*N774*O774*P774*Q774</f>
        <v>1</v>
      </c>
      <c r="S774" s="14" t="n">
        <f aca="false">I774*R774</f>
        <v>29007.75</v>
      </c>
      <c r="T774" s="19" t="n">
        <f aca="false">IF(F774&gt;72,1,0)</f>
        <v>0</v>
      </c>
      <c r="U774" s="19" t="n">
        <f aca="false">IF(J774&gt;1.25,1,0)</f>
        <v>0</v>
      </c>
    </row>
    <row r="775" customFormat="false" ht="15" hidden="false" customHeight="false" outlineLevel="0" collapsed="false">
      <c r="B775" s="13" t="s">
        <v>995</v>
      </c>
      <c r="C775" s="13" t="s">
        <v>252</v>
      </c>
      <c r="D775" s="19" t="n">
        <v>660</v>
      </c>
      <c r="E775" s="23" t="n">
        <v>0.214</v>
      </c>
      <c r="F775" s="19" t="n">
        <v>48</v>
      </c>
      <c r="G775" s="19" t="n">
        <v>6</v>
      </c>
      <c r="H775" s="14" t="n">
        <v>38480</v>
      </c>
      <c r="I775" s="14" t="n">
        <v>35257.53</v>
      </c>
      <c r="J775" s="24" t="n">
        <v>1.17</v>
      </c>
      <c r="K775" s="19" t="n">
        <v>0</v>
      </c>
      <c r="L775" s="13" t="str">
        <f aca="false">IF(D775&gt;=Inputs!$C$14,"Near-prime","Non-prime")</f>
        <v>Near-prime</v>
      </c>
      <c r="M775" s="19" t="n">
        <f aca="false">IF(K775&lt;=Inputs!$C$19,1,0)</f>
        <v>1</v>
      </c>
      <c r="N775" s="19" t="n">
        <f aca="false">IF(F775&lt;=Inputs!$C$20,1,0)</f>
        <v>1</v>
      </c>
      <c r="O775" s="19" t="n">
        <f aca="false">IF(J775&lt;=Inputs!$C$21,1,0)</f>
        <v>1</v>
      </c>
      <c r="P775" s="19" t="n">
        <f aca="false">IF(D775&gt;=Inputs!$C$22,1,0)</f>
        <v>1</v>
      </c>
      <c r="Q775" s="19" t="n">
        <f aca="false">IF(I775&lt;=Inputs!$C$23,1,0)</f>
        <v>1</v>
      </c>
      <c r="R775" s="19" t="n">
        <f aca="false">M775*N775*O775*P775*Q775</f>
        <v>1</v>
      </c>
      <c r="S775" s="14" t="n">
        <f aca="false">I775*R775</f>
        <v>35257.53</v>
      </c>
      <c r="T775" s="19" t="n">
        <f aca="false">IF(F775&gt;72,1,0)</f>
        <v>0</v>
      </c>
      <c r="U775" s="19" t="n">
        <f aca="false">IF(J775&gt;1.25,1,0)</f>
        <v>0</v>
      </c>
    </row>
    <row r="776" customFormat="false" ht="15" hidden="false" customHeight="false" outlineLevel="0" collapsed="false">
      <c r="B776" s="13" t="s">
        <v>996</v>
      </c>
      <c r="C776" s="13" t="s">
        <v>228</v>
      </c>
      <c r="D776" s="19" t="n">
        <v>580</v>
      </c>
      <c r="E776" s="23" t="n">
        <v>0.2168</v>
      </c>
      <c r="F776" s="19" t="n">
        <v>72</v>
      </c>
      <c r="G776" s="19" t="n">
        <v>0</v>
      </c>
      <c r="H776" s="14" t="n">
        <v>28790</v>
      </c>
      <c r="I776" s="14" t="n">
        <v>28790</v>
      </c>
      <c r="J776" s="24" t="n">
        <v>0.948</v>
      </c>
      <c r="K776" s="19" t="n">
        <v>0</v>
      </c>
      <c r="L776" s="13" t="str">
        <f aca="false">IF(D776&gt;=Inputs!$C$14,"Near-prime","Non-prime")</f>
        <v>Non-prime</v>
      </c>
      <c r="M776" s="19" t="n">
        <f aca="false">IF(K776&lt;=Inputs!$C$19,1,0)</f>
        <v>1</v>
      </c>
      <c r="N776" s="19" t="n">
        <f aca="false">IF(F776&lt;=Inputs!$C$20,1,0)</f>
        <v>1</v>
      </c>
      <c r="O776" s="19" t="n">
        <f aca="false">IF(J776&lt;=Inputs!$C$21,1,0)</f>
        <v>1</v>
      </c>
      <c r="P776" s="19" t="n">
        <f aca="false">IF(D776&gt;=Inputs!$C$22,1,0)</f>
        <v>1</v>
      </c>
      <c r="Q776" s="19" t="n">
        <f aca="false">IF(I776&lt;=Inputs!$C$23,1,0)</f>
        <v>1</v>
      </c>
      <c r="R776" s="19" t="n">
        <f aca="false">M776*N776*O776*P776*Q776</f>
        <v>1</v>
      </c>
      <c r="S776" s="14" t="n">
        <f aca="false">I776*R776</f>
        <v>28790</v>
      </c>
      <c r="T776" s="19" t="n">
        <f aca="false">IF(F776&gt;72,1,0)</f>
        <v>0</v>
      </c>
      <c r="U776" s="19" t="n">
        <f aca="false">IF(J776&gt;1.25,1,0)</f>
        <v>0</v>
      </c>
    </row>
    <row r="777" customFormat="false" ht="15" hidden="false" customHeight="false" outlineLevel="0" collapsed="false">
      <c r="B777" s="13" t="s">
        <v>997</v>
      </c>
      <c r="C777" s="13" t="s">
        <v>237</v>
      </c>
      <c r="D777" s="19" t="n">
        <v>629</v>
      </c>
      <c r="E777" s="23" t="n">
        <v>0.1973</v>
      </c>
      <c r="F777" s="19" t="n">
        <v>75</v>
      </c>
      <c r="G777" s="19" t="n">
        <v>6</v>
      </c>
      <c r="H777" s="14" t="n">
        <v>21880</v>
      </c>
      <c r="I777" s="14" t="n">
        <v>20941.95</v>
      </c>
      <c r="J777" s="24" t="n">
        <v>0.903</v>
      </c>
      <c r="K777" s="19" t="n">
        <v>0</v>
      </c>
      <c r="L777" s="13" t="str">
        <f aca="false">IF(D777&gt;=Inputs!$C$14,"Near-prime","Non-prime")</f>
        <v>Near-prime</v>
      </c>
      <c r="M777" s="19" t="n">
        <f aca="false">IF(K777&lt;=Inputs!$C$19,1,0)</f>
        <v>1</v>
      </c>
      <c r="N777" s="19" t="n">
        <f aca="false">IF(F777&lt;=Inputs!$C$20,1,0)</f>
        <v>1</v>
      </c>
      <c r="O777" s="19" t="n">
        <f aca="false">IF(J777&lt;=Inputs!$C$21,1,0)</f>
        <v>1</v>
      </c>
      <c r="P777" s="19" t="n">
        <f aca="false">IF(D777&gt;=Inputs!$C$22,1,0)</f>
        <v>1</v>
      </c>
      <c r="Q777" s="19" t="n">
        <f aca="false">IF(I777&lt;=Inputs!$C$23,1,0)</f>
        <v>1</v>
      </c>
      <c r="R777" s="19" t="n">
        <f aca="false">M777*N777*O777*P777*Q777</f>
        <v>1</v>
      </c>
      <c r="S777" s="14" t="n">
        <f aca="false">I777*R777</f>
        <v>20941.95</v>
      </c>
      <c r="T777" s="19" t="n">
        <f aca="false">IF(F777&gt;72,1,0)</f>
        <v>1</v>
      </c>
      <c r="U777" s="19" t="n">
        <f aca="false">IF(J777&gt;1.25,1,0)</f>
        <v>0</v>
      </c>
    </row>
    <row r="778" customFormat="false" ht="15" hidden="false" customHeight="false" outlineLevel="0" collapsed="false">
      <c r="B778" s="13" t="s">
        <v>998</v>
      </c>
      <c r="C778" s="13" t="s">
        <v>252</v>
      </c>
      <c r="D778" s="19" t="n">
        <v>674</v>
      </c>
      <c r="E778" s="23" t="n">
        <v>0.2165</v>
      </c>
      <c r="F778" s="19" t="n">
        <v>60</v>
      </c>
      <c r="G778" s="19" t="n">
        <v>6</v>
      </c>
      <c r="H778" s="14" t="n">
        <v>43630</v>
      </c>
      <c r="I778" s="14" t="n">
        <v>41061.43</v>
      </c>
      <c r="J778" s="24" t="n">
        <v>1.134</v>
      </c>
      <c r="K778" s="19" t="n">
        <v>0</v>
      </c>
      <c r="L778" s="13" t="str">
        <f aca="false">IF(D778&gt;=Inputs!$C$14,"Near-prime","Non-prime")</f>
        <v>Near-prime</v>
      </c>
      <c r="M778" s="19" t="n">
        <f aca="false">IF(K778&lt;=Inputs!$C$19,1,0)</f>
        <v>1</v>
      </c>
      <c r="N778" s="19" t="n">
        <f aca="false">IF(F778&lt;=Inputs!$C$20,1,0)</f>
        <v>1</v>
      </c>
      <c r="O778" s="19" t="n">
        <f aca="false">IF(J778&lt;=Inputs!$C$21,1,0)</f>
        <v>1</v>
      </c>
      <c r="P778" s="19" t="n">
        <f aca="false">IF(D778&gt;=Inputs!$C$22,1,0)</f>
        <v>1</v>
      </c>
      <c r="Q778" s="19" t="n">
        <f aca="false">IF(I778&lt;=Inputs!$C$23,1,0)</f>
        <v>1</v>
      </c>
      <c r="R778" s="19" t="n">
        <f aca="false">M778*N778*O778*P778*Q778</f>
        <v>1</v>
      </c>
      <c r="S778" s="14" t="n">
        <f aca="false">I778*R778</f>
        <v>41061.43</v>
      </c>
      <c r="T778" s="19" t="n">
        <f aca="false">IF(F778&gt;72,1,0)</f>
        <v>0</v>
      </c>
      <c r="U778" s="19" t="n">
        <f aca="false">IF(J778&gt;1.25,1,0)</f>
        <v>0</v>
      </c>
    </row>
    <row r="779" customFormat="false" ht="15" hidden="false" customHeight="false" outlineLevel="0" collapsed="false">
      <c r="B779" s="13" t="s">
        <v>999</v>
      </c>
      <c r="C779" s="13" t="s">
        <v>221</v>
      </c>
      <c r="D779" s="19" t="n">
        <v>665</v>
      </c>
      <c r="E779" s="23" t="n">
        <v>0.2017</v>
      </c>
      <c r="F779" s="19" t="n">
        <v>72</v>
      </c>
      <c r="G779" s="19" t="n">
        <v>2</v>
      </c>
      <c r="H779" s="14" t="n">
        <v>19600</v>
      </c>
      <c r="I779" s="14" t="n">
        <v>19313.68</v>
      </c>
      <c r="J779" s="24" t="n">
        <v>1.232</v>
      </c>
      <c r="K779" s="19" t="n">
        <v>0</v>
      </c>
      <c r="L779" s="13" t="str">
        <f aca="false">IF(D779&gt;=Inputs!$C$14,"Near-prime","Non-prime")</f>
        <v>Near-prime</v>
      </c>
      <c r="M779" s="19" t="n">
        <f aca="false">IF(K779&lt;=Inputs!$C$19,1,0)</f>
        <v>1</v>
      </c>
      <c r="N779" s="19" t="n">
        <f aca="false">IF(F779&lt;=Inputs!$C$20,1,0)</f>
        <v>1</v>
      </c>
      <c r="O779" s="19" t="n">
        <f aca="false">IF(J779&lt;=Inputs!$C$21,1,0)</f>
        <v>1</v>
      </c>
      <c r="P779" s="19" t="n">
        <f aca="false">IF(D779&gt;=Inputs!$C$22,1,0)</f>
        <v>1</v>
      </c>
      <c r="Q779" s="19" t="n">
        <f aca="false">IF(I779&lt;=Inputs!$C$23,1,0)</f>
        <v>1</v>
      </c>
      <c r="R779" s="19" t="n">
        <f aca="false">M779*N779*O779*P779*Q779</f>
        <v>1</v>
      </c>
      <c r="S779" s="14" t="n">
        <f aca="false">I779*R779</f>
        <v>19313.68</v>
      </c>
      <c r="T779" s="19" t="n">
        <f aca="false">IF(F779&gt;72,1,0)</f>
        <v>0</v>
      </c>
      <c r="U779" s="19" t="n">
        <f aca="false">IF(J779&gt;1.25,1,0)</f>
        <v>0</v>
      </c>
    </row>
    <row r="780" customFormat="false" ht="15" hidden="false" customHeight="false" outlineLevel="0" collapsed="false">
      <c r="B780" s="13" t="s">
        <v>1000</v>
      </c>
      <c r="C780" s="13" t="s">
        <v>223</v>
      </c>
      <c r="D780" s="19" t="n">
        <v>683</v>
      </c>
      <c r="E780" s="23" t="n">
        <v>0.2095</v>
      </c>
      <c r="F780" s="19" t="n">
        <v>60</v>
      </c>
      <c r="G780" s="19" t="n">
        <v>3</v>
      </c>
      <c r="H780" s="14" t="n">
        <v>22400</v>
      </c>
      <c r="I780" s="14" t="n">
        <v>21745.81</v>
      </c>
      <c r="J780" s="24" t="n">
        <v>1.304</v>
      </c>
      <c r="K780" s="19" t="n">
        <v>0</v>
      </c>
      <c r="L780" s="13" t="str">
        <f aca="false">IF(D780&gt;=Inputs!$C$14,"Near-prime","Non-prime")</f>
        <v>Near-prime</v>
      </c>
      <c r="M780" s="19" t="n">
        <f aca="false">IF(K780&lt;=Inputs!$C$19,1,0)</f>
        <v>1</v>
      </c>
      <c r="N780" s="19" t="n">
        <f aca="false">IF(F780&lt;=Inputs!$C$20,1,0)</f>
        <v>1</v>
      </c>
      <c r="O780" s="19" t="n">
        <f aca="false">IF(J780&lt;=Inputs!$C$21,1,0)</f>
        <v>1</v>
      </c>
      <c r="P780" s="19" t="n">
        <f aca="false">IF(D780&gt;=Inputs!$C$22,1,0)</f>
        <v>1</v>
      </c>
      <c r="Q780" s="19" t="n">
        <f aca="false">IF(I780&lt;=Inputs!$C$23,1,0)</f>
        <v>1</v>
      </c>
      <c r="R780" s="19" t="n">
        <f aca="false">M780*N780*O780*P780*Q780</f>
        <v>1</v>
      </c>
      <c r="S780" s="14" t="n">
        <f aca="false">I780*R780</f>
        <v>21745.81</v>
      </c>
      <c r="T780" s="19" t="n">
        <f aca="false">IF(F780&gt;72,1,0)</f>
        <v>0</v>
      </c>
      <c r="U780" s="19" t="n">
        <f aca="false">IF(J780&gt;1.25,1,0)</f>
        <v>1</v>
      </c>
    </row>
    <row r="781" customFormat="false" ht="15" hidden="false" customHeight="false" outlineLevel="0" collapsed="false">
      <c r="B781" s="13" t="s">
        <v>1001</v>
      </c>
      <c r="C781" s="13" t="s">
        <v>252</v>
      </c>
      <c r="D781" s="19" t="n">
        <v>578</v>
      </c>
      <c r="E781" s="23" t="n">
        <v>0.2212</v>
      </c>
      <c r="F781" s="19" t="n">
        <v>72</v>
      </c>
      <c r="G781" s="19" t="n">
        <v>8</v>
      </c>
      <c r="H781" s="14" t="n">
        <v>20030</v>
      </c>
      <c r="I781" s="14" t="n">
        <v>18873.56</v>
      </c>
      <c r="J781" s="24" t="n">
        <v>1.056</v>
      </c>
      <c r="K781" s="19" t="n">
        <v>0</v>
      </c>
      <c r="L781" s="13" t="str">
        <f aca="false">IF(D781&gt;=Inputs!$C$14,"Near-prime","Non-prime")</f>
        <v>Non-prime</v>
      </c>
      <c r="M781" s="19" t="n">
        <f aca="false">IF(K781&lt;=Inputs!$C$19,1,0)</f>
        <v>1</v>
      </c>
      <c r="N781" s="19" t="n">
        <f aca="false">IF(F781&lt;=Inputs!$C$20,1,0)</f>
        <v>1</v>
      </c>
      <c r="O781" s="19" t="n">
        <f aca="false">IF(J781&lt;=Inputs!$C$21,1,0)</f>
        <v>1</v>
      </c>
      <c r="P781" s="19" t="n">
        <f aca="false">IF(D781&gt;=Inputs!$C$22,1,0)</f>
        <v>1</v>
      </c>
      <c r="Q781" s="19" t="n">
        <f aca="false">IF(I781&lt;=Inputs!$C$23,1,0)</f>
        <v>1</v>
      </c>
      <c r="R781" s="19" t="n">
        <f aca="false">M781*N781*O781*P781*Q781</f>
        <v>1</v>
      </c>
      <c r="S781" s="14" t="n">
        <f aca="false">I781*R781</f>
        <v>18873.56</v>
      </c>
      <c r="T781" s="19" t="n">
        <f aca="false">IF(F781&gt;72,1,0)</f>
        <v>0</v>
      </c>
      <c r="U781" s="19" t="n">
        <f aca="false">IF(J781&gt;1.25,1,0)</f>
        <v>0</v>
      </c>
    </row>
    <row r="782" customFormat="false" ht="15" hidden="false" customHeight="false" outlineLevel="0" collapsed="false">
      <c r="B782" s="13" t="s">
        <v>1002</v>
      </c>
      <c r="C782" s="13" t="s">
        <v>237</v>
      </c>
      <c r="D782" s="19" t="n">
        <v>679</v>
      </c>
      <c r="E782" s="23" t="n">
        <v>0.2102</v>
      </c>
      <c r="F782" s="19" t="n">
        <v>48</v>
      </c>
      <c r="G782" s="19" t="n">
        <v>6</v>
      </c>
      <c r="H782" s="14" t="n">
        <v>15440</v>
      </c>
      <c r="I782" s="14" t="n">
        <v>14137.19</v>
      </c>
      <c r="J782" s="24" t="n">
        <v>1.129</v>
      </c>
      <c r="K782" s="19" t="n">
        <v>0</v>
      </c>
      <c r="L782" s="13" t="str">
        <f aca="false">IF(D782&gt;=Inputs!$C$14,"Near-prime","Non-prime")</f>
        <v>Near-prime</v>
      </c>
      <c r="M782" s="19" t="n">
        <f aca="false">IF(K782&lt;=Inputs!$C$19,1,0)</f>
        <v>1</v>
      </c>
      <c r="N782" s="19" t="n">
        <f aca="false">IF(F782&lt;=Inputs!$C$20,1,0)</f>
        <v>1</v>
      </c>
      <c r="O782" s="19" t="n">
        <f aca="false">IF(J782&lt;=Inputs!$C$21,1,0)</f>
        <v>1</v>
      </c>
      <c r="P782" s="19" t="n">
        <f aca="false">IF(D782&gt;=Inputs!$C$22,1,0)</f>
        <v>1</v>
      </c>
      <c r="Q782" s="19" t="n">
        <f aca="false">IF(I782&lt;=Inputs!$C$23,1,0)</f>
        <v>1</v>
      </c>
      <c r="R782" s="19" t="n">
        <f aca="false">M782*N782*O782*P782*Q782</f>
        <v>1</v>
      </c>
      <c r="S782" s="14" t="n">
        <f aca="false">I782*R782</f>
        <v>14137.19</v>
      </c>
      <c r="T782" s="19" t="n">
        <f aca="false">IF(F782&gt;72,1,0)</f>
        <v>0</v>
      </c>
      <c r="U782" s="19" t="n">
        <f aca="false">IF(J782&gt;1.25,1,0)</f>
        <v>0</v>
      </c>
    </row>
    <row r="783" customFormat="false" ht="15" hidden="false" customHeight="false" outlineLevel="0" collapsed="false">
      <c r="B783" s="13" t="s">
        <v>1003</v>
      </c>
      <c r="C783" s="13" t="s">
        <v>252</v>
      </c>
      <c r="D783" s="19" t="n">
        <v>681</v>
      </c>
      <c r="E783" s="23" t="n">
        <v>0.1783</v>
      </c>
      <c r="F783" s="19" t="n">
        <v>60</v>
      </c>
      <c r="G783" s="19" t="n">
        <v>8</v>
      </c>
      <c r="H783" s="14" t="n">
        <v>21710</v>
      </c>
      <c r="I783" s="14" t="n">
        <v>19799.14</v>
      </c>
      <c r="J783" s="24" t="n">
        <v>1.02</v>
      </c>
      <c r="K783" s="19" t="n">
        <v>15</v>
      </c>
      <c r="L783" s="13" t="str">
        <f aca="false">IF(D783&gt;=Inputs!$C$14,"Near-prime","Non-prime")</f>
        <v>Near-prime</v>
      </c>
      <c r="M783" s="19" t="n">
        <f aca="false">IF(K783&lt;=Inputs!$C$19,1,0)</f>
        <v>1</v>
      </c>
      <c r="N783" s="19" t="n">
        <f aca="false">IF(F783&lt;=Inputs!$C$20,1,0)</f>
        <v>1</v>
      </c>
      <c r="O783" s="19" t="n">
        <f aca="false">IF(J783&lt;=Inputs!$C$21,1,0)</f>
        <v>1</v>
      </c>
      <c r="P783" s="19" t="n">
        <f aca="false">IF(D783&gt;=Inputs!$C$22,1,0)</f>
        <v>1</v>
      </c>
      <c r="Q783" s="19" t="n">
        <f aca="false">IF(I783&lt;=Inputs!$C$23,1,0)</f>
        <v>1</v>
      </c>
      <c r="R783" s="19" t="n">
        <f aca="false">M783*N783*O783*P783*Q783</f>
        <v>1</v>
      </c>
      <c r="S783" s="14" t="n">
        <f aca="false">I783*R783</f>
        <v>19799.14</v>
      </c>
      <c r="T783" s="19" t="n">
        <f aca="false">IF(F783&gt;72,1,0)</f>
        <v>0</v>
      </c>
      <c r="U783" s="19" t="n">
        <f aca="false">IF(J783&gt;1.25,1,0)</f>
        <v>0</v>
      </c>
    </row>
    <row r="784" customFormat="false" ht="15" hidden="false" customHeight="false" outlineLevel="0" collapsed="false">
      <c r="B784" s="13" t="s">
        <v>1004</v>
      </c>
      <c r="C784" s="13" t="s">
        <v>237</v>
      </c>
      <c r="D784" s="19" t="n">
        <v>694</v>
      </c>
      <c r="E784" s="23" t="n">
        <v>0.2056</v>
      </c>
      <c r="F784" s="19" t="n">
        <v>72</v>
      </c>
      <c r="G784" s="19" t="n">
        <v>9</v>
      </c>
      <c r="H784" s="14" t="n">
        <v>22450</v>
      </c>
      <c r="I784" s="14" t="n">
        <v>20903.31</v>
      </c>
      <c r="J784" s="24" t="n">
        <v>0.918</v>
      </c>
      <c r="K784" s="19" t="n">
        <v>0</v>
      </c>
      <c r="L784" s="13" t="str">
        <f aca="false">IF(D784&gt;=Inputs!$C$14,"Near-prime","Non-prime")</f>
        <v>Near-prime</v>
      </c>
      <c r="M784" s="19" t="n">
        <f aca="false">IF(K784&lt;=Inputs!$C$19,1,0)</f>
        <v>1</v>
      </c>
      <c r="N784" s="19" t="n">
        <f aca="false">IF(F784&lt;=Inputs!$C$20,1,0)</f>
        <v>1</v>
      </c>
      <c r="O784" s="19" t="n">
        <f aca="false">IF(J784&lt;=Inputs!$C$21,1,0)</f>
        <v>1</v>
      </c>
      <c r="P784" s="19" t="n">
        <f aca="false">IF(D784&gt;=Inputs!$C$22,1,0)</f>
        <v>1</v>
      </c>
      <c r="Q784" s="19" t="n">
        <f aca="false">IF(I784&lt;=Inputs!$C$23,1,0)</f>
        <v>1</v>
      </c>
      <c r="R784" s="19" t="n">
        <f aca="false">M784*N784*O784*P784*Q784</f>
        <v>1</v>
      </c>
      <c r="S784" s="14" t="n">
        <f aca="false">I784*R784</f>
        <v>20903.31</v>
      </c>
      <c r="T784" s="19" t="n">
        <f aca="false">IF(F784&gt;72,1,0)</f>
        <v>0</v>
      </c>
      <c r="U784" s="19" t="n">
        <f aca="false">IF(J784&gt;1.25,1,0)</f>
        <v>0</v>
      </c>
    </row>
    <row r="785" customFormat="false" ht="15" hidden="false" customHeight="false" outlineLevel="0" collapsed="false">
      <c r="B785" s="13" t="s">
        <v>1005</v>
      </c>
      <c r="C785" s="13" t="s">
        <v>233</v>
      </c>
      <c r="D785" s="19" t="n">
        <v>688</v>
      </c>
      <c r="E785" s="23" t="n">
        <v>0.203</v>
      </c>
      <c r="F785" s="19" t="n">
        <v>72</v>
      </c>
      <c r="G785" s="19" t="n">
        <v>9</v>
      </c>
      <c r="H785" s="14" t="n">
        <v>22520</v>
      </c>
      <c r="I785" s="14" t="n">
        <v>20955.71</v>
      </c>
      <c r="J785" s="24" t="n">
        <v>0.661</v>
      </c>
      <c r="K785" s="19" t="n">
        <v>30</v>
      </c>
      <c r="L785" s="13" t="str">
        <f aca="false">IF(D785&gt;=Inputs!$C$14,"Near-prime","Non-prime")</f>
        <v>Near-prime</v>
      </c>
      <c r="M785" s="19" t="n">
        <f aca="false">IF(K785&lt;=Inputs!$C$19,1,0)</f>
        <v>1</v>
      </c>
      <c r="N785" s="19" t="n">
        <f aca="false">IF(F785&lt;=Inputs!$C$20,1,0)</f>
        <v>1</v>
      </c>
      <c r="O785" s="19" t="n">
        <f aca="false">IF(J785&lt;=Inputs!$C$21,1,0)</f>
        <v>1</v>
      </c>
      <c r="P785" s="19" t="n">
        <f aca="false">IF(D785&gt;=Inputs!$C$22,1,0)</f>
        <v>1</v>
      </c>
      <c r="Q785" s="19" t="n">
        <f aca="false">IF(I785&lt;=Inputs!$C$23,1,0)</f>
        <v>1</v>
      </c>
      <c r="R785" s="19" t="n">
        <f aca="false">M785*N785*O785*P785*Q785</f>
        <v>1</v>
      </c>
      <c r="S785" s="14" t="n">
        <f aca="false">I785*R785</f>
        <v>20955.71</v>
      </c>
      <c r="T785" s="19" t="n">
        <f aca="false">IF(F785&gt;72,1,0)</f>
        <v>0</v>
      </c>
      <c r="U785" s="19" t="n">
        <f aca="false">IF(J785&gt;1.25,1,0)</f>
        <v>0</v>
      </c>
    </row>
    <row r="786" customFormat="false" ht="15" hidden="false" customHeight="false" outlineLevel="0" collapsed="false">
      <c r="B786" s="13" t="s">
        <v>1006</v>
      </c>
      <c r="C786" s="13" t="s">
        <v>219</v>
      </c>
      <c r="D786" s="19" t="n">
        <v>578</v>
      </c>
      <c r="E786" s="23" t="n">
        <v>0.2116</v>
      </c>
      <c r="F786" s="19" t="n">
        <v>72</v>
      </c>
      <c r="G786" s="19" t="n">
        <v>4</v>
      </c>
      <c r="H786" s="14" t="n">
        <v>28610</v>
      </c>
      <c r="I786" s="14" t="n">
        <v>27787.88</v>
      </c>
      <c r="J786" s="24" t="n">
        <v>1.235</v>
      </c>
      <c r="K786" s="19" t="n">
        <v>0</v>
      </c>
      <c r="L786" s="13" t="str">
        <f aca="false">IF(D786&gt;=Inputs!$C$14,"Near-prime","Non-prime")</f>
        <v>Non-prime</v>
      </c>
      <c r="M786" s="19" t="n">
        <f aca="false">IF(K786&lt;=Inputs!$C$19,1,0)</f>
        <v>1</v>
      </c>
      <c r="N786" s="19" t="n">
        <f aca="false">IF(F786&lt;=Inputs!$C$20,1,0)</f>
        <v>1</v>
      </c>
      <c r="O786" s="19" t="n">
        <f aca="false">IF(J786&lt;=Inputs!$C$21,1,0)</f>
        <v>1</v>
      </c>
      <c r="P786" s="19" t="n">
        <f aca="false">IF(D786&gt;=Inputs!$C$22,1,0)</f>
        <v>1</v>
      </c>
      <c r="Q786" s="19" t="n">
        <f aca="false">IF(I786&lt;=Inputs!$C$23,1,0)</f>
        <v>1</v>
      </c>
      <c r="R786" s="19" t="n">
        <f aca="false">M786*N786*O786*P786*Q786</f>
        <v>1</v>
      </c>
      <c r="S786" s="14" t="n">
        <f aca="false">I786*R786</f>
        <v>27787.88</v>
      </c>
      <c r="T786" s="19" t="n">
        <f aca="false">IF(F786&gt;72,1,0)</f>
        <v>0</v>
      </c>
      <c r="U786" s="19" t="n">
        <f aca="false">IF(J786&gt;1.25,1,0)</f>
        <v>0</v>
      </c>
    </row>
    <row r="787" customFormat="false" ht="15" hidden="false" customHeight="false" outlineLevel="0" collapsed="false">
      <c r="B787" s="13" t="s">
        <v>1007</v>
      </c>
      <c r="C787" s="13" t="s">
        <v>237</v>
      </c>
      <c r="D787" s="19" t="n">
        <v>520</v>
      </c>
      <c r="E787" s="23" t="n">
        <v>0.243</v>
      </c>
      <c r="F787" s="19" t="n">
        <v>60</v>
      </c>
      <c r="G787" s="19" t="n">
        <v>7</v>
      </c>
      <c r="H787" s="14" t="n">
        <v>19080</v>
      </c>
      <c r="I787" s="14" t="n">
        <v>17846.09</v>
      </c>
      <c r="J787" s="24" t="n">
        <v>1.13</v>
      </c>
      <c r="K787" s="19" t="n">
        <v>0</v>
      </c>
      <c r="L787" s="13" t="str">
        <f aca="false">IF(D787&gt;=Inputs!$C$14,"Near-prime","Non-prime")</f>
        <v>Non-prime</v>
      </c>
      <c r="M787" s="19" t="n">
        <f aca="false">IF(K787&lt;=Inputs!$C$19,1,0)</f>
        <v>1</v>
      </c>
      <c r="N787" s="19" t="n">
        <f aca="false">IF(F787&lt;=Inputs!$C$20,1,0)</f>
        <v>1</v>
      </c>
      <c r="O787" s="19" t="n">
        <f aca="false">IF(J787&lt;=Inputs!$C$21,1,0)</f>
        <v>1</v>
      </c>
      <c r="P787" s="19" t="n">
        <f aca="false">IF(D787&gt;=Inputs!$C$22,1,0)</f>
        <v>0</v>
      </c>
      <c r="Q787" s="19" t="n">
        <f aca="false">IF(I787&lt;=Inputs!$C$23,1,0)</f>
        <v>1</v>
      </c>
      <c r="R787" s="19" t="n">
        <f aca="false">M787*N787*O787*P787*Q787</f>
        <v>0</v>
      </c>
      <c r="S787" s="14" t="n">
        <f aca="false">I787*R787</f>
        <v>0</v>
      </c>
      <c r="T787" s="19" t="n">
        <f aca="false">IF(F787&gt;72,1,0)</f>
        <v>0</v>
      </c>
      <c r="U787" s="19" t="n">
        <f aca="false">IF(J787&gt;1.25,1,0)</f>
        <v>0</v>
      </c>
    </row>
    <row r="788" customFormat="false" ht="15" hidden="false" customHeight="false" outlineLevel="0" collapsed="false">
      <c r="B788" s="13" t="s">
        <v>1008</v>
      </c>
      <c r="C788" s="13" t="s">
        <v>257</v>
      </c>
      <c r="D788" s="19" t="n">
        <v>664</v>
      </c>
      <c r="E788" s="23" t="n">
        <v>0.2113</v>
      </c>
      <c r="F788" s="19" t="n">
        <v>75</v>
      </c>
      <c r="G788" s="19" t="n">
        <v>4</v>
      </c>
      <c r="H788" s="14" t="n">
        <v>36560</v>
      </c>
      <c r="I788" s="14" t="n">
        <v>35581.87</v>
      </c>
      <c r="J788" s="24" t="n">
        <v>1.169</v>
      </c>
      <c r="K788" s="19" t="n">
        <v>0</v>
      </c>
      <c r="L788" s="13" t="str">
        <f aca="false">IF(D788&gt;=Inputs!$C$14,"Near-prime","Non-prime")</f>
        <v>Near-prime</v>
      </c>
      <c r="M788" s="19" t="n">
        <f aca="false">IF(K788&lt;=Inputs!$C$19,1,0)</f>
        <v>1</v>
      </c>
      <c r="N788" s="19" t="n">
        <f aca="false">IF(F788&lt;=Inputs!$C$20,1,0)</f>
        <v>1</v>
      </c>
      <c r="O788" s="19" t="n">
        <f aca="false">IF(J788&lt;=Inputs!$C$21,1,0)</f>
        <v>1</v>
      </c>
      <c r="P788" s="19" t="n">
        <f aca="false">IF(D788&gt;=Inputs!$C$22,1,0)</f>
        <v>1</v>
      </c>
      <c r="Q788" s="19" t="n">
        <f aca="false">IF(I788&lt;=Inputs!$C$23,1,0)</f>
        <v>1</v>
      </c>
      <c r="R788" s="19" t="n">
        <f aca="false">M788*N788*O788*P788*Q788</f>
        <v>1</v>
      </c>
      <c r="S788" s="14" t="n">
        <f aca="false">I788*R788</f>
        <v>35581.87</v>
      </c>
      <c r="T788" s="19" t="n">
        <f aca="false">IF(F788&gt;72,1,0)</f>
        <v>1</v>
      </c>
      <c r="U788" s="19" t="n">
        <f aca="false">IF(J788&gt;1.25,1,0)</f>
        <v>0</v>
      </c>
    </row>
    <row r="789" customFormat="false" ht="15" hidden="false" customHeight="false" outlineLevel="0" collapsed="false">
      <c r="B789" s="13" t="s">
        <v>1009</v>
      </c>
      <c r="C789" s="13" t="s">
        <v>252</v>
      </c>
      <c r="D789" s="19" t="n">
        <v>728</v>
      </c>
      <c r="E789" s="23" t="n">
        <v>0.1901</v>
      </c>
      <c r="F789" s="19" t="n">
        <v>60</v>
      </c>
      <c r="G789" s="19" t="n">
        <v>1</v>
      </c>
      <c r="H789" s="14" t="n">
        <v>21040</v>
      </c>
      <c r="I789" s="14" t="n">
        <v>20827.4</v>
      </c>
      <c r="J789" s="24" t="n">
        <v>1.069</v>
      </c>
      <c r="K789" s="19" t="n">
        <v>0</v>
      </c>
      <c r="L789" s="13" t="str">
        <f aca="false">IF(D789&gt;=Inputs!$C$14,"Near-prime","Non-prime")</f>
        <v>Near-prime</v>
      </c>
      <c r="M789" s="19" t="n">
        <f aca="false">IF(K789&lt;=Inputs!$C$19,1,0)</f>
        <v>1</v>
      </c>
      <c r="N789" s="19" t="n">
        <f aca="false">IF(F789&lt;=Inputs!$C$20,1,0)</f>
        <v>1</v>
      </c>
      <c r="O789" s="19" t="n">
        <f aca="false">IF(J789&lt;=Inputs!$C$21,1,0)</f>
        <v>1</v>
      </c>
      <c r="P789" s="19" t="n">
        <f aca="false">IF(D789&gt;=Inputs!$C$22,1,0)</f>
        <v>1</v>
      </c>
      <c r="Q789" s="19" t="n">
        <f aca="false">IF(I789&lt;=Inputs!$C$23,1,0)</f>
        <v>1</v>
      </c>
      <c r="R789" s="19" t="n">
        <f aca="false">M789*N789*O789*P789*Q789</f>
        <v>1</v>
      </c>
      <c r="S789" s="14" t="n">
        <f aca="false">I789*R789</f>
        <v>20827.4</v>
      </c>
      <c r="T789" s="19" t="n">
        <f aca="false">IF(F789&gt;72,1,0)</f>
        <v>0</v>
      </c>
      <c r="U789" s="19" t="n">
        <f aca="false">IF(J789&gt;1.25,1,0)</f>
        <v>0</v>
      </c>
    </row>
    <row r="790" customFormat="false" ht="15" hidden="false" customHeight="false" outlineLevel="0" collapsed="false">
      <c r="B790" s="13" t="s">
        <v>1010</v>
      </c>
      <c r="C790" s="13" t="s">
        <v>223</v>
      </c>
      <c r="D790" s="19" t="n">
        <v>605</v>
      </c>
      <c r="E790" s="23" t="n">
        <v>0.2261</v>
      </c>
      <c r="F790" s="19" t="n">
        <v>60</v>
      </c>
      <c r="G790" s="19" t="n">
        <v>8</v>
      </c>
      <c r="H790" s="14" t="n">
        <v>16200</v>
      </c>
      <c r="I790" s="14" t="n">
        <v>14936.38</v>
      </c>
      <c r="J790" s="24" t="n">
        <v>1.18</v>
      </c>
      <c r="K790" s="19" t="n">
        <v>0</v>
      </c>
      <c r="L790" s="13" t="str">
        <f aca="false">IF(D790&gt;=Inputs!$C$14,"Near-prime","Non-prime")</f>
        <v>Non-prime</v>
      </c>
      <c r="M790" s="19" t="n">
        <f aca="false">IF(K790&lt;=Inputs!$C$19,1,0)</f>
        <v>1</v>
      </c>
      <c r="N790" s="19" t="n">
        <f aca="false">IF(F790&lt;=Inputs!$C$20,1,0)</f>
        <v>1</v>
      </c>
      <c r="O790" s="19" t="n">
        <f aca="false">IF(J790&lt;=Inputs!$C$21,1,0)</f>
        <v>1</v>
      </c>
      <c r="P790" s="19" t="n">
        <f aca="false">IF(D790&gt;=Inputs!$C$22,1,0)</f>
        <v>1</v>
      </c>
      <c r="Q790" s="19" t="n">
        <f aca="false">IF(I790&lt;=Inputs!$C$23,1,0)</f>
        <v>1</v>
      </c>
      <c r="R790" s="19" t="n">
        <f aca="false">M790*N790*O790*P790*Q790</f>
        <v>1</v>
      </c>
      <c r="S790" s="14" t="n">
        <f aca="false">I790*R790</f>
        <v>14936.38</v>
      </c>
      <c r="T790" s="19" t="n">
        <f aca="false">IF(F790&gt;72,1,0)</f>
        <v>0</v>
      </c>
      <c r="U790" s="19" t="n">
        <f aca="false">IF(J790&gt;1.25,1,0)</f>
        <v>0</v>
      </c>
    </row>
    <row r="791" customFormat="false" ht="15" hidden="false" customHeight="false" outlineLevel="0" collapsed="false">
      <c r="B791" s="13" t="s">
        <v>1011</v>
      </c>
      <c r="C791" s="13" t="s">
        <v>226</v>
      </c>
      <c r="D791" s="19" t="n">
        <v>604</v>
      </c>
      <c r="E791" s="23" t="n">
        <v>0.2073</v>
      </c>
      <c r="F791" s="19" t="n">
        <v>60</v>
      </c>
      <c r="G791" s="19" t="n">
        <v>1</v>
      </c>
      <c r="H791" s="14" t="n">
        <v>15850</v>
      </c>
      <c r="I791" s="14" t="n">
        <v>15697.42</v>
      </c>
      <c r="J791" s="24" t="n">
        <v>0.973</v>
      </c>
      <c r="K791" s="19" t="n">
        <v>0</v>
      </c>
      <c r="L791" s="13" t="str">
        <f aca="false">IF(D791&gt;=Inputs!$C$14,"Near-prime","Non-prime")</f>
        <v>Non-prime</v>
      </c>
      <c r="M791" s="19" t="n">
        <f aca="false">IF(K791&lt;=Inputs!$C$19,1,0)</f>
        <v>1</v>
      </c>
      <c r="N791" s="19" t="n">
        <f aca="false">IF(F791&lt;=Inputs!$C$20,1,0)</f>
        <v>1</v>
      </c>
      <c r="O791" s="19" t="n">
        <f aca="false">IF(J791&lt;=Inputs!$C$21,1,0)</f>
        <v>1</v>
      </c>
      <c r="P791" s="19" t="n">
        <f aca="false">IF(D791&gt;=Inputs!$C$22,1,0)</f>
        <v>1</v>
      </c>
      <c r="Q791" s="19" t="n">
        <f aca="false">IF(I791&lt;=Inputs!$C$23,1,0)</f>
        <v>1</v>
      </c>
      <c r="R791" s="19" t="n">
        <f aca="false">M791*N791*O791*P791*Q791</f>
        <v>1</v>
      </c>
      <c r="S791" s="14" t="n">
        <f aca="false">I791*R791</f>
        <v>15697.42</v>
      </c>
      <c r="T791" s="19" t="n">
        <f aca="false">IF(F791&gt;72,1,0)</f>
        <v>0</v>
      </c>
      <c r="U791" s="19" t="n">
        <f aca="false">IF(J791&gt;1.25,1,0)</f>
        <v>0</v>
      </c>
    </row>
    <row r="792" customFormat="false" ht="15" hidden="false" customHeight="false" outlineLevel="0" collapsed="false">
      <c r="B792" s="13" t="s">
        <v>1012</v>
      </c>
      <c r="C792" s="13" t="s">
        <v>226</v>
      </c>
      <c r="D792" s="19" t="n">
        <v>654</v>
      </c>
      <c r="E792" s="23" t="n">
        <v>0.1939</v>
      </c>
      <c r="F792" s="19" t="n">
        <v>60</v>
      </c>
      <c r="G792" s="19" t="n">
        <v>5</v>
      </c>
      <c r="H792" s="14" t="n">
        <v>20260</v>
      </c>
      <c r="I792" s="14" t="n">
        <v>19214.01</v>
      </c>
      <c r="J792" s="24" t="n">
        <v>1.288</v>
      </c>
      <c r="K792" s="19" t="n">
        <v>0</v>
      </c>
      <c r="L792" s="13" t="str">
        <f aca="false">IF(D792&gt;=Inputs!$C$14,"Near-prime","Non-prime")</f>
        <v>Near-prime</v>
      </c>
      <c r="M792" s="19" t="n">
        <f aca="false">IF(K792&lt;=Inputs!$C$19,1,0)</f>
        <v>1</v>
      </c>
      <c r="N792" s="19" t="n">
        <f aca="false">IF(F792&lt;=Inputs!$C$20,1,0)</f>
        <v>1</v>
      </c>
      <c r="O792" s="19" t="n">
        <f aca="false">IF(J792&lt;=Inputs!$C$21,1,0)</f>
        <v>1</v>
      </c>
      <c r="P792" s="19" t="n">
        <f aca="false">IF(D792&gt;=Inputs!$C$22,1,0)</f>
        <v>1</v>
      </c>
      <c r="Q792" s="19" t="n">
        <f aca="false">IF(I792&lt;=Inputs!$C$23,1,0)</f>
        <v>1</v>
      </c>
      <c r="R792" s="19" t="n">
        <f aca="false">M792*N792*O792*P792*Q792</f>
        <v>1</v>
      </c>
      <c r="S792" s="14" t="n">
        <f aca="false">I792*R792</f>
        <v>19214.01</v>
      </c>
      <c r="T792" s="19" t="n">
        <f aca="false">IF(F792&gt;72,1,0)</f>
        <v>0</v>
      </c>
      <c r="U792" s="19" t="n">
        <f aca="false">IF(J792&gt;1.25,1,0)</f>
        <v>1</v>
      </c>
    </row>
    <row r="793" customFormat="false" ht="15" hidden="false" customHeight="false" outlineLevel="0" collapsed="false">
      <c r="B793" s="13" t="s">
        <v>1013</v>
      </c>
      <c r="C793" s="13" t="s">
        <v>233</v>
      </c>
      <c r="D793" s="19" t="n">
        <v>701</v>
      </c>
      <c r="E793" s="23" t="n">
        <v>0.1772</v>
      </c>
      <c r="F793" s="19" t="n">
        <v>72</v>
      </c>
      <c r="G793" s="19" t="n">
        <v>4</v>
      </c>
      <c r="H793" s="14" t="n">
        <v>21800</v>
      </c>
      <c r="I793" s="14" t="n">
        <v>21097.22</v>
      </c>
      <c r="J793" s="24" t="n">
        <v>1.272</v>
      </c>
      <c r="K793" s="19" t="n">
        <v>0</v>
      </c>
      <c r="L793" s="13" t="str">
        <f aca="false">IF(D793&gt;=Inputs!$C$14,"Near-prime","Non-prime")</f>
        <v>Near-prime</v>
      </c>
      <c r="M793" s="19" t="n">
        <f aca="false">IF(K793&lt;=Inputs!$C$19,1,0)</f>
        <v>1</v>
      </c>
      <c r="N793" s="19" t="n">
        <f aca="false">IF(F793&lt;=Inputs!$C$20,1,0)</f>
        <v>1</v>
      </c>
      <c r="O793" s="19" t="n">
        <f aca="false">IF(J793&lt;=Inputs!$C$21,1,0)</f>
        <v>1</v>
      </c>
      <c r="P793" s="19" t="n">
        <f aca="false">IF(D793&gt;=Inputs!$C$22,1,0)</f>
        <v>1</v>
      </c>
      <c r="Q793" s="19" t="n">
        <f aca="false">IF(I793&lt;=Inputs!$C$23,1,0)</f>
        <v>1</v>
      </c>
      <c r="R793" s="19" t="n">
        <f aca="false">M793*N793*O793*P793*Q793</f>
        <v>1</v>
      </c>
      <c r="S793" s="14" t="n">
        <f aca="false">I793*R793</f>
        <v>21097.22</v>
      </c>
      <c r="T793" s="19" t="n">
        <f aca="false">IF(F793&gt;72,1,0)</f>
        <v>0</v>
      </c>
      <c r="U793" s="19" t="n">
        <f aca="false">IF(J793&gt;1.25,1,0)</f>
        <v>1</v>
      </c>
    </row>
    <row r="794" customFormat="false" ht="15" hidden="false" customHeight="false" outlineLevel="0" collapsed="false">
      <c r="B794" s="13" t="s">
        <v>1014</v>
      </c>
      <c r="C794" s="13" t="s">
        <v>217</v>
      </c>
      <c r="D794" s="19" t="n">
        <v>683</v>
      </c>
      <c r="E794" s="23" t="n">
        <v>0.2053</v>
      </c>
      <c r="F794" s="19" t="n">
        <v>84</v>
      </c>
      <c r="G794" s="19" t="n">
        <v>8</v>
      </c>
      <c r="H794" s="14" t="n">
        <v>27020</v>
      </c>
      <c r="I794" s="14" t="n">
        <v>25776.24</v>
      </c>
      <c r="J794" s="24" t="n">
        <v>1.325</v>
      </c>
      <c r="K794" s="19" t="n">
        <v>0</v>
      </c>
      <c r="L794" s="13" t="str">
        <f aca="false">IF(D794&gt;=Inputs!$C$14,"Near-prime","Non-prime")</f>
        <v>Near-prime</v>
      </c>
      <c r="M794" s="19" t="n">
        <f aca="false">IF(K794&lt;=Inputs!$C$19,1,0)</f>
        <v>1</v>
      </c>
      <c r="N794" s="19" t="n">
        <f aca="false">IF(F794&lt;=Inputs!$C$20,1,0)</f>
        <v>0</v>
      </c>
      <c r="O794" s="19" t="n">
        <f aca="false">IF(J794&lt;=Inputs!$C$21,1,0)</f>
        <v>1</v>
      </c>
      <c r="P794" s="19" t="n">
        <f aca="false">IF(D794&gt;=Inputs!$C$22,1,0)</f>
        <v>1</v>
      </c>
      <c r="Q794" s="19" t="n">
        <f aca="false">IF(I794&lt;=Inputs!$C$23,1,0)</f>
        <v>1</v>
      </c>
      <c r="R794" s="19" t="n">
        <f aca="false">M794*N794*O794*P794*Q794</f>
        <v>0</v>
      </c>
      <c r="S794" s="14" t="n">
        <f aca="false">I794*R794</f>
        <v>0</v>
      </c>
      <c r="T794" s="19" t="n">
        <f aca="false">IF(F794&gt;72,1,0)</f>
        <v>1</v>
      </c>
      <c r="U794" s="19" t="n">
        <f aca="false">IF(J794&gt;1.25,1,0)</f>
        <v>1</v>
      </c>
    </row>
    <row r="795" customFormat="false" ht="15" hidden="false" customHeight="false" outlineLevel="0" collapsed="false">
      <c r="B795" s="13" t="s">
        <v>1015</v>
      </c>
      <c r="C795" s="13" t="s">
        <v>221</v>
      </c>
      <c r="D795" s="19" t="n">
        <v>583</v>
      </c>
      <c r="E795" s="23" t="n">
        <v>0.2237</v>
      </c>
      <c r="F795" s="19" t="n">
        <v>66</v>
      </c>
      <c r="G795" s="19" t="n">
        <v>7</v>
      </c>
      <c r="H795" s="14" t="n">
        <v>24500</v>
      </c>
      <c r="I795" s="14" t="n">
        <v>23081.51</v>
      </c>
      <c r="J795" s="24" t="n">
        <v>0.931</v>
      </c>
      <c r="K795" s="19" t="n">
        <v>0</v>
      </c>
      <c r="L795" s="13" t="str">
        <f aca="false">IF(D795&gt;=Inputs!$C$14,"Near-prime","Non-prime")</f>
        <v>Non-prime</v>
      </c>
      <c r="M795" s="19" t="n">
        <f aca="false">IF(K795&lt;=Inputs!$C$19,1,0)</f>
        <v>1</v>
      </c>
      <c r="N795" s="19" t="n">
        <f aca="false">IF(F795&lt;=Inputs!$C$20,1,0)</f>
        <v>1</v>
      </c>
      <c r="O795" s="19" t="n">
        <f aca="false">IF(J795&lt;=Inputs!$C$21,1,0)</f>
        <v>1</v>
      </c>
      <c r="P795" s="19" t="n">
        <f aca="false">IF(D795&gt;=Inputs!$C$22,1,0)</f>
        <v>1</v>
      </c>
      <c r="Q795" s="19" t="n">
        <f aca="false">IF(I795&lt;=Inputs!$C$23,1,0)</f>
        <v>1</v>
      </c>
      <c r="R795" s="19" t="n">
        <f aca="false">M795*N795*O795*P795*Q795</f>
        <v>1</v>
      </c>
      <c r="S795" s="14" t="n">
        <f aca="false">I795*R795</f>
        <v>23081.51</v>
      </c>
      <c r="T795" s="19" t="n">
        <f aca="false">IF(F795&gt;72,1,0)</f>
        <v>0</v>
      </c>
      <c r="U795" s="19" t="n">
        <f aca="false">IF(J795&gt;1.25,1,0)</f>
        <v>0</v>
      </c>
    </row>
    <row r="796" customFormat="false" ht="15" hidden="false" customHeight="false" outlineLevel="0" collapsed="false">
      <c r="B796" s="13" t="s">
        <v>1016</v>
      </c>
      <c r="C796" s="13" t="s">
        <v>217</v>
      </c>
      <c r="D796" s="19" t="n">
        <v>622</v>
      </c>
      <c r="E796" s="23" t="n">
        <v>0.1922</v>
      </c>
      <c r="F796" s="19" t="n">
        <v>60</v>
      </c>
      <c r="G796" s="19" t="n">
        <v>10</v>
      </c>
      <c r="H796" s="14" t="n">
        <v>34480</v>
      </c>
      <c r="I796" s="14" t="n">
        <v>30755.85</v>
      </c>
      <c r="J796" s="24" t="n">
        <v>1.183</v>
      </c>
      <c r="K796" s="19" t="n">
        <v>0</v>
      </c>
      <c r="L796" s="13" t="str">
        <f aca="false">IF(D796&gt;=Inputs!$C$14,"Near-prime","Non-prime")</f>
        <v>Near-prime</v>
      </c>
      <c r="M796" s="19" t="n">
        <f aca="false">IF(K796&lt;=Inputs!$C$19,1,0)</f>
        <v>1</v>
      </c>
      <c r="N796" s="19" t="n">
        <f aca="false">IF(F796&lt;=Inputs!$C$20,1,0)</f>
        <v>1</v>
      </c>
      <c r="O796" s="19" t="n">
        <f aca="false">IF(J796&lt;=Inputs!$C$21,1,0)</f>
        <v>1</v>
      </c>
      <c r="P796" s="19" t="n">
        <f aca="false">IF(D796&gt;=Inputs!$C$22,1,0)</f>
        <v>1</v>
      </c>
      <c r="Q796" s="19" t="n">
        <f aca="false">IF(I796&lt;=Inputs!$C$23,1,0)</f>
        <v>1</v>
      </c>
      <c r="R796" s="19" t="n">
        <f aca="false">M796*N796*O796*P796*Q796</f>
        <v>1</v>
      </c>
      <c r="S796" s="14" t="n">
        <f aca="false">I796*R796</f>
        <v>30755.85</v>
      </c>
      <c r="T796" s="19" t="n">
        <f aca="false">IF(F796&gt;72,1,0)</f>
        <v>0</v>
      </c>
      <c r="U796" s="19" t="n">
        <f aca="false">IF(J796&gt;1.25,1,0)</f>
        <v>0</v>
      </c>
    </row>
    <row r="797" customFormat="false" ht="15" hidden="false" customHeight="false" outlineLevel="0" collapsed="false">
      <c r="B797" s="13" t="s">
        <v>1017</v>
      </c>
      <c r="C797" s="13" t="s">
        <v>221</v>
      </c>
      <c r="D797" s="19" t="n">
        <v>616</v>
      </c>
      <c r="E797" s="23" t="n">
        <v>0.2218</v>
      </c>
      <c r="F797" s="19" t="n">
        <v>48</v>
      </c>
      <c r="G797" s="19" t="n">
        <v>2</v>
      </c>
      <c r="H797" s="14" t="n">
        <v>19890</v>
      </c>
      <c r="I797" s="14" t="n">
        <v>19363.24</v>
      </c>
      <c r="J797" s="24" t="n">
        <v>1.01</v>
      </c>
      <c r="K797" s="19" t="n">
        <v>0</v>
      </c>
      <c r="L797" s="13" t="str">
        <f aca="false">IF(D797&gt;=Inputs!$C$14,"Near-prime","Non-prime")</f>
        <v>Non-prime</v>
      </c>
      <c r="M797" s="19" t="n">
        <f aca="false">IF(K797&lt;=Inputs!$C$19,1,0)</f>
        <v>1</v>
      </c>
      <c r="N797" s="19" t="n">
        <f aca="false">IF(F797&lt;=Inputs!$C$20,1,0)</f>
        <v>1</v>
      </c>
      <c r="O797" s="19" t="n">
        <f aca="false">IF(J797&lt;=Inputs!$C$21,1,0)</f>
        <v>1</v>
      </c>
      <c r="P797" s="19" t="n">
        <f aca="false">IF(D797&gt;=Inputs!$C$22,1,0)</f>
        <v>1</v>
      </c>
      <c r="Q797" s="19" t="n">
        <f aca="false">IF(I797&lt;=Inputs!$C$23,1,0)</f>
        <v>1</v>
      </c>
      <c r="R797" s="19" t="n">
        <f aca="false">M797*N797*O797*P797*Q797</f>
        <v>1</v>
      </c>
      <c r="S797" s="14" t="n">
        <f aca="false">I797*R797</f>
        <v>19363.24</v>
      </c>
      <c r="T797" s="19" t="n">
        <f aca="false">IF(F797&gt;72,1,0)</f>
        <v>0</v>
      </c>
      <c r="U797" s="19" t="n">
        <f aca="false">IF(J797&gt;1.25,1,0)</f>
        <v>0</v>
      </c>
    </row>
    <row r="798" customFormat="false" ht="15" hidden="false" customHeight="false" outlineLevel="0" collapsed="false">
      <c r="B798" s="13" t="s">
        <v>1018</v>
      </c>
      <c r="C798" s="13" t="s">
        <v>221</v>
      </c>
      <c r="D798" s="19" t="n">
        <v>675</v>
      </c>
      <c r="E798" s="23" t="n">
        <v>0.2117</v>
      </c>
      <c r="F798" s="19" t="n">
        <v>72</v>
      </c>
      <c r="G798" s="19" t="n">
        <v>1</v>
      </c>
      <c r="H798" s="14" t="n">
        <v>29610</v>
      </c>
      <c r="I798" s="14" t="n">
        <v>29402.9</v>
      </c>
      <c r="J798" s="24" t="n">
        <v>1.014</v>
      </c>
      <c r="K798" s="19" t="n">
        <v>0</v>
      </c>
      <c r="L798" s="13" t="str">
        <f aca="false">IF(D798&gt;=Inputs!$C$14,"Near-prime","Non-prime")</f>
        <v>Near-prime</v>
      </c>
      <c r="M798" s="19" t="n">
        <f aca="false">IF(K798&lt;=Inputs!$C$19,1,0)</f>
        <v>1</v>
      </c>
      <c r="N798" s="19" t="n">
        <f aca="false">IF(F798&lt;=Inputs!$C$20,1,0)</f>
        <v>1</v>
      </c>
      <c r="O798" s="19" t="n">
        <f aca="false">IF(J798&lt;=Inputs!$C$21,1,0)</f>
        <v>1</v>
      </c>
      <c r="P798" s="19" t="n">
        <f aca="false">IF(D798&gt;=Inputs!$C$22,1,0)</f>
        <v>1</v>
      </c>
      <c r="Q798" s="19" t="n">
        <f aca="false">IF(I798&lt;=Inputs!$C$23,1,0)</f>
        <v>1</v>
      </c>
      <c r="R798" s="19" t="n">
        <f aca="false">M798*N798*O798*P798*Q798</f>
        <v>1</v>
      </c>
      <c r="S798" s="14" t="n">
        <f aca="false">I798*R798</f>
        <v>29402.9</v>
      </c>
      <c r="T798" s="19" t="n">
        <f aca="false">IF(F798&gt;72,1,0)</f>
        <v>0</v>
      </c>
      <c r="U798" s="19" t="n">
        <f aca="false">IF(J798&gt;1.25,1,0)</f>
        <v>0</v>
      </c>
    </row>
    <row r="799" customFormat="false" ht="15" hidden="false" customHeight="false" outlineLevel="0" collapsed="false">
      <c r="B799" s="13" t="s">
        <v>1019</v>
      </c>
      <c r="C799" s="13" t="s">
        <v>217</v>
      </c>
      <c r="D799" s="19" t="n">
        <v>684</v>
      </c>
      <c r="E799" s="23" t="n">
        <v>0.2227</v>
      </c>
      <c r="F799" s="19" t="n">
        <v>60</v>
      </c>
      <c r="G799" s="19" t="n">
        <v>7</v>
      </c>
      <c r="H799" s="14" t="n">
        <v>24250</v>
      </c>
      <c r="I799" s="14" t="n">
        <v>22596.04</v>
      </c>
      <c r="J799" s="24" t="n">
        <v>1.106</v>
      </c>
      <c r="K799" s="19" t="n">
        <v>0</v>
      </c>
      <c r="L799" s="13" t="str">
        <f aca="false">IF(D799&gt;=Inputs!$C$14,"Near-prime","Non-prime")</f>
        <v>Near-prime</v>
      </c>
      <c r="M799" s="19" t="n">
        <f aca="false">IF(K799&lt;=Inputs!$C$19,1,0)</f>
        <v>1</v>
      </c>
      <c r="N799" s="19" t="n">
        <f aca="false">IF(F799&lt;=Inputs!$C$20,1,0)</f>
        <v>1</v>
      </c>
      <c r="O799" s="19" t="n">
        <f aca="false">IF(J799&lt;=Inputs!$C$21,1,0)</f>
        <v>1</v>
      </c>
      <c r="P799" s="19" t="n">
        <f aca="false">IF(D799&gt;=Inputs!$C$22,1,0)</f>
        <v>1</v>
      </c>
      <c r="Q799" s="19" t="n">
        <f aca="false">IF(I799&lt;=Inputs!$C$23,1,0)</f>
        <v>1</v>
      </c>
      <c r="R799" s="19" t="n">
        <f aca="false">M799*N799*O799*P799*Q799</f>
        <v>1</v>
      </c>
      <c r="S799" s="14" t="n">
        <f aca="false">I799*R799</f>
        <v>22596.04</v>
      </c>
      <c r="T799" s="19" t="n">
        <f aca="false">IF(F799&gt;72,1,0)</f>
        <v>0</v>
      </c>
      <c r="U799" s="19" t="n">
        <f aca="false">IF(J799&gt;1.25,1,0)</f>
        <v>0</v>
      </c>
    </row>
    <row r="800" customFormat="false" ht="15" hidden="false" customHeight="false" outlineLevel="0" collapsed="false">
      <c r="B800" s="13" t="s">
        <v>1020</v>
      </c>
      <c r="C800" s="13" t="s">
        <v>233</v>
      </c>
      <c r="D800" s="19" t="n">
        <v>599</v>
      </c>
      <c r="E800" s="23" t="n">
        <v>0.2173</v>
      </c>
      <c r="F800" s="19" t="n">
        <v>72</v>
      </c>
      <c r="G800" s="19" t="n">
        <v>2</v>
      </c>
      <c r="H800" s="14" t="n">
        <v>29340</v>
      </c>
      <c r="I800" s="14" t="n">
        <v>28933.94</v>
      </c>
      <c r="J800" s="24" t="n">
        <v>1.047</v>
      </c>
      <c r="K800" s="19" t="n">
        <v>0</v>
      </c>
      <c r="L800" s="13" t="str">
        <f aca="false">IF(D800&gt;=Inputs!$C$14,"Near-prime","Non-prime")</f>
        <v>Non-prime</v>
      </c>
      <c r="M800" s="19" t="n">
        <f aca="false">IF(K800&lt;=Inputs!$C$19,1,0)</f>
        <v>1</v>
      </c>
      <c r="N800" s="19" t="n">
        <f aca="false">IF(F800&lt;=Inputs!$C$20,1,0)</f>
        <v>1</v>
      </c>
      <c r="O800" s="19" t="n">
        <f aca="false">IF(J800&lt;=Inputs!$C$21,1,0)</f>
        <v>1</v>
      </c>
      <c r="P800" s="19" t="n">
        <f aca="false">IF(D800&gt;=Inputs!$C$22,1,0)</f>
        <v>1</v>
      </c>
      <c r="Q800" s="19" t="n">
        <f aca="false">IF(I800&lt;=Inputs!$C$23,1,0)</f>
        <v>1</v>
      </c>
      <c r="R800" s="19" t="n">
        <f aca="false">M800*N800*O800*P800*Q800</f>
        <v>1</v>
      </c>
      <c r="S800" s="14" t="n">
        <f aca="false">I800*R800</f>
        <v>28933.94</v>
      </c>
      <c r="T800" s="19" t="n">
        <f aca="false">IF(F800&gt;72,1,0)</f>
        <v>0</v>
      </c>
      <c r="U800" s="19" t="n">
        <f aca="false">IF(J800&gt;1.25,1,0)</f>
        <v>0</v>
      </c>
    </row>
    <row r="801" customFormat="false" ht="15" hidden="false" customHeight="false" outlineLevel="0" collapsed="false">
      <c r="B801" s="13" t="s">
        <v>1021</v>
      </c>
      <c r="C801" s="13" t="s">
        <v>237</v>
      </c>
      <c r="D801" s="19" t="n">
        <v>603</v>
      </c>
      <c r="E801" s="23" t="n">
        <v>0.2357</v>
      </c>
      <c r="F801" s="19" t="n">
        <v>60</v>
      </c>
      <c r="G801" s="19" t="n">
        <v>5</v>
      </c>
      <c r="H801" s="14" t="n">
        <v>18250</v>
      </c>
      <c r="I801" s="14" t="n">
        <v>17407.5</v>
      </c>
      <c r="J801" s="24" t="n">
        <v>0.821</v>
      </c>
      <c r="K801" s="19" t="n">
        <v>0</v>
      </c>
      <c r="L801" s="13" t="str">
        <f aca="false">IF(D801&gt;=Inputs!$C$14,"Near-prime","Non-prime")</f>
        <v>Non-prime</v>
      </c>
      <c r="M801" s="19" t="n">
        <f aca="false">IF(K801&lt;=Inputs!$C$19,1,0)</f>
        <v>1</v>
      </c>
      <c r="N801" s="19" t="n">
        <f aca="false">IF(F801&lt;=Inputs!$C$20,1,0)</f>
        <v>1</v>
      </c>
      <c r="O801" s="19" t="n">
        <f aca="false">IF(J801&lt;=Inputs!$C$21,1,0)</f>
        <v>1</v>
      </c>
      <c r="P801" s="19" t="n">
        <f aca="false">IF(D801&gt;=Inputs!$C$22,1,0)</f>
        <v>1</v>
      </c>
      <c r="Q801" s="19" t="n">
        <f aca="false">IF(I801&lt;=Inputs!$C$23,1,0)</f>
        <v>1</v>
      </c>
      <c r="R801" s="19" t="n">
        <f aca="false">M801*N801*O801*P801*Q801</f>
        <v>1</v>
      </c>
      <c r="S801" s="14" t="n">
        <f aca="false">I801*R801</f>
        <v>17407.5</v>
      </c>
      <c r="T801" s="19" t="n">
        <f aca="false">IF(F801&gt;72,1,0)</f>
        <v>0</v>
      </c>
      <c r="U801" s="19" t="n">
        <f aca="false">IF(J801&gt;1.25,1,0)</f>
        <v>0</v>
      </c>
    </row>
    <row r="802" customFormat="false" ht="15" hidden="false" customHeight="false" outlineLevel="0" collapsed="false">
      <c r="B802" s="13" t="s">
        <v>1022</v>
      </c>
      <c r="C802" s="13" t="s">
        <v>223</v>
      </c>
      <c r="D802" s="19" t="n">
        <v>660</v>
      </c>
      <c r="E802" s="23" t="n">
        <v>0.1854</v>
      </c>
      <c r="F802" s="19" t="n">
        <v>72</v>
      </c>
      <c r="G802" s="19" t="n">
        <v>7</v>
      </c>
      <c r="H802" s="14" t="n">
        <v>31860</v>
      </c>
      <c r="I802" s="14" t="n">
        <v>30069.45</v>
      </c>
      <c r="J802" s="24" t="n">
        <v>1.178</v>
      </c>
      <c r="K802" s="19" t="n">
        <v>0</v>
      </c>
      <c r="L802" s="13" t="str">
        <f aca="false">IF(D802&gt;=Inputs!$C$14,"Near-prime","Non-prime")</f>
        <v>Near-prime</v>
      </c>
      <c r="M802" s="19" t="n">
        <f aca="false">IF(K802&lt;=Inputs!$C$19,1,0)</f>
        <v>1</v>
      </c>
      <c r="N802" s="19" t="n">
        <f aca="false">IF(F802&lt;=Inputs!$C$20,1,0)</f>
        <v>1</v>
      </c>
      <c r="O802" s="19" t="n">
        <f aca="false">IF(J802&lt;=Inputs!$C$21,1,0)</f>
        <v>1</v>
      </c>
      <c r="P802" s="19" t="n">
        <f aca="false">IF(D802&gt;=Inputs!$C$22,1,0)</f>
        <v>1</v>
      </c>
      <c r="Q802" s="19" t="n">
        <f aca="false">IF(I802&lt;=Inputs!$C$23,1,0)</f>
        <v>1</v>
      </c>
      <c r="R802" s="19" t="n">
        <f aca="false">M802*N802*O802*P802*Q802</f>
        <v>1</v>
      </c>
      <c r="S802" s="14" t="n">
        <f aca="false">I802*R802</f>
        <v>30069.45</v>
      </c>
      <c r="T802" s="19" t="n">
        <f aca="false">IF(F802&gt;72,1,0)</f>
        <v>0</v>
      </c>
      <c r="U802" s="19" t="n">
        <f aca="false">IF(J802&gt;1.25,1,0)</f>
        <v>0</v>
      </c>
    </row>
    <row r="803" customFormat="false" ht="15" hidden="false" customHeight="false" outlineLevel="0" collapsed="false">
      <c r="B803" s="13" t="s">
        <v>1023</v>
      </c>
      <c r="C803" s="13" t="s">
        <v>226</v>
      </c>
      <c r="D803" s="19" t="n">
        <v>634</v>
      </c>
      <c r="E803" s="23" t="n">
        <v>0.2247</v>
      </c>
      <c r="F803" s="19" t="n">
        <v>72</v>
      </c>
      <c r="G803" s="19" t="n">
        <v>6</v>
      </c>
      <c r="H803" s="14" t="n">
        <v>16500</v>
      </c>
      <c r="I803" s="14" t="n">
        <v>15806.85</v>
      </c>
      <c r="J803" s="24" t="n">
        <v>1.183</v>
      </c>
      <c r="K803" s="19" t="n">
        <v>0</v>
      </c>
      <c r="L803" s="13" t="str">
        <f aca="false">IF(D803&gt;=Inputs!$C$14,"Near-prime","Non-prime")</f>
        <v>Near-prime</v>
      </c>
      <c r="M803" s="19" t="n">
        <f aca="false">IF(K803&lt;=Inputs!$C$19,1,0)</f>
        <v>1</v>
      </c>
      <c r="N803" s="19" t="n">
        <f aca="false">IF(F803&lt;=Inputs!$C$20,1,0)</f>
        <v>1</v>
      </c>
      <c r="O803" s="19" t="n">
        <f aca="false">IF(J803&lt;=Inputs!$C$21,1,0)</f>
        <v>1</v>
      </c>
      <c r="P803" s="19" t="n">
        <f aca="false">IF(D803&gt;=Inputs!$C$22,1,0)</f>
        <v>1</v>
      </c>
      <c r="Q803" s="19" t="n">
        <f aca="false">IF(I803&lt;=Inputs!$C$23,1,0)</f>
        <v>1</v>
      </c>
      <c r="R803" s="19" t="n">
        <f aca="false">M803*N803*O803*P803*Q803</f>
        <v>1</v>
      </c>
      <c r="S803" s="14" t="n">
        <f aca="false">I803*R803</f>
        <v>15806.85</v>
      </c>
      <c r="T803" s="19" t="n">
        <f aca="false">IF(F803&gt;72,1,0)</f>
        <v>0</v>
      </c>
      <c r="U803" s="19" t="n">
        <f aca="false">IF(J803&gt;1.25,1,0)</f>
        <v>0</v>
      </c>
    </row>
    <row r="804" customFormat="false" ht="15" hidden="false" customHeight="false" outlineLevel="0" collapsed="false">
      <c r="B804" s="13" t="s">
        <v>1024</v>
      </c>
      <c r="C804" s="13" t="s">
        <v>217</v>
      </c>
      <c r="D804" s="19" t="n">
        <v>605</v>
      </c>
      <c r="E804" s="23" t="n">
        <v>0.2283</v>
      </c>
      <c r="F804" s="19" t="n">
        <v>66</v>
      </c>
      <c r="G804" s="19" t="n">
        <v>3</v>
      </c>
      <c r="H804" s="14" t="n">
        <v>50700</v>
      </c>
      <c r="I804" s="14" t="n">
        <v>49505.53</v>
      </c>
      <c r="J804" s="24" t="n">
        <v>1.098</v>
      </c>
      <c r="K804" s="19" t="n">
        <v>0</v>
      </c>
      <c r="L804" s="13" t="str">
        <f aca="false">IF(D804&gt;=Inputs!$C$14,"Near-prime","Non-prime")</f>
        <v>Non-prime</v>
      </c>
      <c r="M804" s="19" t="n">
        <f aca="false">IF(K804&lt;=Inputs!$C$19,1,0)</f>
        <v>1</v>
      </c>
      <c r="N804" s="19" t="n">
        <f aca="false">IF(F804&lt;=Inputs!$C$20,1,0)</f>
        <v>1</v>
      </c>
      <c r="O804" s="19" t="n">
        <f aca="false">IF(J804&lt;=Inputs!$C$21,1,0)</f>
        <v>1</v>
      </c>
      <c r="P804" s="19" t="n">
        <f aca="false">IF(D804&gt;=Inputs!$C$22,1,0)</f>
        <v>1</v>
      </c>
      <c r="Q804" s="19" t="n">
        <f aca="false">IF(I804&lt;=Inputs!$C$23,1,0)</f>
        <v>1</v>
      </c>
      <c r="R804" s="19" t="n">
        <f aca="false">M804*N804*O804*P804*Q804</f>
        <v>1</v>
      </c>
      <c r="S804" s="14" t="n">
        <f aca="false">I804*R804</f>
        <v>49505.53</v>
      </c>
      <c r="T804" s="19" t="n">
        <f aca="false">IF(F804&gt;72,1,0)</f>
        <v>0</v>
      </c>
      <c r="U804" s="19" t="n">
        <f aca="false">IF(J804&gt;1.25,1,0)</f>
        <v>0</v>
      </c>
    </row>
    <row r="805" customFormat="false" ht="15" hidden="false" customHeight="false" outlineLevel="0" collapsed="false">
      <c r="B805" s="13" t="s">
        <v>1025</v>
      </c>
      <c r="C805" s="13" t="s">
        <v>223</v>
      </c>
      <c r="D805" s="19" t="n">
        <v>622</v>
      </c>
      <c r="E805" s="23" t="n">
        <v>0.2098</v>
      </c>
      <c r="F805" s="19" t="n">
        <v>60</v>
      </c>
      <c r="G805" s="19" t="n">
        <v>6</v>
      </c>
      <c r="H805" s="14" t="n">
        <v>13660</v>
      </c>
      <c r="I805" s="14" t="n">
        <v>12841.51</v>
      </c>
      <c r="J805" s="24" t="n">
        <v>1.094</v>
      </c>
      <c r="K805" s="19" t="n">
        <v>0</v>
      </c>
      <c r="L805" s="13" t="str">
        <f aca="false">IF(D805&gt;=Inputs!$C$14,"Near-prime","Non-prime")</f>
        <v>Near-prime</v>
      </c>
      <c r="M805" s="19" t="n">
        <f aca="false">IF(K805&lt;=Inputs!$C$19,1,0)</f>
        <v>1</v>
      </c>
      <c r="N805" s="19" t="n">
        <f aca="false">IF(F805&lt;=Inputs!$C$20,1,0)</f>
        <v>1</v>
      </c>
      <c r="O805" s="19" t="n">
        <f aca="false">IF(J805&lt;=Inputs!$C$21,1,0)</f>
        <v>1</v>
      </c>
      <c r="P805" s="19" t="n">
        <f aca="false">IF(D805&gt;=Inputs!$C$22,1,0)</f>
        <v>1</v>
      </c>
      <c r="Q805" s="19" t="n">
        <f aca="false">IF(I805&lt;=Inputs!$C$23,1,0)</f>
        <v>1</v>
      </c>
      <c r="R805" s="19" t="n">
        <f aca="false">M805*N805*O805*P805*Q805</f>
        <v>1</v>
      </c>
      <c r="S805" s="14" t="n">
        <f aca="false">I805*R805</f>
        <v>12841.51</v>
      </c>
      <c r="T805" s="19" t="n">
        <f aca="false">IF(F805&gt;72,1,0)</f>
        <v>0</v>
      </c>
      <c r="U805" s="19" t="n">
        <f aca="false">IF(J805&gt;1.25,1,0)</f>
        <v>0</v>
      </c>
    </row>
    <row r="806" customFormat="false" ht="15" hidden="false" customHeight="false" outlineLevel="0" collapsed="false">
      <c r="B806" s="13" t="s">
        <v>1026</v>
      </c>
      <c r="C806" s="13" t="s">
        <v>226</v>
      </c>
      <c r="D806" s="19" t="n">
        <v>677</v>
      </c>
      <c r="E806" s="23" t="n">
        <v>0.2103</v>
      </c>
      <c r="F806" s="19" t="n">
        <v>72</v>
      </c>
      <c r="G806" s="19" t="n">
        <v>1</v>
      </c>
      <c r="H806" s="14" t="n">
        <v>19950</v>
      </c>
      <c r="I806" s="14" t="n">
        <v>19809.78</v>
      </c>
      <c r="J806" s="24" t="n">
        <v>0.918</v>
      </c>
      <c r="K806" s="19" t="n">
        <v>0</v>
      </c>
      <c r="L806" s="13" t="str">
        <f aca="false">IF(D806&gt;=Inputs!$C$14,"Near-prime","Non-prime")</f>
        <v>Near-prime</v>
      </c>
      <c r="M806" s="19" t="n">
        <f aca="false">IF(K806&lt;=Inputs!$C$19,1,0)</f>
        <v>1</v>
      </c>
      <c r="N806" s="19" t="n">
        <f aca="false">IF(F806&lt;=Inputs!$C$20,1,0)</f>
        <v>1</v>
      </c>
      <c r="O806" s="19" t="n">
        <f aca="false">IF(J806&lt;=Inputs!$C$21,1,0)</f>
        <v>1</v>
      </c>
      <c r="P806" s="19" t="n">
        <f aca="false">IF(D806&gt;=Inputs!$C$22,1,0)</f>
        <v>1</v>
      </c>
      <c r="Q806" s="19" t="n">
        <f aca="false">IF(I806&lt;=Inputs!$C$23,1,0)</f>
        <v>1</v>
      </c>
      <c r="R806" s="19" t="n">
        <f aca="false">M806*N806*O806*P806*Q806</f>
        <v>1</v>
      </c>
      <c r="S806" s="14" t="n">
        <f aca="false">I806*R806</f>
        <v>19809.78</v>
      </c>
      <c r="T806" s="19" t="n">
        <f aca="false">IF(F806&gt;72,1,0)</f>
        <v>0</v>
      </c>
      <c r="U806" s="19" t="n">
        <f aca="false">IF(J806&gt;1.25,1,0)</f>
        <v>0</v>
      </c>
    </row>
    <row r="807" customFormat="false" ht="15" hidden="false" customHeight="false" outlineLevel="0" collapsed="false">
      <c r="B807" s="13" t="s">
        <v>1027</v>
      </c>
      <c r="C807" s="13" t="s">
        <v>219</v>
      </c>
      <c r="D807" s="19" t="n">
        <v>627</v>
      </c>
      <c r="E807" s="23" t="n">
        <v>0.186</v>
      </c>
      <c r="F807" s="19" t="n">
        <v>72</v>
      </c>
      <c r="G807" s="19" t="n">
        <v>9</v>
      </c>
      <c r="H807" s="14" t="n">
        <v>22820</v>
      </c>
      <c r="I807" s="14" t="n">
        <v>21148.2</v>
      </c>
      <c r="J807" s="24" t="n">
        <v>1.15</v>
      </c>
      <c r="K807" s="19" t="n">
        <v>0</v>
      </c>
      <c r="L807" s="13" t="str">
        <f aca="false">IF(D807&gt;=Inputs!$C$14,"Near-prime","Non-prime")</f>
        <v>Near-prime</v>
      </c>
      <c r="M807" s="19" t="n">
        <f aca="false">IF(K807&lt;=Inputs!$C$19,1,0)</f>
        <v>1</v>
      </c>
      <c r="N807" s="19" t="n">
        <f aca="false">IF(F807&lt;=Inputs!$C$20,1,0)</f>
        <v>1</v>
      </c>
      <c r="O807" s="19" t="n">
        <f aca="false">IF(J807&lt;=Inputs!$C$21,1,0)</f>
        <v>1</v>
      </c>
      <c r="P807" s="19" t="n">
        <f aca="false">IF(D807&gt;=Inputs!$C$22,1,0)</f>
        <v>1</v>
      </c>
      <c r="Q807" s="19" t="n">
        <f aca="false">IF(I807&lt;=Inputs!$C$23,1,0)</f>
        <v>1</v>
      </c>
      <c r="R807" s="19" t="n">
        <f aca="false">M807*N807*O807*P807*Q807</f>
        <v>1</v>
      </c>
      <c r="S807" s="14" t="n">
        <f aca="false">I807*R807</f>
        <v>21148.2</v>
      </c>
      <c r="T807" s="19" t="n">
        <f aca="false">IF(F807&gt;72,1,0)</f>
        <v>0</v>
      </c>
      <c r="U807" s="19" t="n">
        <f aca="false">IF(J807&gt;1.25,1,0)</f>
        <v>0</v>
      </c>
    </row>
    <row r="808" customFormat="false" ht="15" hidden="false" customHeight="false" outlineLevel="0" collapsed="false">
      <c r="B808" s="13" t="s">
        <v>1028</v>
      </c>
      <c r="C808" s="13" t="s">
        <v>226</v>
      </c>
      <c r="D808" s="19" t="n">
        <v>639</v>
      </c>
      <c r="E808" s="23" t="n">
        <v>0.2101</v>
      </c>
      <c r="F808" s="19" t="n">
        <v>48</v>
      </c>
      <c r="G808" s="19" t="n">
        <v>4</v>
      </c>
      <c r="H808" s="14" t="n">
        <v>39820</v>
      </c>
      <c r="I808" s="14" t="n">
        <v>37618.68</v>
      </c>
      <c r="J808" s="24" t="n">
        <v>1.367</v>
      </c>
      <c r="K808" s="19" t="n">
        <v>30</v>
      </c>
      <c r="L808" s="13" t="str">
        <f aca="false">IF(D808&gt;=Inputs!$C$14,"Near-prime","Non-prime")</f>
        <v>Near-prime</v>
      </c>
      <c r="M808" s="19" t="n">
        <f aca="false">IF(K808&lt;=Inputs!$C$19,1,0)</f>
        <v>1</v>
      </c>
      <c r="N808" s="19" t="n">
        <f aca="false">IF(F808&lt;=Inputs!$C$20,1,0)</f>
        <v>1</v>
      </c>
      <c r="O808" s="19" t="n">
        <f aca="false">IF(J808&lt;=Inputs!$C$21,1,0)</f>
        <v>1</v>
      </c>
      <c r="P808" s="19" t="n">
        <f aca="false">IF(D808&gt;=Inputs!$C$22,1,0)</f>
        <v>1</v>
      </c>
      <c r="Q808" s="19" t="n">
        <f aca="false">IF(I808&lt;=Inputs!$C$23,1,0)</f>
        <v>1</v>
      </c>
      <c r="R808" s="19" t="n">
        <f aca="false">M808*N808*O808*P808*Q808</f>
        <v>1</v>
      </c>
      <c r="S808" s="14" t="n">
        <f aca="false">I808*R808</f>
        <v>37618.68</v>
      </c>
      <c r="T808" s="19" t="n">
        <f aca="false">IF(F808&gt;72,1,0)</f>
        <v>0</v>
      </c>
      <c r="U808" s="19" t="n">
        <f aca="false">IF(J808&gt;1.25,1,0)</f>
        <v>1</v>
      </c>
    </row>
    <row r="809" customFormat="false" ht="15" hidden="false" customHeight="false" outlineLevel="0" collapsed="false">
      <c r="B809" s="13" t="s">
        <v>1029</v>
      </c>
      <c r="C809" s="13" t="s">
        <v>223</v>
      </c>
      <c r="D809" s="19" t="n">
        <v>605</v>
      </c>
      <c r="E809" s="23" t="n">
        <v>0.2214</v>
      </c>
      <c r="F809" s="19" t="n">
        <v>60</v>
      </c>
      <c r="G809" s="19" t="n">
        <v>10</v>
      </c>
      <c r="H809" s="14" t="n">
        <v>43020</v>
      </c>
      <c r="I809" s="14" t="n">
        <v>38694.14</v>
      </c>
      <c r="J809" s="24" t="n">
        <v>0.899</v>
      </c>
      <c r="K809" s="19" t="n">
        <v>0</v>
      </c>
      <c r="L809" s="13" t="str">
        <f aca="false">IF(D809&gt;=Inputs!$C$14,"Near-prime","Non-prime")</f>
        <v>Non-prime</v>
      </c>
      <c r="M809" s="19" t="n">
        <f aca="false">IF(K809&lt;=Inputs!$C$19,1,0)</f>
        <v>1</v>
      </c>
      <c r="N809" s="19" t="n">
        <f aca="false">IF(F809&lt;=Inputs!$C$20,1,0)</f>
        <v>1</v>
      </c>
      <c r="O809" s="19" t="n">
        <f aca="false">IF(J809&lt;=Inputs!$C$21,1,0)</f>
        <v>1</v>
      </c>
      <c r="P809" s="19" t="n">
        <f aca="false">IF(D809&gt;=Inputs!$C$22,1,0)</f>
        <v>1</v>
      </c>
      <c r="Q809" s="19" t="n">
        <f aca="false">IF(I809&lt;=Inputs!$C$23,1,0)</f>
        <v>1</v>
      </c>
      <c r="R809" s="19" t="n">
        <f aca="false">M809*N809*O809*P809*Q809</f>
        <v>1</v>
      </c>
      <c r="S809" s="14" t="n">
        <f aca="false">I809*R809</f>
        <v>38694.14</v>
      </c>
      <c r="T809" s="19" t="n">
        <f aca="false">IF(F809&gt;72,1,0)</f>
        <v>0</v>
      </c>
      <c r="U809" s="19" t="n">
        <f aca="false">IF(J809&gt;1.25,1,0)</f>
        <v>0</v>
      </c>
    </row>
    <row r="810" customFormat="false" ht="15" hidden="false" customHeight="false" outlineLevel="0" collapsed="false">
      <c r="B810" s="13" t="s">
        <v>1030</v>
      </c>
      <c r="C810" s="13" t="s">
        <v>217</v>
      </c>
      <c r="D810" s="19" t="n">
        <v>676</v>
      </c>
      <c r="E810" s="23" t="n">
        <v>0.2019</v>
      </c>
      <c r="F810" s="19" t="n">
        <v>72</v>
      </c>
      <c r="G810" s="19" t="n">
        <v>5</v>
      </c>
      <c r="H810" s="14" t="n">
        <v>16600</v>
      </c>
      <c r="I810" s="14" t="n">
        <v>15978.68</v>
      </c>
      <c r="J810" s="24" t="n">
        <v>1.006</v>
      </c>
      <c r="K810" s="19" t="n">
        <v>0</v>
      </c>
      <c r="L810" s="13" t="str">
        <f aca="false">IF(D810&gt;=Inputs!$C$14,"Near-prime","Non-prime")</f>
        <v>Near-prime</v>
      </c>
      <c r="M810" s="19" t="n">
        <f aca="false">IF(K810&lt;=Inputs!$C$19,1,0)</f>
        <v>1</v>
      </c>
      <c r="N810" s="19" t="n">
        <f aca="false">IF(F810&lt;=Inputs!$C$20,1,0)</f>
        <v>1</v>
      </c>
      <c r="O810" s="19" t="n">
        <f aca="false">IF(J810&lt;=Inputs!$C$21,1,0)</f>
        <v>1</v>
      </c>
      <c r="P810" s="19" t="n">
        <f aca="false">IF(D810&gt;=Inputs!$C$22,1,0)</f>
        <v>1</v>
      </c>
      <c r="Q810" s="19" t="n">
        <f aca="false">IF(I810&lt;=Inputs!$C$23,1,0)</f>
        <v>1</v>
      </c>
      <c r="R810" s="19" t="n">
        <f aca="false">M810*N810*O810*P810*Q810</f>
        <v>1</v>
      </c>
      <c r="S810" s="14" t="n">
        <f aca="false">I810*R810</f>
        <v>15978.68</v>
      </c>
      <c r="T810" s="19" t="n">
        <f aca="false">IF(F810&gt;72,1,0)</f>
        <v>0</v>
      </c>
      <c r="U810" s="19" t="n">
        <f aca="false">IF(J810&gt;1.25,1,0)</f>
        <v>0</v>
      </c>
    </row>
    <row r="811" customFormat="false" ht="15" hidden="false" customHeight="false" outlineLevel="0" collapsed="false">
      <c r="B811" s="13" t="s">
        <v>1031</v>
      </c>
      <c r="C811" s="13" t="s">
        <v>221</v>
      </c>
      <c r="D811" s="19" t="n">
        <v>618</v>
      </c>
      <c r="E811" s="23" t="n">
        <v>0.2235</v>
      </c>
      <c r="F811" s="19" t="n">
        <v>60</v>
      </c>
      <c r="G811" s="19" t="n">
        <v>0</v>
      </c>
      <c r="H811" s="14" t="n">
        <v>35770</v>
      </c>
      <c r="I811" s="14" t="n">
        <v>35770</v>
      </c>
      <c r="J811" s="24" t="n">
        <v>0.972</v>
      </c>
      <c r="K811" s="19" t="n">
        <v>0</v>
      </c>
      <c r="L811" s="13" t="str">
        <f aca="false">IF(D811&gt;=Inputs!$C$14,"Near-prime","Non-prime")</f>
        <v>Non-prime</v>
      </c>
      <c r="M811" s="19" t="n">
        <f aca="false">IF(K811&lt;=Inputs!$C$19,1,0)</f>
        <v>1</v>
      </c>
      <c r="N811" s="19" t="n">
        <f aca="false">IF(F811&lt;=Inputs!$C$20,1,0)</f>
        <v>1</v>
      </c>
      <c r="O811" s="19" t="n">
        <f aca="false">IF(J811&lt;=Inputs!$C$21,1,0)</f>
        <v>1</v>
      </c>
      <c r="P811" s="19" t="n">
        <f aca="false">IF(D811&gt;=Inputs!$C$22,1,0)</f>
        <v>1</v>
      </c>
      <c r="Q811" s="19" t="n">
        <f aca="false">IF(I811&lt;=Inputs!$C$23,1,0)</f>
        <v>1</v>
      </c>
      <c r="R811" s="19" t="n">
        <f aca="false">M811*N811*O811*P811*Q811</f>
        <v>1</v>
      </c>
      <c r="S811" s="14" t="n">
        <f aca="false">I811*R811</f>
        <v>35770</v>
      </c>
      <c r="T811" s="19" t="n">
        <f aca="false">IF(F811&gt;72,1,0)</f>
        <v>0</v>
      </c>
      <c r="U811" s="19" t="n">
        <f aca="false">IF(J811&gt;1.25,1,0)</f>
        <v>0</v>
      </c>
    </row>
    <row r="812" customFormat="false" ht="15" hidden="false" customHeight="false" outlineLevel="0" collapsed="false">
      <c r="B812" s="13" t="s">
        <v>1032</v>
      </c>
      <c r="C812" s="13" t="s">
        <v>237</v>
      </c>
      <c r="D812" s="19" t="n">
        <v>659</v>
      </c>
      <c r="E812" s="23" t="n">
        <v>0.214</v>
      </c>
      <c r="F812" s="19" t="n">
        <v>72</v>
      </c>
      <c r="G812" s="19" t="n">
        <v>4</v>
      </c>
      <c r="H812" s="14" t="n">
        <v>14250</v>
      </c>
      <c r="I812" s="14" t="n">
        <v>13843.84</v>
      </c>
      <c r="J812" s="24" t="n">
        <v>0.974</v>
      </c>
      <c r="K812" s="19" t="n">
        <v>0</v>
      </c>
      <c r="L812" s="13" t="str">
        <f aca="false">IF(D812&gt;=Inputs!$C$14,"Near-prime","Non-prime")</f>
        <v>Near-prime</v>
      </c>
      <c r="M812" s="19" t="n">
        <f aca="false">IF(K812&lt;=Inputs!$C$19,1,0)</f>
        <v>1</v>
      </c>
      <c r="N812" s="19" t="n">
        <f aca="false">IF(F812&lt;=Inputs!$C$20,1,0)</f>
        <v>1</v>
      </c>
      <c r="O812" s="19" t="n">
        <f aca="false">IF(J812&lt;=Inputs!$C$21,1,0)</f>
        <v>1</v>
      </c>
      <c r="P812" s="19" t="n">
        <f aca="false">IF(D812&gt;=Inputs!$C$22,1,0)</f>
        <v>1</v>
      </c>
      <c r="Q812" s="19" t="n">
        <f aca="false">IF(I812&lt;=Inputs!$C$23,1,0)</f>
        <v>1</v>
      </c>
      <c r="R812" s="19" t="n">
        <f aca="false">M812*N812*O812*P812*Q812</f>
        <v>1</v>
      </c>
      <c r="S812" s="14" t="n">
        <f aca="false">I812*R812</f>
        <v>13843.84</v>
      </c>
      <c r="T812" s="19" t="n">
        <f aca="false">IF(F812&gt;72,1,0)</f>
        <v>0</v>
      </c>
      <c r="U812" s="19" t="n">
        <f aca="false">IF(J812&gt;1.25,1,0)</f>
        <v>0</v>
      </c>
    </row>
    <row r="813" customFormat="false" ht="15" hidden="false" customHeight="false" outlineLevel="0" collapsed="false">
      <c r="B813" s="13" t="s">
        <v>1033</v>
      </c>
      <c r="C813" s="13" t="s">
        <v>257</v>
      </c>
      <c r="D813" s="19" t="n">
        <v>654</v>
      </c>
      <c r="E813" s="23" t="n">
        <v>0.1883</v>
      </c>
      <c r="F813" s="19" t="n">
        <v>66</v>
      </c>
      <c r="G813" s="19" t="n">
        <v>9</v>
      </c>
      <c r="H813" s="14" t="n">
        <v>44350</v>
      </c>
      <c r="I813" s="14" t="n">
        <v>40632.16</v>
      </c>
      <c r="J813" s="24" t="n">
        <v>1.192</v>
      </c>
      <c r="K813" s="19" t="n">
        <v>0</v>
      </c>
      <c r="L813" s="13" t="str">
        <f aca="false">IF(D813&gt;=Inputs!$C$14,"Near-prime","Non-prime")</f>
        <v>Near-prime</v>
      </c>
      <c r="M813" s="19" t="n">
        <f aca="false">IF(K813&lt;=Inputs!$C$19,1,0)</f>
        <v>1</v>
      </c>
      <c r="N813" s="19" t="n">
        <f aca="false">IF(F813&lt;=Inputs!$C$20,1,0)</f>
        <v>1</v>
      </c>
      <c r="O813" s="19" t="n">
        <f aca="false">IF(J813&lt;=Inputs!$C$21,1,0)</f>
        <v>1</v>
      </c>
      <c r="P813" s="19" t="n">
        <f aca="false">IF(D813&gt;=Inputs!$C$22,1,0)</f>
        <v>1</v>
      </c>
      <c r="Q813" s="19" t="n">
        <f aca="false">IF(I813&lt;=Inputs!$C$23,1,0)</f>
        <v>1</v>
      </c>
      <c r="R813" s="19" t="n">
        <f aca="false">M813*N813*O813*P813*Q813</f>
        <v>1</v>
      </c>
      <c r="S813" s="14" t="n">
        <f aca="false">I813*R813</f>
        <v>40632.16</v>
      </c>
      <c r="T813" s="19" t="n">
        <f aca="false">IF(F813&gt;72,1,0)</f>
        <v>0</v>
      </c>
      <c r="U813" s="19" t="n">
        <f aca="false">IF(J813&gt;1.25,1,0)</f>
        <v>0</v>
      </c>
    </row>
    <row r="814" customFormat="false" ht="15" hidden="false" customHeight="false" outlineLevel="0" collapsed="false">
      <c r="B814" s="13" t="s">
        <v>1034</v>
      </c>
      <c r="C814" s="13" t="s">
        <v>228</v>
      </c>
      <c r="D814" s="19" t="n">
        <v>625</v>
      </c>
      <c r="E814" s="23" t="n">
        <v>0.2175</v>
      </c>
      <c r="F814" s="19" t="n">
        <v>72</v>
      </c>
      <c r="G814" s="19" t="n">
        <v>7</v>
      </c>
      <c r="H814" s="14" t="n">
        <v>19850</v>
      </c>
      <c r="I814" s="14" t="n">
        <v>18844.41</v>
      </c>
      <c r="J814" s="24" t="n">
        <v>1.333</v>
      </c>
      <c r="K814" s="19" t="n">
        <v>0</v>
      </c>
      <c r="L814" s="13" t="str">
        <f aca="false">IF(D814&gt;=Inputs!$C$14,"Near-prime","Non-prime")</f>
        <v>Near-prime</v>
      </c>
      <c r="M814" s="19" t="n">
        <f aca="false">IF(K814&lt;=Inputs!$C$19,1,0)</f>
        <v>1</v>
      </c>
      <c r="N814" s="19" t="n">
        <f aca="false">IF(F814&lt;=Inputs!$C$20,1,0)</f>
        <v>1</v>
      </c>
      <c r="O814" s="19" t="n">
        <f aca="false">IF(J814&lt;=Inputs!$C$21,1,0)</f>
        <v>1</v>
      </c>
      <c r="P814" s="19" t="n">
        <f aca="false">IF(D814&gt;=Inputs!$C$22,1,0)</f>
        <v>1</v>
      </c>
      <c r="Q814" s="19" t="n">
        <f aca="false">IF(I814&lt;=Inputs!$C$23,1,0)</f>
        <v>1</v>
      </c>
      <c r="R814" s="19" t="n">
        <f aca="false">M814*N814*O814*P814*Q814</f>
        <v>1</v>
      </c>
      <c r="S814" s="14" t="n">
        <f aca="false">I814*R814</f>
        <v>18844.41</v>
      </c>
      <c r="T814" s="19" t="n">
        <f aca="false">IF(F814&gt;72,1,0)</f>
        <v>0</v>
      </c>
      <c r="U814" s="19" t="n">
        <f aca="false">IF(J814&gt;1.25,1,0)</f>
        <v>1</v>
      </c>
    </row>
    <row r="815" customFormat="false" ht="15" hidden="false" customHeight="false" outlineLevel="0" collapsed="false">
      <c r="B815" s="13" t="s">
        <v>1035</v>
      </c>
      <c r="C815" s="13" t="s">
        <v>233</v>
      </c>
      <c r="D815" s="19" t="n">
        <v>602</v>
      </c>
      <c r="E815" s="23" t="n">
        <v>0.2087</v>
      </c>
      <c r="F815" s="19" t="n">
        <v>75</v>
      </c>
      <c r="G815" s="19" t="n">
        <v>10</v>
      </c>
      <c r="H815" s="14" t="n">
        <v>28630</v>
      </c>
      <c r="I815" s="14" t="n">
        <v>26592.57</v>
      </c>
      <c r="J815" s="24" t="n">
        <v>1.329</v>
      </c>
      <c r="K815" s="19" t="n">
        <v>0</v>
      </c>
      <c r="L815" s="13" t="str">
        <f aca="false">IF(D815&gt;=Inputs!$C$14,"Near-prime","Non-prime")</f>
        <v>Non-prime</v>
      </c>
      <c r="M815" s="19" t="n">
        <f aca="false">IF(K815&lt;=Inputs!$C$19,1,0)</f>
        <v>1</v>
      </c>
      <c r="N815" s="19" t="n">
        <f aca="false">IF(F815&lt;=Inputs!$C$20,1,0)</f>
        <v>1</v>
      </c>
      <c r="O815" s="19" t="n">
        <f aca="false">IF(J815&lt;=Inputs!$C$21,1,0)</f>
        <v>1</v>
      </c>
      <c r="P815" s="19" t="n">
        <f aca="false">IF(D815&gt;=Inputs!$C$22,1,0)</f>
        <v>1</v>
      </c>
      <c r="Q815" s="19" t="n">
        <f aca="false">IF(I815&lt;=Inputs!$C$23,1,0)</f>
        <v>1</v>
      </c>
      <c r="R815" s="19" t="n">
        <f aca="false">M815*N815*O815*P815*Q815</f>
        <v>1</v>
      </c>
      <c r="S815" s="14" t="n">
        <f aca="false">I815*R815</f>
        <v>26592.57</v>
      </c>
      <c r="T815" s="19" t="n">
        <f aca="false">IF(F815&gt;72,1,0)</f>
        <v>1</v>
      </c>
      <c r="U815" s="19" t="n">
        <f aca="false">IF(J815&gt;1.25,1,0)</f>
        <v>1</v>
      </c>
    </row>
    <row r="816" customFormat="false" ht="15" hidden="false" customHeight="false" outlineLevel="0" collapsed="false">
      <c r="B816" s="13" t="s">
        <v>1036</v>
      </c>
      <c r="C816" s="13" t="s">
        <v>223</v>
      </c>
      <c r="D816" s="19" t="n">
        <v>641</v>
      </c>
      <c r="E816" s="23" t="n">
        <v>0.2227</v>
      </c>
      <c r="F816" s="19" t="n">
        <v>60</v>
      </c>
      <c r="G816" s="19" t="n">
        <v>0</v>
      </c>
      <c r="H816" s="14" t="n">
        <v>25500</v>
      </c>
      <c r="I816" s="14" t="n">
        <v>25500</v>
      </c>
      <c r="J816" s="24" t="n">
        <v>0.866</v>
      </c>
      <c r="K816" s="19" t="n">
        <v>0</v>
      </c>
      <c r="L816" s="13" t="str">
        <f aca="false">IF(D816&gt;=Inputs!$C$14,"Near-prime","Non-prime")</f>
        <v>Near-prime</v>
      </c>
      <c r="M816" s="19" t="n">
        <f aca="false">IF(K816&lt;=Inputs!$C$19,1,0)</f>
        <v>1</v>
      </c>
      <c r="N816" s="19" t="n">
        <f aca="false">IF(F816&lt;=Inputs!$C$20,1,0)</f>
        <v>1</v>
      </c>
      <c r="O816" s="19" t="n">
        <f aca="false">IF(J816&lt;=Inputs!$C$21,1,0)</f>
        <v>1</v>
      </c>
      <c r="P816" s="19" t="n">
        <f aca="false">IF(D816&gt;=Inputs!$C$22,1,0)</f>
        <v>1</v>
      </c>
      <c r="Q816" s="19" t="n">
        <f aca="false">IF(I816&lt;=Inputs!$C$23,1,0)</f>
        <v>1</v>
      </c>
      <c r="R816" s="19" t="n">
        <f aca="false">M816*N816*O816*P816*Q816</f>
        <v>1</v>
      </c>
      <c r="S816" s="14" t="n">
        <f aca="false">I816*R816</f>
        <v>25500</v>
      </c>
      <c r="T816" s="19" t="n">
        <f aca="false">IF(F816&gt;72,1,0)</f>
        <v>0</v>
      </c>
      <c r="U816" s="19" t="n">
        <f aca="false">IF(J816&gt;1.25,1,0)</f>
        <v>0</v>
      </c>
    </row>
    <row r="817" customFormat="false" ht="15" hidden="false" customHeight="false" outlineLevel="0" collapsed="false">
      <c r="B817" s="13" t="s">
        <v>1037</v>
      </c>
      <c r="C817" s="13" t="s">
        <v>257</v>
      </c>
      <c r="D817" s="19" t="n">
        <v>629</v>
      </c>
      <c r="E817" s="23" t="n">
        <v>0.2147</v>
      </c>
      <c r="F817" s="19" t="n">
        <v>75</v>
      </c>
      <c r="G817" s="19" t="n">
        <v>2</v>
      </c>
      <c r="H817" s="14" t="n">
        <v>17450</v>
      </c>
      <c r="I817" s="14" t="n">
        <v>17223.47</v>
      </c>
      <c r="J817" s="24" t="n">
        <v>1.076</v>
      </c>
      <c r="K817" s="19" t="n">
        <v>0</v>
      </c>
      <c r="L817" s="13" t="str">
        <f aca="false">IF(D817&gt;=Inputs!$C$14,"Near-prime","Non-prime")</f>
        <v>Near-prime</v>
      </c>
      <c r="M817" s="19" t="n">
        <f aca="false">IF(K817&lt;=Inputs!$C$19,1,0)</f>
        <v>1</v>
      </c>
      <c r="N817" s="19" t="n">
        <f aca="false">IF(F817&lt;=Inputs!$C$20,1,0)</f>
        <v>1</v>
      </c>
      <c r="O817" s="19" t="n">
        <f aca="false">IF(J817&lt;=Inputs!$C$21,1,0)</f>
        <v>1</v>
      </c>
      <c r="P817" s="19" t="n">
        <f aca="false">IF(D817&gt;=Inputs!$C$22,1,0)</f>
        <v>1</v>
      </c>
      <c r="Q817" s="19" t="n">
        <f aca="false">IF(I817&lt;=Inputs!$C$23,1,0)</f>
        <v>1</v>
      </c>
      <c r="R817" s="19" t="n">
        <f aca="false">M817*N817*O817*P817*Q817</f>
        <v>1</v>
      </c>
      <c r="S817" s="14" t="n">
        <f aca="false">I817*R817</f>
        <v>17223.47</v>
      </c>
      <c r="T817" s="19" t="n">
        <f aca="false">IF(F817&gt;72,1,0)</f>
        <v>1</v>
      </c>
      <c r="U817" s="19" t="n">
        <f aca="false">IF(J817&gt;1.25,1,0)</f>
        <v>0</v>
      </c>
    </row>
    <row r="818" customFormat="false" ht="15" hidden="false" customHeight="false" outlineLevel="0" collapsed="false">
      <c r="B818" s="13" t="s">
        <v>1038</v>
      </c>
      <c r="C818" s="13" t="s">
        <v>233</v>
      </c>
      <c r="D818" s="19" t="n">
        <v>698</v>
      </c>
      <c r="E818" s="23" t="n">
        <v>0.2081</v>
      </c>
      <c r="F818" s="19" t="n">
        <v>75</v>
      </c>
      <c r="G818" s="19" t="n">
        <v>4</v>
      </c>
      <c r="H818" s="14" t="n">
        <v>24070</v>
      </c>
      <c r="I818" s="14" t="n">
        <v>23418.66</v>
      </c>
      <c r="J818" s="24" t="n">
        <v>1.017</v>
      </c>
      <c r="K818" s="19" t="n">
        <v>15</v>
      </c>
      <c r="L818" s="13" t="str">
        <f aca="false">IF(D818&gt;=Inputs!$C$14,"Near-prime","Non-prime")</f>
        <v>Near-prime</v>
      </c>
      <c r="M818" s="19" t="n">
        <f aca="false">IF(K818&lt;=Inputs!$C$19,1,0)</f>
        <v>1</v>
      </c>
      <c r="N818" s="19" t="n">
        <f aca="false">IF(F818&lt;=Inputs!$C$20,1,0)</f>
        <v>1</v>
      </c>
      <c r="O818" s="19" t="n">
        <f aca="false">IF(J818&lt;=Inputs!$C$21,1,0)</f>
        <v>1</v>
      </c>
      <c r="P818" s="19" t="n">
        <f aca="false">IF(D818&gt;=Inputs!$C$22,1,0)</f>
        <v>1</v>
      </c>
      <c r="Q818" s="19" t="n">
        <f aca="false">IF(I818&lt;=Inputs!$C$23,1,0)</f>
        <v>1</v>
      </c>
      <c r="R818" s="19" t="n">
        <f aca="false">M818*N818*O818*P818*Q818</f>
        <v>1</v>
      </c>
      <c r="S818" s="14" t="n">
        <f aca="false">I818*R818</f>
        <v>23418.66</v>
      </c>
      <c r="T818" s="19" t="n">
        <f aca="false">IF(F818&gt;72,1,0)</f>
        <v>1</v>
      </c>
      <c r="U818" s="19" t="n">
        <f aca="false">IF(J818&gt;1.25,1,0)</f>
        <v>0</v>
      </c>
    </row>
    <row r="819" customFormat="false" ht="15" hidden="false" customHeight="false" outlineLevel="0" collapsed="false">
      <c r="B819" s="13" t="s">
        <v>1039</v>
      </c>
      <c r="C819" s="13" t="s">
        <v>223</v>
      </c>
      <c r="D819" s="19" t="n">
        <v>601</v>
      </c>
      <c r="E819" s="23" t="n">
        <v>0.2472</v>
      </c>
      <c r="F819" s="19" t="n">
        <v>66</v>
      </c>
      <c r="G819" s="19" t="n">
        <v>0</v>
      </c>
      <c r="H819" s="14" t="n">
        <v>27220</v>
      </c>
      <c r="I819" s="14" t="n">
        <v>27220</v>
      </c>
      <c r="J819" s="24" t="n">
        <v>1.267</v>
      </c>
      <c r="K819" s="19" t="n">
        <v>0</v>
      </c>
      <c r="L819" s="13" t="str">
        <f aca="false">IF(D819&gt;=Inputs!$C$14,"Near-prime","Non-prime")</f>
        <v>Non-prime</v>
      </c>
      <c r="M819" s="19" t="n">
        <f aca="false">IF(K819&lt;=Inputs!$C$19,1,0)</f>
        <v>1</v>
      </c>
      <c r="N819" s="19" t="n">
        <f aca="false">IF(F819&lt;=Inputs!$C$20,1,0)</f>
        <v>1</v>
      </c>
      <c r="O819" s="19" t="n">
        <f aca="false">IF(J819&lt;=Inputs!$C$21,1,0)</f>
        <v>1</v>
      </c>
      <c r="P819" s="19" t="n">
        <f aca="false">IF(D819&gt;=Inputs!$C$22,1,0)</f>
        <v>1</v>
      </c>
      <c r="Q819" s="19" t="n">
        <f aca="false">IF(I819&lt;=Inputs!$C$23,1,0)</f>
        <v>1</v>
      </c>
      <c r="R819" s="19" t="n">
        <f aca="false">M819*N819*O819*P819*Q819</f>
        <v>1</v>
      </c>
      <c r="S819" s="14" t="n">
        <f aca="false">I819*R819</f>
        <v>27220</v>
      </c>
      <c r="T819" s="19" t="n">
        <f aca="false">IF(F819&gt;72,1,0)</f>
        <v>0</v>
      </c>
      <c r="U819" s="19" t="n">
        <f aca="false">IF(J819&gt;1.25,1,0)</f>
        <v>1</v>
      </c>
    </row>
    <row r="820" customFormat="false" ht="15" hidden="false" customHeight="false" outlineLevel="0" collapsed="false">
      <c r="B820" s="13" t="s">
        <v>1040</v>
      </c>
      <c r="C820" s="13" t="s">
        <v>217</v>
      </c>
      <c r="D820" s="19" t="n">
        <v>685</v>
      </c>
      <c r="E820" s="23" t="n">
        <v>0.2142</v>
      </c>
      <c r="F820" s="19" t="n">
        <v>48</v>
      </c>
      <c r="G820" s="19" t="n">
        <v>0</v>
      </c>
      <c r="H820" s="14" t="n">
        <v>15640</v>
      </c>
      <c r="I820" s="14" t="n">
        <v>15640</v>
      </c>
      <c r="J820" s="24" t="n">
        <v>1.321</v>
      </c>
      <c r="K820" s="19" t="n">
        <v>0</v>
      </c>
      <c r="L820" s="13" t="str">
        <f aca="false">IF(D820&gt;=Inputs!$C$14,"Near-prime","Non-prime")</f>
        <v>Near-prime</v>
      </c>
      <c r="M820" s="19" t="n">
        <f aca="false">IF(K820&lt;=Inputs!$C$19,1,0)</f>
        <v>1</v>
      </c>
      <c r="N820" s="19" t="n">
        <f aca="false">IF(F820&lt;=Inputs!$C$20,1,0)</f>
        <v>1</v>
      </c>
      <c r="O820" s="19" t="n">
        <f aca="false">IF(J820&lt;=Inputs!$C$21,1,0)</f>
        <v>1</v>
      </c>
      <c r="P820" s="19" t="n">
        <f aca="false">IF(D820&gt;=Inputs!$C$22,1,0)</f>
        <v>1</v>
      </c>
      <c r="Q820" s="19" t="n">
        <f aca="false">IF(I820&lt;=Inputs!$C$23,1,0)</f>
        <v>1</v>
      </c>
      <c r="R820" s="19" t="n">
        <f aca="false">M820*N820*O820*P820*Q820</f>
        <v>1</v>
      </c>
      <c r="S820" s="14" t="n">
        <f aca="false">I820*R820</f>
        <v>15640</v>
      </c>
      <c r="T820" s="19" t="n">
        <f aca="false">IF(F820&gt;72,1,0)</f>
        <v>0</v>
      </c>
      <c r="U820" s="19" t="n">
        <f aca="false">IF(J820&gt;1.25,1,0)</f>
        <v>1</v>
      </c>
    </row>
    <row r="821" customFormat="false" ht="15" hidden="false" customHeight="false" outlineLevel="0" collapsed="false">
      <c r="B821" s="13" t="s">
        <v>1041</v>
      </c>
      <c r="C821" s="13" t="s">
        <v>217</v>
      </c>
      <c r="D821" s="19" t="n">
        <v>708</v>
      </c>
      <c r="E821" s="23" t="n">
        <v>0.1676</v>
      </c>
      <c r="F821" s="19" t="n">
        <v>72</v>
      </c>
      <c r="G821" s="19" t="n">
        <v>2</v>
      </c>
      <c r="H821" s="14" t="n">
        <v>27010</v>
      </c>
      <c r="I821" s="14" t="n">
        <v>26566.89</v>
      </c>
      <c r="J821" s="24" t="n">
        <v>1.008</v>
      </c>
      <c r="K821" s="19" t="n">
        <v>0</v>
      </c>
      <c r="L821" s="13" t="str">
        <f aca="false">IF(D821&gt;=Inputs!$C$14,"Near-prime","Non-prime")</f>
        <v>Near-prime</v>
      </c>
      <c r="M821" s="19" t="n">
        <f aca="false">IF(K821&lt;=Inputs!$C$19,1,0)</f>
        <v>1</v>
      </c>
      <c r="N821" s="19" t="n">
        <f aca="false">IF(F821&lt;=Inputs!$C$20,1,0)</f>
        <v>1</v>
      </c>
      <c r="O821" s="19" t="n">
        <f aca="false">IF(J821&lt;=Inputs!$C$21,1,0)</f>
        <v>1</v>
      </c>
      <c r="P821" s="19" t="n">
        <f aca="false">IF(D821&gt;=Inputs!$C$22,1,0)</f>
        <v>1</v>
      </c>
      <c r="Q821" s="19" t="n">
        <f aca="false">IF(I821&lt;=Inputs!$C$23,1,0)</f>
        <v>1</v>
      </c>
      <c r="R821" s="19" t="n">
        <f aca="false">M821*N821*O821*P821*Q821</f>
        <v>1</v>
      </c>
      <c r="S821" s="14" t="n">
        <f aca="false">I821*R821</f>
        <v>26566.89</v>
      </c>
      <c r="T821" s="19" t="n">
        <f aca="false">IF(F821&gt;72,1,0)</f>
        <v>0</v>
      </c>
      <c r="U821" s="19" t="n">
        <f aca="false">IF(J821&gt;1.25,1,0)</f>
        <v>0</v>
      </c>
    </row>
    <row r="822" customFormat="false" ht="15" hidden="false" customHeight="false" outlineLevel="0" collapsed="false">
      <c r="B822" s="13" t="s">
        <v>1042</v>
      </c>
      <c r="C822" s="13" t="s">
        <v>226</v>
      </c>
      <c r="D822" s="19" t="n">
        <v>680</v>
      </c>
      <c r="E822" s="23" t="n">
        <v>0.186</v>
      </c>
      <c r="F822" s="19" t="n">
        <v>72</v>
      </c>
      <c r="G822" s="19" t="n">
        <v>8</v>
      </c>
      <c r="H822" s="14" t="n">
        <v>22370</v>
      </c>
      <c r="I822" s="14" t="n">
        <v>20924.66</v>
      </c>
      <c r="J822" s="24" t="n">
        <v>0.793</v>
      </c>
      <c r="K822" s="19" t="n">
        <v>0</v>
      </c>
      <c r="L822" s="13" t="str">
        <f aca="false">IF(D822&gt;=Inputs!$C$14,"Near-prime","Non-prime")</f>
        <v>Near-prime</v>
      </c>
      <c r="M822" s="19" t="n">
        <f aca="false">IF(K822&lt;=Inputs!$C$19,1,0)</f>
        <v>1</v>
      </c>
      <c r="N822" s="19" t="n">
        <f aca="false">IF(F822&lt;=Inputs!$C$20,1,0)</f>
        <v>1</v>
      </c>
      <c r="O822" s="19" t="n">
        <f aca="false">IF(J822&lt;=Inputs!$C$21,1,0)</f>
        <v>1</v>
      </c>
      <c r="P822" s="19" t="n">
        <f aca="false">IF(D822&gt;=Inputs!$C$22,1,0)</f>
        <v>1</v>
      </c>
      <c r="Q822" s="19" t="n">
        <f aca="false">IF(I822&lt;=Inputs!$C$23,1,0)</f>
        <v>1</v>
      </c>
      <c r="R822" s="19" t="n">
        <f aca="false">M822*N822*O822*P822*Q822</f>
        <v>1</v>
      </c>
      <c r="S822" s="14" t="n">
        <f aca="false">I822*R822</f>
        <v>20924.66</v>
      </c>
      <c r="T822" s="19" t="n">
        <f aca="false">IF(F822&gt;72,1,0)</f>
        <v>0</v>
      </c>
      <c r="U822" s="19" t="n">
        <f aca="false">IF(J822&gt;1.25,1,0)</f>
        <v>0</v>
      </c>
    </row>
    <row r="823" customFormat="false" ht="15" hidden="false" customHeight="false" outlineLevel="0" collapsed="false">
      <c r="B823" s="13" t="s">
        <v>1043</v>
      </c>
      <c r="C823" s="13" t="s">
        <v>226</v>
      </c>
      <c r="D823" s="19" t="n">
        <v>684</v>
      </c>
      <c r="E823" s="23" t="n">
        <v>0.1997</v>
      </c>
      <c r="F823" s="19" t="n">
        <v>60</v>
      </c>
      <c r="G823" s="19" t="n">
        <v>4</v>
      </c>
      <c r="H823" s="14" t="n">
        <v>17970</v>
      </c>
      <c r="I823" s="14" t="n">
        <v>17245.18</v>
      </c>
      <c r="J823" s="24" t="n">
        <v>1.175</v>
      </c>
      <c r="K823" s="19" t="n">
        <v>0</v>
      </c>
      <c r="L823" s="13" t="str">
        <f aca="false">IF(D823&gt;=Inputs!$C$14,"Near-prime","Non-prime")</f>
        <v>Near-prime</v>
      </c>
      <c r="M823" s="19" t="n">
        <f aca="false">IF(K823&lt;=Inputs!$C$19,1,0)</f>
        <v>1</v>
      </c>
      <c r="N823" s="19" t="n">
        <f aca="false">IF(F823&lt;=Inputs!$C$20,1,0)</f>
        <v>1</v>
      </c>
      <c r="O823" s="19" t="n">
        <f aca="false">IF(J823&lt;=Inputs!$C$21,1,0)</f>
        <v>1</v>
      </c>
      <c r="P823" s="19" t="n">
        <f aca="false">IF(D823&gt;=Inputs!$C$22,1,0)</f>
        <v>1</v>
      </c>
      <c r="Q823" s="19" t="n">
        <f aca="false">IF(I823&lt;=Inputs!$C$23,1,0)</f>
        <v>1</v>
      </c>
      <c r="R823" s="19" t="n">
        <f aca="false">M823*N823*O823*P823*Q823</f>
        <v>1</v>
      </c>
      <c r="S823" s="14" t="n">
        <f aca="false">I823*R823</f>
        <v>17245.18</v>
      </c>
      <c r="T823" s="19" t="n">
        <f aca="false">IF(F823&gt;72,1,0)</f>
        <v>0</v>
      </c>
      <c r="U823" s="19" t="n">
        <f aca="false">IF(J823&gt;1.25,1,0)</f>
        <v>0</v>
      </c>
    </row>
    <row r="824" customFormat="false" ht="15" hidden="false" customHeight="false" outlineLevel="0" collapsed="false">
      <c r="B824" s="13" t="s">
        <v>1044</v>
      </c>
      <c r="C824" s="13" t="s">
        <v>223</v>
      </c>
      <c r="D824" s="19" t="n">
        <v>633</v>
      </c>
      <c r="E824" s="23" t="n">
        <v>0.2147</v>
      </c>
      <c r="F824" s="19" t="n">
        <v>48</v>
      </c>
      <c r="G824" s="19" t="n">
        <v>0</v>
      </c>
      <c r="H824" s="14" t="n">
        <v>33950</v>
      </c>
      <c r="I824" s="14" t="n">
        <v>33950</v>
      </c>
      <c r="J824" s="24" t="n">
        <v>1.074</v>
      </c>
      <c r="K824" s="19" t="n">
        <v>0</v>
      </c>
      <c r="L824" s="13" t="str">
        <f aca="false">IF(D824&gt;=Inputs!$C$14,"Near-prime","Non-prime")</f>
        <v>Near-prime</v>
      </c>
      <c r="M824" s="19" t="n">
        <f aca="false">IF(K824&lt;=Inputs!$C$19,1,0)</f>
        <v>1</v>
      </c>
      <c r="N824" s="19" t="n">
        <f aca="false">IF(F824&lt;=Inputs!$C$20,1,0)</f>
        <v>1</v>
      </c>
      <c r="O824" s="19" t="n">
        <f aca="false">IF(J824&lt;=Inputs!$C$21,1,0)</f>
        <v>1</v>
      </c>
      <c r="P824" s="19" t="n">
        <f aca="false">IF(D824&gt;=Inputs!$C$22,1,0)</f>
        <v>1</v>
      </c>
      <c r="Q824" s="19" t="n">
        <f aca="false">IF(I824&lt;=Inputs!$C$23,1,0)</f>
        <v>1</v>
      </c>
      <c r="R824" s="19" t="n">
        <f aca="false">M824*N824*O824*P824*Q824</f>
        <v>1</v>
      </c>
      <c r="S824" s="14" t="n">
        <f aca="false">I824*R824</f>
        <v>33950</v>
      </c>
      <c r="T824" s="19" t="n">
        <f aca="false">IF(F824&gt;72,1,0)</f>
        <v>0</v>
      </c>
      <c r="U824" s="19" t="n">
        <f aca="false">IF(J824&gt;1.25,1,0)</f>
        <v>0</v>
      </c>
    </row>
    <row r="825" customFormat="false" ht="15" hidden="false" customHeight="false" outlineLevel="0" collapsed="false">
      <c r="B825" s="13" t="s">
        <v>1045</v>
      </c>
      <c r="C825" s="13" t="s">
        <v>228</v>
      </c>
      <c r="D825" s="19" t="n">
        <v>669</v>
      </c>
      <c r="E825" s="23" t="n">
        <v>0.2044</v>
      </c>
      <c r="F825" s="19" t="n">
        <v>66</v>
      </c>
      <c r="G825" s="19" t="n">
        <v>6</v>
      </c>
      <c r="H825" s="14" t="n">
        <v>18390</v>
      </c>
      <c r="I825" s="14" t="n">
        <v>17432.67</v>
      </c>
      <c r="J825" s="24" t="n">
        <v>1.222</v>
      </c>
      <c r="K825" s="19" t="n">
        <v>0</v>
      </c>
      <c r="L825" s="13" t="str">
        <f aca="false">IF(D825&gt;=Inputs!$C$14,"Near-prime","Non-prime")</f>
        <v>Near-prime</v>
      </c>
      <c r="M825" s="19" t="n">
        <f aca="false">IF(K825&lt;=Inputs!$C$19,1,0)</f>
        <v>1</v>
      </c>
      <c r="N825" s="19" t="n">
        <f aca="false">IF(F825&lt;=Inputs!$C$20,1,0)</f>
        <v>1</v>
      </c>
      <c r="O825" s="19" t="n">
        <f aca="false">IF(J825&lt;=Inputs!$C$21,1,0)</f>
        <v>1</v>
      </c>
      <c r="P825" s="19" t="n">
        <f aca="false">IF(D825&gt;=Inputs!$C$22,1,0)</f>
        <v>1</v>
      </c>
      <c r="Q825" s="19" t="n">
        <f aca="false">IF(I825&lt;=Inputs!$C$23,1,0)</f>
        <v>1</v>
      </c>
      <c r="R825" s="19" t="n">
        <f aca="false">M825*N825*O825*P825*Q825</f>
        <v>1</v>
      </c>
      <c r="S825" s="14" t="n">
        <f aca="false">I825*R825</f>
        <v>17432.67</v>
      </c>
      <c r="T825" s="19" t="n">
        <f aca="false">IF(F825&gt;72,1,0)</f>
        <v>0</v>
      </c>
      <c r="U825" s="19" t="n">
        <f aca="false">IF(J825&gt;1.25,1,0)</f>
        <v>0</v>
      </c>
    </row>
    <row r="826" customFormat="false" ht="15" hidden="false" customHeight="false" outlineLevel="0" collapsed="false">
      <c r="B826" s="13" t="s">
        <v>1046</v>
      </c>
      <c r="C826" s="13" t="s">
        <v>217</v>
      </c>
      <c r="D826" s="19" t="n">
        <v>670</v>
      </c>
      <c r="E826" s="23" t="n">
        <v>0.2019</v>
      </c>
      <c r="F826" s="19" t="n">
        <v>48</v>
      </c>
      <c r="G826" s="19" t="n">
        <v>4</v>
      </c>
      <c r="H826" s="14" t="n">
        <v>13260</v>
      </c>
      <c r="I826" s="14" t="n">
        <v>12514.44</v>
      </c>
      <c r="J826" s="24" t="n">
        <v>1.163</v>
      </c>
      <c r="K826" s="19" t="n">
        <v>0</v>
      </c>
      <c r="L826" s="13" t="str">
        <f aca="false">IF(D826&gt;=Inputs!$C$14,"Near-prime","Non-prime")</f>
        <v>Near-prime</v>
      </c>
      <c r="M826" s="19" t="n">
        <f aca="false">IF(K826&lt;=Inputs!$C$19,1,0)</f>
        <v>1</v>
      </c>
      <c r="N826" s="19" t="n">
        <f aca="false">IF(F826&lt;=Inputs!$C$20,1,0)</f>
        <v>1</v>
      </c>
      <c r="O826" s="19" t="n">
        <f aca="false">IF(J826&lt;=Inputs!$C$21,1,0)</f>
        <v>1</v>
      </c>
      <c r="P826" s="19" t="n">
        <f aca="false">IF(D826&gt;=Inputs!$C$22,1,0)</f>
        <v>1</v>
      </c>
      <c r="Q826" s="19" t="n">
        <f aca="false">IF(I826&lt;=Inputs!$C$23,1,0)</f>
        <v>1</v>
      </c>
      <c r="R826" s="19" t="n">
        <f aca="false">M826*N826*O826*P826*Q826</f>
        <v>1</v>
      </c>
      <c r="S826" s="14" t="n">
        <f aca="false">I826*R826</f>
        <v>12514.44</v>
      </c>
      <c r="T826" s="19" t="n">
        <f aca="false">IF(F826&gt;72,1,0)</f>
        <v>0</v>
      </c>
      <c r="U826" s="19" t="n">
        <f aca="false">IF(J826&gt;1.25,1,0)</f>
        <v>0</v>
      </c>
    </row>
    <row r="827" customFormat="false" ht="15" hidden="false" customHeight="false" outlineLevel="0" collapsed="false">
      <c r="B827" s="13" t="s">
        <v>1047</v>
      </c>
      <c r="C827" s="13" t="s">
        <v>237</v>
      </c>
      <c r="D827" s="19" t="n">
        <v>562</v>
      </c>
      <c r="E827" s="23" t="n">
        <v>0.2369</v>
      </c>
      <c r="F827" s="19" t="n">
        <v>66</v>
      </c>
      <c r="G827" s="19" t="n">
        <v>5</v>
      </c>
      <c r="H827" s="14" t="n">
        <v>30120</v>
      </c>
      <c r="I827" s="14" t="n">
        <v>28945.68</v>
      </c>
      <c r="J827" s="24" t="n">
        <v>1.107</v>
      </c>
      <c r="K827" s="19" t="n">
        <v>0</v>
      </c>
      <c r="L827" s="13" t="str">
        <f aca="false">IF(D827&gt;=Inputs!$C$14,"Near-prime","Non-prime")</f>
        <v>Non-prime</v>
      </c>
      <c r="M827" s="19" t="n">
        <f aca="false">IF(K827&lt;=Inputs!$C$19,1,0)</f>
        <v>1</v>
      </c>
      <c r="N827" s="19" t="n">
        <f aca="false">IF(F827&lt;=Inputs!$C$20,1,0)</f>
        <v>1</v>
      </c>
      <c r="O827" s="19" t="n">
        <f aca="false">IF(J827&lt;=Inputs!$C$21,1,0)</f>
        <v>1</v>
      </c>
      <c r="P827" s="19" t="n">
        <f aca="false">IF(D827&gt;=Inputs!$C$22,1,0)</f>
        <v>1</v>
      </c>
      <c r="Q827" s="19" t="n">
        <f aca="false">IF(I827&lt;=Inputs!$C$23,1,0)</f>
        <v>1</v>
      </c>
      <c r="R827" s="19" t="n">
        <f aca="false">M827*N827*O827*P827*Q827</f>
        <v>1</v>
      </c>
      <c r="S827" s="14" t="n">
        <f aca="false">I827*R827</f>
        <v>28945.68</v>
      </c>
      <c r="T827" s="19" t="n">
        <f aca="false">IF(F827&gt;72,1,0)</f>
        <v>0</v>
      </c>
      <c r="U827" s="19" t="n">
        <f aca="false">IF(J827&gt;1.25,1,0)</f>
        <v>0</v>
      </c>
    </row>
    <row r="828" customFormat="false" ht="15" hidden="false" customHeight="false" outlineLevel="0" collapsed="false">
      <c r="B828" s="13" t="s">
        <v>1048</v>
      </c>
      <c r="C828" s="13" t="s">
        <v>217</v>
      </c>
      <c r="D828" s="19" t="n">
        <v>629</v>
      </c>
      <c r="E828" s="23" t="n">
        <v>0.2019</v>
      </c>
      <c r="F828" s="19" t="n">
        <v>48</v>
      </c>
      <c r="G828" s="19" t="n">
        <v>5</v>
      </c>
      <c r="H828" s="14" t="n">
        <v>16750</v>
      </c>
      <c r="I828" s="14" t="n">
        <v>15562.78</v>
      </c>
      <c r="J828" s="24" t="n">
        <v>0.97</v>
      </c>
      <c r="K828" s="19" t="n">
        <v>0</v>
      </c>
      <c r="L828" s="13" t="str">
        <f aca="false">IF(D828&gt;=Inputs!$C$14,"Near-prime","Non-prime")</f>
        <v>Near-prime</v>
      </c>
      <c r="M828" s="19" t="n">
        <f aca="false">IF(K828&lt;=Inputs!$C$19,1,0)</f>
        <v>1</v>
      </c>
      <c r="N828" s="19" t="n">
        <f aca="false">IF(F828&lt;=Inputs!$C$20,1,0)</f>
        <v>1</v>
      </c>
      <c r="O828" s="19" t="n">
        <f aca="false">IF(J828&lt;=Inputs!$C$21,1,0)</f>
        <v>1</v>
      </c>
      <c r="P828" s="19" t="n">
        <f aca="false">IF(D828&gt;=Inputs!$C$22,1,0)</f>
        <v>1</v>
      </c>
      <c r="Q828" s="19" t="n">
        <f aca="false">IF(I828&lt;=Inputs!$C$23,1,0)</f>
        <v>1</v>
      </c>
      <c r="R828" s="19" t="n">
        <f aca="false">M828*N828*O828*P828*Q828</f>
        <v>1</v>
      </c>
      <c r="S828" s="14" t="n">
        <f aca="false">I828*R828</f>
        <v>15562.78</v>
      </c>
      <c r="T828" s="19" t="n">
        <f aca="false">IF(F828&gt;72,1,0)</f>
        <v>0</v>
      </c>
      <c r="U828" s="19" t="n">
        <f aca="false">IF(J828&gt;1.25,1,0)</f>
        <v>0</v>
      </c>
    </row>
    <row r="829" customFormat="false" ht="15" hidden="false" customHeight="false" outlineLevel="0" collapsed="false">
      <c r="B829" s="13" t="s">
        <v>1049</v>
      </c>
      <c r="C829" s="13" t="s">
        <v>237</v>
      </c>
      <c r="D829" s="19" t="n">
        <v>584</v>
      </c>
      <c r="E829" s="23" t="n">
        <v>0.2266</v>
      </c>
      <c r="F829" s="19" t="n">
        <v>72</v>
      </c>
      <c r="G829" s="19" t="n">
        <v>2</v>
      </c>
      <c r="H829" s="14" t="n">
        <v>24360</v>
      </c>
      <c r="I829" s="14" t="n">
        <v>24033.64</v>
      </c>
      <c r="J829" s="24" t="n">
        <v>0.905</v>
      </c>
      <c r="K829" s="19" t="n">
        <v>30</v>
      </c>
      <c r="L829" s="13" t="str">
        <f aca="false">IF(D829&gt;=Inputs!$C$14,"Near-prime","Non-prime")</f>
        <v>Non-prime</v>
      </c>
      <c r="M829" s="19" t="n">
        <f aca="false">IF(K829&lt;=Inputs!$C$19,1,0)</f>
        <v>1</v>
      </c>
      <c r="N829" s="19" t="n">
        <f aca="false">IF(F829&lt;=Inputs!$C$20,1,0)</f>
        <v>1</v>
      </c>
      <c r="O829" s="19" t="n">
        <f aca="false">IF(J829&lt;=Inputs!$C$21,1,0)</f>
        <v>1</v>
      </c>
      <c r="P829" s="19" t="n">
        <f aca="false">IF(D829&gt;=Inputs!$C$22,1,0)</f>
        <v>1</v>
      </c>
      <c r="Q829" s="19" t="n">
        <f aca="false">IF(I829&lt;=Inputs!$C$23,1,0)</f>
        <v>1</v>
      </c>
      <c r="R829" s="19" t="n">
        <f aca="false">M829*N829*O829*P829*Q829</f>
        <v>1</v>
      </c>
      <c r="S829" s="14" t="n">
        <f aca="false">I829*R829</f>
        <v>24033.64</v>
      </c>
      <c r="T829" s="19" t="n">
        <f aca="false">IF(F829&gt;72,1,0)</f>
        <v>0</v>
      </c>
      <c r="U829" s="19" t="n">
        <f aca="false">IF(J829&gt;1.25,1,0)</f>
        <v>0</v>
      </c>
    </row>
    <row r="830" customFormat="false" ht="15" hidden="false" customHeight="false" outlineLevel="0" collapsed="false">
      <c r="B830" s="13" t="s">
        <v>1050</v>
      </c>
      <c r="C830" s="13" t="s">
        <v>217</v>
      </c>
      <c r="D830" s="19" t="n">
        <v>550</v>
      </c>
      <c r="E830" s="23" t="n">
        <v>0.2239</v>
      </c>
      <c r="F830" s="19" t="n">
        <v>72</v>
      </c>
      <c r="G830" s="19" t="n">
        <v>7</v>
      </c>
      <c r="H830" s="14" t="n">
        <v>16810</v>
      </c>
      <c r="I830" s="14" t="n">
        <v>15976.11</v>
      </c>
      <c r="J830" s="24" t="n">
        <v>1.202</v>
      </c>
      <c r="K830" s="19" t="n">
        <v>100</v>
      </c>
      <c r="L830" s="13" t="str">
        <f aca="false">IF(D830&gt;=Inputs!$C$14,"Near-prime","Non-prime")</f>
        <v>Non-prime</v>
      </c>
      <c r="M830" s="19" t="n">
        <f aca="false">IF(K830&lt;=Inputs!$C$19,1,0)</f>
        <v>0</v>
      </c>
      <c r="N830" s="19" t="n">
        <f aca="false">IF(F830&lt;=Inputs!$C$20,1,0)</f>
        <v>1</v>
      </c>
      <c r="O830" s="19" t="n">
        <f aca="false">IF(J830&lt;=Inputs!$C$21,1,0)</f>
        <v>1</v>
      </c>
      <c r="P830" s="19" t="n">
        <f aca="false">IF(D830&gt;=Inputs!$C$22,1,0)</f>
        <v>1</v>
      </c>
      <c r="Q830" s="19" t="n">
        <f aca="false">IF(I830&lt;=Inputs!$C$23,1,0)</f>
        <v>1</v>
      </c>
      <c r="R830" s="19" t="n">
        <f aca="false">M830*N830*O830*P830*Q830</f>
        <v>0</v>
      </c>
      <c r="S830" s="14" t="n">
        <f aca="false">I830*R830</f>
        <v>0</v>
      </c>
      <c r="T830" s="19" t="n">
        <f aca="false">IF(F830&gt;72,1,0)</f>
        <v>0</v>
      </c>
      <c r="U830" s="19" t="n">
        <f aca="false">IF(J830&gt;1.25,1,0)</f>
        <v>0</v>
      </c>
    </row>
    <row r="831" customFormat="false" ht="15" hidden="false" customHeight="false" outlineLevel="0" collapsed="false">
      <c r="B831" s="13" t="s">
        <v>1051</v>
      </c>
      <c r="C831" s="13" t="s">
        <v>252</v>
      </c>
      <c r="D831" s="19" t="n">
        <v>645</v>
      </c>
      <c r="E831" s="23" t="n">
        <v>0.2211</v>
      </c>
      <c r="F831" s="19" t="n">
        <v>60</v>
      </c>
      <c r="G831" s="19" t="n">
        <v>0</v>
      </c>
      <c r="H831" s="14" t="n">
        <v>37040</v>
      </c>
      <c r="I831" s="14" t="n">
        <v>37040</v>
      </c>
      <c r="J831" s="24" t="n">
        <v>0.935</v>
      </c>
      <c r="K831" s="19" t="n">
        <v>0</v>
      </c>
      <c r="L831" s="13" t="str">
        <f aca="false">IF(D831&gt;=Inputs!$C$14,"Near-prime","Non-prime")</f>
        <v>Near-prime</v>
      </c>
      <c r="M831" s="19" t="n">
        <f aca="false">IF(K831&lt;=Inputs!$C$19,1,0)</f>
        <v>1</v>
      </c>
      <c r="N831" s="19" t="n">
        <f aca="false">IF(F831&lt;=Inputs!$C$20,1,0)</f>
        <v>1</v>
      </c>
      <c r="O831" s="19" t="n">
        <f aca="false">IF(J831&lt;=Inputs!$C$21,1,0)</f>
        <v>1</v>
      </c>
      <c r="P831" s="19" t="n">
        <f aca="false">IF(D831&gt;=Inputs!$C$22,1,0)</f>
        <v>1</v>
      </c>
      <c r="Q831" s="19" t="n">
        <f aca="false">IF(I831&lt;=Inputs!$C$23,1,0)</f>
        <v>1</v>
      </c>
      <c r="R831" s="19" t="n">
        <f aca="false">M831*N831*O831*P831*Q831</f>
        <v>1</v>
      </c>
      <c r="S831" s="14" t="n">
        <f aca="false">I831*R831</f>
        <v>37040</v>
      </c>
      <c r="T831" s="19" t="n">
        <f aca="false">IF(F831&gt;72,1,0)</f>
        <v>0</v>
      </c>
      <c r="U831" s="19" t="n">
        <f aca="false">IF(J831&gt;1.25,1,0)</f>
        <v>0</v>
      </c>
    </row>
    <row r="832" customFormat="false" ht="15" hidden="false" customHeight="false" outlineLevel="0" collapsed="false">
      <c r="B832" s="13" t="s">
        <v>1052</v>
      </c>
      <c r="C832" s="13" t="s">
        <v>223</v>
      </c>
      <c r="D832" s="19" t="n">
        <v>669</v>
      </c>
      <c r="E832" s="23" t="n">
        <v>0.2054</v>
      </c>
      <c r="F832" s="19" t="n">
        <v>72</v>
      </c>
      <c r="G832" s="19" t="n">
        <v>4</v>
      </c>
      <c r="H832" s="14" t="n">
        <v>25020</v>
      </c>
      <c r="I832" s="14" t="n">
        <v>24285.82</v>
      </c>
      <c r="J832" s="24" t="n">
        <v>1.086</v>
      </c>
      <c r="K832" s="19" t="n">
        <v>30</v>
      </c>
      <c r="L832" s="13" t="str">
        <f aca="false">IF(D832&gt;=Inputs!$C$14,"Near-prime","Non-prime")</f>
        <v>Near-prime</v>
      </c>
      <c r="M832" s="19" t="n">
        <f aca="false">IF(K832&lt;=Inputs!$C$19,1,0)</f>
        <v>1</v>
      </c>
      <c r="N832" s="19" t="n">
        <f aca="false">IF(F832&lt;=Inputs!$C$20,1,0)</f>
        <v>1</v>
      </c>
      <c r="O832" s="19" t="n">
        <f aca="false">IF(J832&lt;=Inputs!$C$21,1,0)</f>
        <v>1</v>
      </c>
      <c r="P832" s="19" t="n">
        <f aca="false">IF(D832&gt;=Inputs!$C$22,1,0)</f>
        <v>1</v>
      </c>
      <c r="Q832" s="19" t="n">
        <f aca="false">IF(I832&lt;=Inputs!$C$23,1,0)</f>
        <v>1</v>
      </c>
      <c r="R832" s="19" t="n">
        <f aca="false">M832*N832*O832*P832*Q832</f>
        <v>1</v>
      </c>
      <c r="S832" s="14" t="n">
        <f aca="false">I832*R832</f>
        <v>24285.82</v>
      </c>
      <c r="T832" s="19" t="n">
        <f aca="false">IF(F832&gt;72,1,0)</f>
        <v>0</v>
      </c>
      <c r="U832" s="19" t="n">
        <f aca="false">IF(J832&gt;1.25,1,0)</f>
        <v>0</v>
      </c>
    </row>
    <row r="833" customFormat="false" ht="15" hidden="false" customHeight="false" outlineLevel="0" collapsed="false">
      <c r="B833" s="13" t="s">
        <v>1053</v>
      </c>
      <c r="C833" s="13" t="s">
        <v>219</v>
      </c>
      <c r="D833" s="19" t="n">
        <v>612</v>
      </c>
      <c r="E833" s="23" t="n">
        <v>0.2024</v>
      </c>
      <c r="F833" s="19" t="n">
        <v>60</v>
      </c>
      <c r="G833" s="19" t="n">
        <v>0</v>
      </c>
      <c r="H833" s="14" t="n">
        <v>30130</v>
      </c>
      <c r="I833" s="14" t="n">
        <v>30130</v>
      </c>
      <c r="J833" s="24" t="n">
        <v>1.008</v>
      </c>
      <c r="K833" s="19" t="n">
        <v>0</v>
      </c>
      <c r="L833" s="13" t="str">
        <f aca="false">IF(D833&gt;=Inputs!$C$14,"Near-prime","Non-prime")</f>
        <v>Non-prime</v>
      </c>
      <c r="M833" s="19" t="n">
        <f aca="false">IF(K833&lt;=Inputs!$C$19,1,0)</f>
        <v>1</v>
      </c>
      <c r="N833" s="19" t="n">
        <f aca="false">IF(F833&lt;=Inputs!$C$20,1,0)</f>
        <v>1</v>
      </c>
      <c r="O833" s="19" t="n">
        <f aca="false">IF(J833&lt;=Inputs!$C$21,1,0)</f>
        <v>1</v>
      </c>
      <c r="P833" s="19" t="n">
        <f aca="false">IF(D833&gt;=Inputs!$C$22,1,0)</f>
        <v>1</v>
      </c>
      <c r="Q833" s="19" t="n">
        <f aca="false">IF(I833&lt;=Inputs!$C$23,1,0)</f>
        <v>1</v>
      </c>
      <c r="R833" s="19" t="n">
        <f aca="false">M833*N833*O833*P833*Q833</f>
        <v>1</v>
      </c>
      <c r="S833" s="14" t="n">
        <f aca="false">I833*R833</f>
        <v>30130</v>
      </c>
      <c r="T833" s="19" t="n">
        <f aca="false">IF(F833&gt;72,1,0)</f>
        <v>0</v>
      </c>
      <c r="U833" s="19" t="n">
        <f aca="false">IF(J833&gt;1.25,1,0)</f>
        <v>0</v>
      </c>
    </row>
    <row r="834" customFormat="false" ht="15" hidden="false" customHeight="false" outlineLevel="0" collapsed="false">
      <c r="B834" s="13" t="s">
        <v>1054</v>
      </c>
      <c r="C834" s="13" t="s">
        <v>257</v>
      </c>
      <c r="D834" s="19" t="n">
        <v>674</v>
      </c>
      <c r="E834" s="23" t="n">
        <v>0.1888</v>
      </c>
      <c r="F834" s="19" t="n">
        <v>60</v>
      </c>
      <c r="G834" s="19" t="n">
        <v>6</v>
      </c>
      <c r="H834" s="14" t="n">
        <v>19090</v>
      </c>
      <c r="I834" s="14" t="n">
        <v>17881.76</v>
      </c>
      <c r="J834" s="24" t="n">
        <v>0.942</v>
      </c>
      <c r="K834" s="19" t="n">
        <v>30</v>
      </c>
      <c r="L834" s="13" t="str">
        <f aca="false">IF(D834&gt;=Inputs!$C$14,"Near-prime","Non-prime")</f>
        <v>Near-prime</v>
      </c>
      <c r="M834" s="19" t="n">
        <f aca="false">IF(K834&lt;=Inputs!$C$19,1,0)</f>
        <v>1</v>
      </c>
      <c r="N834" s="19" t="n">
        <f aca="false">IF(F834&lt;=Inputs!$C$20,1,0)</f>
        <v>1</v>
      </c>
      <c r="O834" s="19" t="n">
        <f aca="false">IF(J834&lt;=Inputs!$C$21,1,0)</f>
        <v>1</v>
      </c>
      <c r="P834" s="19" t="n">
        <f aca="false">IF(D834&gt;=Inputs!$C$22,1,0)</f>
        <v>1</v>
      </c>
      <c r="Q834" s="19" t="n">
        <f aca="false">IF(I834&lt;=Inputs!$C$23,1,0)</f>
        <v>1</v>
      </c>
      <c r="R834" s="19" t="n">
        <f aca="false">M834*N834*O834*P834*Q834</f>
        <v>1</v>
      </c>
      <c r="S834" s="14" t="n">
        <f aca="false">I834*R834</f>
        <v>17881.76</v>
      </c>
      <c r="T834" s="19" t="n">
        <f aca="false">IF(F834&gt;72,1,0)</f>
        <v>0</v>
      </c>
      <c r="U834" s="19" t="n">
        <f aca="false">IF(J834&gt;1.25,1,0)</f>
        <v>0</v>
      </c>
    </row>
    <row r="835" customFormat="false" ht="15" hidden="false" customHeight="false" outlineLevel="0" collapsed="false">
      <c r="B835" s="13" t="s">
        <v>1055</v>
      </c>
      <c r="C835" s="13" t="s">
        <v>223</v>
      </c>
      <c r="D835" s="19" t="n">
        <v>677</v>
      </c>
      <c r="E835" s="23" t="n">
        <v>0.2252</v>
      </c>
      <c r="F835" s="19" t="n">
        <v>60</v>
      </c>
      <c r="G835" s="19" t="n">
        <v>7</v>
      </c>
      <c r="H835" s="14" t="n">
        <v>16800</v>
      </c>
      <c r="I835" s="14" t="n">
        <v>15661.61</v>
      </c>
      <c r="J835" s="24" t="n">
        <v>0.777</v>
      </c>
      <c r="K835" s="19" t="n">
        <v>0</v>
      </c>
      <c r="L835" s="13" t="str">
        <f aca="false">IF(D835&gt;=Inputs!$C$14,"Near-prime","Non-prime")</f>
        <v>Near-prime</v>
      </c>
      <c r="M835" s="19" t="n">
        <f aca="false">IF(K835&lt;=Inputs!$C$19,1,0)</f>
        <v>1</v>
      </c>
      <c r="N835" s="19" t="n">
        <f aca="false">IF(F835&lt;=Inputs!$C$20,1,0)</f>
        <v>1</v>
      </c>
      <c r="O835" s="19" t="n">
        <f aca="false">IF(J835&lt;=Inputs!$C$21,1,0)</f>
        <v>1</v>
      </c>
      <c r="P835" s="19" t="n">
        <f aca="false">IF(D835&gt;=Inputs!$C$22,1,0)</f>
        <v>1</v>
      </c>
      <c r="Q835" s="19" t="n">
        <f aca="false">IF(I835&lt;=Inputs!$C$23,1,0)</f>
        <v>1</v>
      </c>
      <c r="R835" s="19" t="n">
        <f aca="false">M835*N835*O835*P835*Q835</f>
        <v>1</v>
      </c>
      <c r="S835" s="14" t="n">
        <f aca="false">I835*R835</f>
        <v>15661.61</v>
      </c>
      <c r="T835" s="19" t="n">
        <f aca="false">IF(F835&gt;72,1,0)</f>
        <v>0</v>
      </c>
      <c r="U835" s="19" t="n">
        <f aca="false">IF(J835&gt;1.25,1,0)</f>
        <v>0</v>
      </c>
    </row>
    <row r="836" customFormat="false" ht="15" hidden="false" customHeight="false" outlineLevel="0" collapsed="false">
      <c r="B836" s="13" t="s">
        <v>1056</v>
      </c>
      <c r="C836" s="13" t="s">
        <v>233</v>
      </c>
      <c r="D836" s="19" t="n">
        <v>652</v>
      </c>
      <c r="E836" s="23" t="n">
        <v>0.2144</v>
      </c>
      <c r="F836" s="19" t="n">
        <v>60</v>
      </c>
      <c r="G836" s="19" t="n">
        <v>1</v>
      </c>
      <c r="H836" s="14" t="n">
        <v>22830</v>
      </c>
      <c r="I836" s="14" t="n">
        <v>22614.6</v>
      </c>
      <c r="J836" s="24" t="n">
        <v>1.198</v>
      </c>
      <c r="K836" s="19" t="n">
        <v>75</v>
      </c>
      <c r="L836" s="13" t="str">
        <f aca="false">IF(D836&gt;=Inputs!$C$14,"Near-prime","Non-prime")</f>
        <v>Near-prime</v>
      </c>
      <c r="M836" s="19" t="n">
        <f aca="false">IF(K836&lt;=Inputs!$C$19,1,0)</f>
        <v>0</v>
      </c>
      <c r="N836" s="19" t="n">
        <f aca="false">IF(F836&lt;=Inputs!$C$20,1,0)</f>
        <v>1</v>
      </c>
      <c r="O836" s="19" t="n">
        <f aca="false">IF(J836&lt;=Inputs!$C$21,1,0)</f>
        <v>1</v>
      </c>
      <c r="P836" s="19" t="n">
        <f aca="false">IF(D836&gt;=Inputs!$C$22,1,0)</f>
        <v>1</v>
      </c>
      <c r="Q836" s="19" t="n">
        <f aca="false">IF(I836&lt;=Inputs!$C$23,1,0)</f>
        <v>1</v>
      </c>
      <c r="R836" s="19" t="n">
        <f aca="false">M836*N836*O836*P836*Q836</f>
        <v>0</v>
      </c>
      <c r="S836" s="14" t="n">
        <f aca="false">I836*R836</f>
        <v>0</v>
      </c>
      <c r="T836" s="19" t="n">
        <f aca="false">IF(F836&gt;72,1,0)</f>
        <v>0</v>
      </c>
      <c r="U836" s="19" t="n">
        <f aca="false">IF(J836&gt;1.25,1,0)</f>
        <v>0</v>
      </c>
    </row>
    <row r="837" customFormat="false" ht="15" hidden="false" customHeight="false" outlineLevel="0" collapsed="false">
      <c r="B837" s="13" t="s">
        <v>1057</v>
      </c>
      <c r="C837" s="13" t="s">
        <v>221</v>
      </c>
      <c r="D837" s="19" t="n">
        <v>621</v>
      </c>
      <c r="E837" s="23" t="n">
        <v>0.2227</v>
      </c>
      <c r="F837" s="19" t="n">
        <v>66</v>
      </c>
      <c r="G837" s="19" t="n">
        <v>5</v>
      </c>
      <c r="H837" s="14" t="n">
        <v>29140</v>
      </c>
      <c r="I837" s="14" t="n">
        <v>27953.78</v>
      </c>
      <c r="J837" s="24" t="n">
        <v>1.348</v>
      </c>
      <c r="K837" s="19" t="n">
        <v>0</v>
      </c>
      <c r="L837" s="13" t="str">
        <f aca="false">IF(D837&gt;=Inputs!$C$14,"Near-prime","Non-prime")</f>
        <v>Near-prime</v>
      </c>
      <c r="M837" s="19" t="n">
        <f aca="false">IF(K837&lt;=Inputs!$C$19,1,0)</f>
        <v>1</v>
      </c>
      <c r="N837" s="19" t="n">
        <f aca="false">IF(F837&lt;=Inputs!$C$20,1,0)</f>
        <v>1</v>
      </c>
      <c r="O837" s="19" t="n">
        <f aca="false">IF(J837&lt;=Inputs!$C$21,1,0)</f>
        <v>1</v>
      </c>
      <c r="P837" s="19" t="n">
        <f aca="false">IF(D837&gt;=Inputs!$C$22,1,0)</f>
        <v>1</v>
      </c>
      <c r="Q837" s="19" t="n">
        <f aca="false">IF(I837&lt;=Inputs!$C$23,1,0)</f>
        <v>1</v>
      </c>
      <c r="R837" s="19" t="n">
        <f aca="false">M837*N837*O837*P837*Q837</f>
        <v>1</v>
      </c>
      <c r="S837" s="14" t="n">
        <f aca="false">I837*R837</f>
        <v>27953.78</v>
      </c>
      <c r="T837" s="19" t="n">
        <f aca="false">IF(F837&gt;72,1,0)</f>
        <v>0</v>
      </c>
      <c r="U837" s="19" t="n">
        <f aca="false">IF(J837&gt;1.25,1,0)</f>
        <v>1</v>
      </c>
    </row>
    <row r="838" customFormat="false" ht="15" hidden="false" customHeight="false" outlineLevel="0" collapsed="false">
      <c r="B838" s="13" t="s">
        <v>1058</v>
      </c>
      <c r="C838" s="13" t="s">
        <v>223</v>
      </c>
      <c r="D838" s="19" t="n">
        <v>682</v>
      </c>
      <c r="E838" s="23" t="n">
        <v>0.1939</v>
      </c>
      <c r="F838" s="19" t="n">
        <v>72</v>
      </c>
      <c r="G838" s="19" t="n">
        <v>7</v>
      </c>
      <c r="H838" s="14" t="n">
        <v>29300</v>
      </c>
      <c r="I838" s="14" t="n">
        <v>27697.58</v>
      </c>
      <c r="J838" s="24" t="n">
        <v>0.809</v>
      </c>
      <c r="K838" s="19" t="n">
        <v>30</v>
      </c>
      <c r="L838" s="13" t="str">
        <f aca="false">IF(D838&gt;=Inputs!$C$14,"Near-prime","Non-prime")</f>
        <v>Near-prime</v>
      </c>
      <c r="M838" s="19" t="n">
        <f aca="false">IF(K838&lt;=Inputs!$C$19,1,0)</f>
        <v>1</v>
      </c>
      <c r="N838" s="19" t="n">
        <f aca="false">IF(F838&lt;=Inputs!$C$20,1,0)</f>
        <v>1</v>
      </c>
      <c r="O838" s="19" t="n">
        <f aca="false">IF(J838&lt;=Inputs!$C$21,1,0)</f>
        <v>1</v>
      </c>
      <c r="P838" s="19" t="n">
        <f aca="false">IF(D838&gt;=Inputs!$C$22,1,0)</f>
        <v>1</v>
      </c>
      <c r="Q838" s="19" t="n">
        <f aca="false">IF(I838&lt;=Inputs!$C$23,1,0)</f>
        <v>1</v>
      </c>
      <c r="R838" s="19" t="n">
        <f aca="false">M838*N838*O838*P838*Q838</f>
        <v>1</v>
      </c>
      <c r="S838" s="14" t="n">
        <f aca="false">I838*R838</f>
        <v>27697.58</v>
      </c>
      <c r="T838" s="19" t="n">
        <f aca="false">IF(F838&gt;72,1,0)</f>
        <v>0</v>
      </c>
      <c r="U838" s="19" t="n">
        <f aca="false">IF(J838&gt;1.25,1,0)</f>
        <v>0</v>
      </c>
    </row>
    <row r="839" customFormat="false" ht="15" hidden="false" customHeight="false" outlineLevel="0" collapsed="false">
      <c r="B839" s="13" t="s">
        <v>1059</v>
      </c>
      <c r="C839" s="13" t="s">
        <v>217</v>
      </c>
      <c r="D839" s="19" t="n">
        <v>739</v>
      </c>
      <c r="E839" s="23" t="n">
        <v>0.1826</v>
      </c>
      <c r="F839" s="19" t="n">
        <v>66</v>
      </c>
      <c r="G839" s="19" t="n">
        <v>3</v>
      </c>
      <c r="H839" s="14" t="n">
        <v>40450</v>
      </c>
      <c r="I839" s="14" t="n">
        <v>39353.27</v>
      </c>
      <c r="J839" s="24" t="n">
        <v>1.288</v>
      </c>
      <c r="K839" s="19" t="n">
        <v>0</v>
      </c>
      <c r="L839" s="13" t="str">
        <f aca="false">IF(D839&gt;=Inputs!$C$14,"Near-prime","Non-prime")</f>
        <v>Near-prime</v>
      </c>
      <c r="M839" s="19" t="n">
        <f aca="false">IF(K839&lt;=Inputs!$C$19,1,0)</f>
        <v>1</v>
      </c>
      <c r="N839" s="19" t="n">
        <f aca="false">IF(F839&lt;=Inputs!$C$20,1,0)</f>
        <v>1</v>
      </c>
      <c r="O839" s="19" t="n">
        <f aca="false">IF(J839&lt;=Inputs!$C$21,1,0)</f>
        <v>1</v>
      </c>
      <c r="P839" s="19" t="n">
        <f aca="false">IF(D839&gt;=Inputs!$C$22,1,0)</f>
        <v>1</v>
      </c>
      <c r="Q839" s="19" t="n">
        <f aca="false">IF(I839&lt;=Inputs!$C$23,1,0)</f>
        <v>1</v>
      </c>
      <c r="R839" s="19" t="n">
        <f aca="false">M839*N839*O839*P839*Q839</f>
        <v>1</v>
      </c>
      <c r="S839" s="14" t="n">
        <f aca="false">I839*R839</f>
        <v>39353.27</v>
      </c>
      <c r="T839" s="19" t="n">
        <f aca="false">IF(F839&gt;72,1,0)</f>
        <v>0</v>
      </c>
      <c r="U839" s="19" t="n">
        <f aca="false">IF(J839&gt;1.25,1,0)</f>
        <v>1</v>
      </c>
    </row>
    <row r="840" customFormat="false" ht="15" hidden="false" customHeight="false" outlineLevel="0" collapsed="false">
      <c r="B840" s="13" t="s">
        <v>1060</v>
      </c>
      <c r="C840" s="13" t="s">
        <v>217</v>
      </c>
      <c r="D840" s="19" t="n">
        <v>541</v>
      </c>
      <c r="E840" s="23" t="n">
        <v>0.2051</v>
      </c>
      <c r="F840" s="19" t="n">
        <v>66</v>
      </c>
      <c r="G840" s="19" t="n">
        <v>1</v>
      </c>
      <c r="H840" s="14" t="n">
        <v>26160</v>
      </c>
      <c r="I840" s="14" t="n">
        <v>25942.99</v>
      </c>
      <c r="J840" s="24" t="n">
        <v>0.692</v>
      </c>
      <c r="K840" s="19" t="n">
        <v>0</v>
      </c>
      <c r="L840" s="13" t="str">
        <f aca="false">IF(D840&gt;=Inputs!$C$14,"Near-prime","Non-prime")</f>
        <v>Non-prime</v>
      </c>
      <c r="M840" s="19" t="n">
        <f aca="false">IF(K840&lt;=Inputs!$C$19,1,0)</f>
        <v>1</v>
      </c>
      <c r="N840" s="19" t="n">
        <f aca="false">IF(F840&lt;=Inputs!$C$20,1,0)</f>
        <v>1</v>
      </c>
      <c r="O840" s="19" t="n">
        <f aca="false">IF(J840&lt;=Inputs!$C$21,1,0)</f>
        <v>1</v>
      </c>
      <c r="P840" s="19" t="n">
        <f aca="false">IF(D840&gt;=Inputs!$C$22,1,0)</f>
        <v>1</v>
      </c>
      <c r="Q840" s="19" t="n">
        <f aca="false">IF(I840&lt;=Inputs!$C$23,1,0)</f>
        <v>1</v>
      </c>
      <c r="R840" s="19" t="n">
        <f aca="false">M840*N840*O840*P840*Q840</f>
        <v>1</v>
      </c>
      <c r="S840" s="14" t="n">
        <f aca="false">I840*R840</f>
        <v>25942.99</v>
      </c>
      <c r="T840" s="19" t="n">
        <f aca="false">IF(F840&gt;72,1,0)</f>
        <v>0</v>
      </c>
      <c r="U840" s="19" t="n">
        <f aca="false">IF(J840&gt;1.25,1,0)</f>
        <v>0</v>
      </c>
    </row>
    <row r="841" customFormat="false" ht="15" hidden="false" customHeight="false" outlineLevel="0" collapsed="false">
      <c r="B841" s="13" t="s">
        <v>1061</v>
      </c>
      <c r="C841" s="13" t="s">
        <v>217</v>
      </c>
      <c r="D841" s="19" t="n">
        <v>685</v>
      </c>
      <c r="E841" s="23" t="n">
        <v>0.2085</v>
      </c>
      <c r="F841" s="19" t="n">
        <v>72</v>
      </c>
      <c r="G841" s="19" t="n">
        <v>5</v>
      </c>
      <c r="H841" s="14" t="n">
        <v>41000</v>
      </c>
      <c r="I841" s="14" t="n">
        <v>39498.75</v>
      </c>
      <c r="J841" s="24" t="n">
        <v>1.235</v>
      </c>
      <c r="K841" s="19" t="n">
        <v>0</v>
      </c>
      <c r="L841" s="13" t="str">
        <f aca="false">IF(D841&gt;=Inputs!$C$14,"Near-prime","Non-prime")</f>
        <v>Near-prime</v>
      </c>
      <c r="M841" s="19" t="n">
        <f aca="false">IF(K841&lt;=Inputs!$C$19,1,0)</f>
        <v>1</v>
      </c>
      <c r="N841" s="19" t="n">
        <f aca="false">IF(F841&lt;=Inputs!$C$20,1,0)</f>
        <v>1</v>
      </c>
      <c r="O841" s="19" t="n">
        <f aca="false">IF(J841&lt;=Inputs!$C$21,1,0)</f>
        <v>1</v>
      </c>
      <c r="P841" s="19" t="n">
        <f aca="false">IF(D841&gt;=Inputs!$C$22,1,0)</f>
        <v>1</v>
      </c>
      <c r="Q841" s="19" t="n">
        <f aca="false">IF(I841&lt;=Inputs!$C$23,1,0)</f>
        <v>1</v>
      </c>
      <c r="R841" s="19" t="n">
        <f aca="false">M841*N841*O841*P841*Q841</f>
        <v>1</v>
      </c>
      <c r="S841" s="14" t="n">
        <f aca="false">I841*R841</f>
        <v>39498.75</v>
      </c>
      <c r="T841" s="19" t="n">
        <f aca="false">IF(F841&gt;72,1,0)</f>
        <v>0</v>
      </c>
      <c r="U841" s="19" t="n">
        <f aca="false">IF(J841&gt;1.25,1,0)</f>
        <v>0</v>
      </c>
    </row>
    <row r="842" customFormat="false" ht="15" hidden="false" customHeight="false" outlineLevel="0" collapsed="false">
      <c r="B842" s="13" t="s">
        <v>1062</v>
      </c>
      <c r="C842" s="13" t="s">
        <v>257</v>
      </c>
      <c r="D842" s="19" t="n">
        <v>587</v>
      </c>
      <c r="E842" s="23" t="n">
        <v>0.2205</v>
      </c>
      <c r="F842" s="19" t="n">
        <v>84</v>
      </c>
      <c r="G842" s="19" t="n">
        <v>9</v>
      </c>
      <c r="H842" s="14" t="n">
        <v>16000</v>
      </c>
      <c r="I842" s="14" t="n">
        <v>15212.06</v>
      </c>
      <c r="J842" s="24" t="n">
        <v>1.011</v>
      </c>
      <c r="K842" s="19" t="n">
        <v>0</v>
      </c>
      <c r="L842" s="13" t="str">
        <f aca="false">IF(D842&gt;=Inputs!$C$14,"Near-prime","Non-prime")</f>
        <v>Non-prime</v>
      </c>
      <c r="M842" s="19" t="n">
        <f aca="false">IF(K842&lt;=Inputs!$C$19,1,0)</f>
        <v>1</v>
      </c>
      <c r="N842" s="19" t="n">
        <f aca="false">IF(F842&lt;=Inputs!$C$20,1,0)</f>
        <v>0</v>
      </c>
      <c r="O842" s="19" t="n">
        <f aca="false">IF(J842&lt;=Inputs!$C$21,1,0)</f>
        <v>1</v>
      </c>
      <c r="P842" s="19" t="n">
        <f aca="false">IF(D842&gt;=Inputs!$C$22,1,0)</f>
        <v>1</v>
      </c>
      <c r="Q842" s="19" t="n">
        <f aca="false">IF(I842&lt;=Inputs!$C$23,1,0)</f>
        <v>1</v>
      </c>
      <c r="R842" s="19" t="n">
        <f aca="false">M842*N842*O842*P842*Q842</f>
        <v>0</v>
      </c>
      <c r="S842" s="14" t="n">
        <f aca="false">I842*R842</f>
        <v>0</v>
      </c>
      <c r="T842" s="19" t="n">
        <f aca="false">IF(F842&gt;72,1,0)</f>
        <v>1</v>
      </c>
      <c r="U842" s="19" t="n">
        <f aca="false">IF(J842&gt;1.25,1,0)</f>
        <v>0</v>
      </c>
    </row>
    <row r="843" customFormat="false" ht="15" hidden="false" customHeight="false" outlineLevel="0" collapsed="false">
      <c r="B843" s="13" t="s">
        <v>1063</v>
      </c>
      <c r="C843" s="13" t="s">
        <v>217</v>
      </c>
      <c r="D843" s="19" t="n">
        <v>692</v>
      </c>
      <c r="E843" s="23" t="n">
        <v>0.2117</v>
      </c>
      <c r="F843" s="19" t="n">
        <v>48</v>
      </c>
      <c r="G843" s="19" t="n">
        <v>2</v>
      </c>
      <c r="H843" s="14" t="n">
        <v>20830</v>
      </c>
      <c r="I843" s="14" t="n">
        <v>20266.18</v>
      </c>
      <c r="J843" s="24" t="n">
        <v>1.105</v>
      </c>
      <c r="K843" s="19" t="n">
        <v>0</v>
      </c>
      <c r="L843" s="13" t="str">
        <f aca="false">IF(D843&gt;=Inputs!$C$14,"Near-prime","Non-prime")</f>
        <v>Near-prime</v>
      </c>
      <c r="M843" s="19" t="n">
        <f aca="false">IF(K843&lt;=Inputs!$C$19,1,0)</f>
        <v>1</v>
      </c>
      <c r="N843" s="19" t="n">
        <f aca="false">IF(F843&lt;=Inputs!$C$20,1,0)</f>
        <v>1</v>
      </c>
      <c r="O843" s="19" t="n">
        <f aca="false">IF(J843&lt;=Inputs!$C$21,1,0)</f>
        <v>1</v>
      </c>
      <c r="P843" s="19" t="n">
        <f aca="false">IF(D843&gt;=Inputs!$C$22,1,0)</f>
        <v>1</v>
      </c>
      <c r="Q843" s="19" t="n">
        <f aca="false">IF(I843&lt;=Inputs!$C$23,1,0)</f>
        <v>1</v>
      </c>
      <c r="R843" s="19" t="n">
        <f aca="false">M843*N843*O843*P843*Q843</f>
        <v>1</v>
      </c>
      <c r="S843" s="14" t="n">
        <f aca="false">I843*R843</f>
        <v>20266.18</v>
      </c>
      <c r="T843" s="19" t="n">
        <f aca="false">IF(F843&gt;72,1,0)</f>
        <v>0</v>
      </c>
      <c r="U843" s="19" t="n">
        <f aca="false">IF(J843&gt;1.25,1,0)</f>
        <v>0</v>
      </c>
    </row>
    <row r="844" customFormat="false" ht="15" hidden="false" customHeight="false" outlineLevel="0" collapsed="false">
      <c r="B844" s="13" t="s">
        <v>1064</v>
      </c>
      <c r="C844" s="13" t="s">
        <v>219</v>
      </c>
      <c r="D844" s="19" t="n">
        <v>699</v>
      </c>
      <c r="E844" s="23" t="n">
        <v>0.2124</v>
      </c>
      <c r="F844" s="19" t="n">
        <v>72</v>
      </c>
      <c r="G844" s="19" t="n">
        <v>10</v>
      </c>
      <c r="H844" s="14" t="n">
        <v>16700</v>
      </c>
      <c r="I844" s="14" t="n">
        <v>15437.52</v>
      </c>
      <c r="J844" s="24" t="n">
        <v>1.009</v>
      </c>
      <c r="K844" s="19" t="n">
        <v>0</v>
      </c>
      <c r="L844" s="13" t="str">
        <f aca="false">IF(D844&gt;=Inputs!$C$14,"Near-prime","Non-prime")</f>
        <v>Near-prime</v>
      </c>
      <c r="M844" s="19" t="n">
        <f aca="false">IF(K844&lt;=Inputs!$C$19,1,0)</f>
        <v>1</v>
      </c>
      <c r="N844" s="19" t="n">
        <f aca="false">IF(F844&lt;=Inputs!$C$20,1,0)</f>
        <v>1</v>
      </c>
      <c r="O844" s="19" t="n">
        <f aca="false">IF(J844&lt;=Inputs!$C$21,1,0)</f>
        <v>1</v>
      </c>
      <c r="P844" s="19" t="n">
        <f aca="false">IF(D844&gt;=Inputs!$C$22,1,0)</f>
        <v>1</v>
      </c>
      <c r="Q844" s="19" t="n">
        <f aca="false">IF(I844&lt;=Inputs!$C$23,1,0)</f>
        <v>1</v>
      </c>
      <c r="R844" s="19" t="n">
        <f aca="false">M844*N844*O844*P844*Q844</f>
        <v>1</v>
      </c>
      <c r="S844" s="14" t="n">
        <f aca="false">I844*R844</f>
        <v>15437.52</v>
      </c>
      <c r="T844" s="19" t="n">
        <f aca="false">IF(F844&gt;72,1,0)</f>
        <v>0</v>
      </c>
      <c r="U844" s="19" t="n">
        <f aca="false">IF(J844&gt;1.25,1,0)</f>
        <v>0</v>
      </c>
    </row>
    <row r="845" customFormat="false" ht="15" hidden="false" customHeight="false" outlineLevel="0" collapsed="false">
      <c r="B845" s="13" t="s">
        <v>1065</v>
      </c>
      <c r="C845" s="13" t="s">
        <v>252</v>
      </c>
      <c r="D845" s="19" t="n">
        <v>627</v>
      </c>
      <c r="E845" s="23" t="n">
        <v>0.2133</v>
      </c>
      <c r="F845" s="19" t="n">
        <v>48</v>
      </c>
      <c r="G845" s="19" t="n">
        <v>7</v>
      </c>
      <c r="H845" s="14" t="n">
        <v>24900</v>
      </c>
      <c r="I845" s="14" t="n">
        <v>22441.88</v>
      </c>
      <c r="J845" s="24" t="n">
        <v>1.496</v>
      </c>
      <c r="K845" s="19" t="n">
        <v>0</v>
      </c>
      <c r="L845" s="13" t="str">
        <f aca="false">IF(D845&gt;=Inputs!$C$14,"Near-prime","Non-prime")</f>
        <v>Near-prime</v>
      </c>
      <c r="M845" s="19" t="n">
        <f aca="false">IF(K845&lt;=Inputs!$C$19,1,0)</f>
        <v>1</v>
      </c>
      <c r="N845" s="19" t="n">
        <f aca="false">IF(F845&lt;=Inputs!$C$20,1,0)</f>
        <v>1</v>
      </c>
      <c r="O845" s="19" t="n">
        <f aca="false">IF(J845&lt;=Inputs!$C$21,1,0)</f>
        <v>1</v>
      </c>
      <c r="P845" s="19" t="n">
        <f aca="false">IF(D845&gt;=Inputs!$C$22,1,0)</f>
        <v>1</v>
      </c>
      <c r="Q845" s="19" t="n">
        <f aca="false">IF(I845&lt;=Inputs!$C$23,1,0)</f>
        <v>1</v>
      </c>
      <c r="R845" s="19" t="n">
        <f aca="false">M845*N845*O845*P845*Q845</f>
        <v>1</v>
      </c>
      <c r="S845" s="14" t="n">
        <f aca="false">I845*R845</f>
        <v>22441.88</v>
      </c>
      <c r="T845" s="19" t="n">
        <f aca="false">IF(F845&gt;72,1,0)</f>
        <v>0</v>
      </c>
      <c r="U845" s="19" t="n">
        <f aca="false">IF(J845&gt;1.25,1,0)</f>
        <v>1</v>
      </c>
    </row>
    <row r="846" customFormat="false" ht="15" hidden="false" customHeight="false" outlineLevel="0" collapsed="false">
      <c r="B846" s="13" t="s">
        <v>1066</v>
      </c>
      <c r="C846" s="13" t="s">
        <v>252</v>
      </c>
      <c r="D846" s="19" t="n">
        <v>625</v>
      </c>
      <c r="E846" s="23" t="n">
        <v>0.2174</v>
      </c>
      <c r="F846" s="19" t="n">
        <v>66</v>
      </c>
      <c r="G846" s="19" t="n">
        <v>2</v>
      </c>
      <c r="H846" s="14" t="n">
        <v>16960</v>
      </c>
      <c r="I846" s="14" t="n">
        <v>16686.92</v>
      </c>
      <c r="J846" s="24" t="n">
        <v>1.05</v>
      </c>
      <c r="K846" s="19" t="n">
        <v>0</v>
      </c>
      <c r="L846" s="13" t="str">
        <f aca="false">IF(D846&gt;=Inputs!$C$14,"Near-prime","Non-prime")</f>
        <v>Near-prime</v>
      </c>
      <c r="M846" s="19" t="n">
        <f aca="false">IF(K846&lt;=Inputs!$C$19,1,0)</f>
        <v>1</v>
      </c>
      <c r="N846" s="19" t="n">
        <f aca="false">IF(F846&lt;=Inputs!$C$20,1,0)</f>
        <v>1</v>
      </c>
      <c r="O846" s="19" t="n">
        <f aca="false">IF(J846&lt;=Inputs!$C$21,1,0)</f>
        <v>1</v>
      </c>
      <c r="P846" s="19" t="n">
        <f aca="false">IF(D846&gt;=Inputs!$C$22,1,0)</f>
        <v>1</v>
      </c>
      <c r="Q846" s="19" t="n">
        <f aca="false">IF(I846&lt;=Inputs!$C$23,1,0)</f>
        <v>1</v>
      </c>
      <c r="R846" s="19" t="n">
        <f aca="false">M846*N846*O846*P846*Q846</f>
        <v>1</v>
      </c>
      <c r="S846" s="14" t="n">
        <f aca="false">I846*R846</f>
        <v>16686.92</v>
      </c>
      <c r="T846" s="19" t="n">
        <f aca="false">IF(F846&gt;72,1,0)</f>
        <v>0</v>
      </c>
      <c r="U846" s="19" t="n">
        <f aca="false">IF(J846&gt;1.25,1,0)</f>
        <v>0</v>
      </c>
    </row>
    <row r="847" customFormat="false" ht="15" hidden="false" customHeight="false" outlineLevel="0" collapsed="false">
      <c r="B847" s="13" t="s">
        <v>1067</v>
      </c>
      <c r="C847" s="13" t="s">
        <v>221</v>
      </c>
      <c r="D847" s="19" t="n">
        <v>647</v>
      </c>
      <c r="E847" s="23" t="n">
        <v>0.2208</v>
      </c>
      <c r="F847" s="19" t="n">
        <v>66</v>
      </c>
      <c r="G847" s="19" t="n">
        <v>4</v>
      </c>
      <c r="H847" s="14" t="n">
        <v>28120</v>
      </c>
      <c r="I847" s="14" t="n">
        <v>27207.44</v>
      </c>
      <c r="J847" s="24" t="n">
        <v>0.764</v>
      </c>
      <c r="K847" s="19" t="n">
        <v>0</v>
      </c>
      <c r="L847" s="13" t="str">
        <f aca="false">IF(D847&gt;=Inputs!$C$14,"Near-prime","Non-prime")</f>
        <v>Near-prime</v>
      </c>
      <c r="M847" s="19" t="n">
        <f aca="false">IF(K847&lt;=Inputs!$C$19,1,0)</f>
        <v>1</v>
      </c>
      <c r="N847" s="19" t="n">
        <f aca="false">IF(F847&lt;=Inputs!$C$20,1,0)</f>
        <v>1</v>
      </c>
      <c r="O847" s="19" t="n">
        <f aca="false">IF(J847&lt;=Inputs!$C$21,1,0)</f>
        <v>1</v>
      </c>
      <c r="P847" s="19" t="n">
        <f aca="false">IF(D847&gt;=Inputs!$C$22,1,0)</f>
        <v>1</v>
      </c>
      <c r="Q847" s="19" t="n">
        <f aca="false">IF(I847&lt;=Inputs!$C$23,1,0)</f>
        <v>1</v>
      </c>
      <c r="R847" s="19" t="n">
        <f aca="false">M847*N847*O847*P847*Q847</f>
        <v>1</v>
      </c>
      <c r="S847" s="14" t="n">
        <f aca="false">I847*R847</f>
        <v>27207.44</v>
      </c>
      <c r="T847" s="19" t="n">
        <f aca="false">IF(F847&gt;72,1,0)</f>
        <v>0</v>
      </c>
      <c r="U847" s="19" t="n">
        <f aca="false">IF(J847&gt;1.25,1,0)</f>
        <v>0</v>
      </c>
    </row>
    <row r="848" customFormat="false" ht="15" hidden="false" customHeight="false" outlineLevel="0" collapsed="false">
      <c r="B848" s="13" t="s">
        <v>1068</v>
      </c>
      <c r="C848" s="13" t="s">
        <v>217</v>
      </c>
      <c r="D848" s="19" t="n">
        <v>654</v>
      </c>
      <c r="E848" s="23" t="n">
        <v>0.2012</v>
      </c>
      <c r="F848" s="19" t="n">
        <v>48</v>
      </c>
      <c r="G848" s="19" t="n">
        <v>3</v>
      </c>
      <c r="H848" s="14" t="n">
        <v>23560</v>
      </c>
      <c r="I848" s="14" t="n">
        <v>22573.37</v>
      </c>
      <c r="J848" s="24" t="n">
        <v>1.139</v>
      </c>
      <c r="K848" s="19" t="n">
        <v>45</v>
      </c>
      <c r="L848" s="13" t="str">
        <f aca="false">IF(D848&gt;=Inputs!$C$14,"Near-prime","Non-prime")</f>
        <v>Near-prime</v>
      </c>
      <c r="M848" s="19" t="n">
        <f aca="false">IF(K848&lt;=Inputs!$C$19,1,0)</f>
        <v>1</v>
      </c>
      <c r="N848" s="19" t="n">
        <f aca="false">IF(F848&lt;=Inputs!$C$20,1,0)</f>
        <v>1</v>
      </c>
      <c r="O848" s="19" t="n">
        <f aca="false">IF(J848&lt;=Inputs!$C$21,1,0)</f>
        <v>1</v>
      </c>
      <c r="P848" s="19" t="n">
        <f aca="false">IF(D848&gt;=Inputs!$C$22,1,0)</f>
        <v>1</v>
      </c>
      <c r="Q848" s="19" t="n">
        <f aca="false">IF(I848&lt;=Inputs!$C$23,1,0)</f>
        <v>1</v>
      </c>
      <c r="R848" s="19" t="n">
        <f aca="false">M848*N848*O848*P848*Q848</f>
        <v>1</v>
      </c>
      <c r="S848" s="14" t="n">
        <f aca="false">I848*R848</f>
        <v>22573.37</v>
      </c>
      <c r="T848" s="19" t="n">
        <f aca="false">IF(F848&gt;72,1,0)</f>
        <v>0</v>
      </c>
      <c r="U848" s="19" t="n">
        <f aca="false">IF(J848&gt;1.25,1,0)</f>
        <v>0</v>
      </c>
    </row>
    <row r="849" customFormat="false" ht="15" hidden="false" customHeight="false" outlineLevel="0" collapsed="false">
      <c r="B849" s="13" t="s">
        <v>1069</v>
      </c>
      <c r="C849" s="13" t="s">
        <v>217</v>
      </c>
      <c r="D849" s="19" t="n">
        <v>637</v>
      </c>
      <c r="E849" s="23" t="n">
        <v>0.2203</v>
      </c>
      <c r="F849" s="19" t="n">
        <v>75</v>
      </c>
      <c r="G849" s="19" t="n">
        <v>5</v>
      </c>
      <c r="H849" s="14" t="n">
        <v>25700</v>
      </c>
      <c r="I849" s="14" t="n">
        <v>24859.98</v>
      </c>
      <c r="J849" s="24" t="n">
        <v>1.33</v>
      </c>
      <c r="K849" s="19" t="n">
        <v>45</v>
      </c>
      <c r="L849" s="13" t="str">
        <f aca="false">IF(D849&gt;=Inputs!$C$14,"Near-prime","Non-prime")</f>
        <v>Near-prime</v>
      </c>
      <c r="M849" s="19" t="n">
        <f aca="false">IF(K849&lt;=Inputs!$C$19,1,0)</f>
        <v>1</v>
      </c>
      <c r="N849" s="19" t="n">
        <f aca="false">IF(F849&lt;=Inputs!$C$20,1,0)</f>
        <v>1</v>
      </c>
      <c r="O849" s="19" t="n">
        <f aca="false">IF(J849&lt;=Inputs!$C$21,1,0)</f>
        <v>1</v>
      </c>
      <c r="P849" s="19" t="n">
        <f aca="false">IF(D849&gt;=Inputs!$C$22,1,0)</f>
        <v>1</v>
      </c>
      <c r="Q849" s="19" t="n">
        <f aca="false">IF(I849&lt;=Inputs!$C$23,1,0)</f>
        <v>1</v>
      </c>
      <c r="R849" s="19" t="n">
        <f aca="false">M849*N849*O849*P849*Q849</f>
        <v>1</v>
      </c>
      <c r="S849" s="14" t="n">
        <f aca="false">I849*R849</f>
        <v>24859.98</v>
      </c>
      <c r="T849" s="19" t="n">
        <f aca="false">IF(F849&gt;72,1,0)</f>
        <v>1</v>
      </c>
      <c r="U849" s="19" t="n">
        <f aca="false">IF(J849&gt;1.25,1,0)</f>
        <v>1</v>
      </c>
    </row>
    <row r="850" customFormat="false" ht="15" hidden="false" customHeight="false" outlineLevel="0" collapsed="false">
      <c r="B850" s="13" t="s">
        <v>1070</v>
      </c>
      <c r="C850" s="13" t="s">
        <v>219</v>
      </c>
      <c r="D850" s="19" t="n">
        <v>707</v>
      </c>
      <c r="E850" s="23" t="n">
        <v>0.1714</v>
      </c>
      <c r="F850" s="19" t="n">
        <v>66</v>
      </c>
      <c r="G850" s="19" t="n">
        <v>9</v>
      </c>
      <c r="H850" s="14" t="n">
        <v>26170</v>
      </c>
      <c r="I850" s="14" t="n">
        <v>23871.12</v>
      </c>
      <c r="J850" s="24" t="n">
        <v>0.914</v>
      </c>
      <c r="K850" s="19" t="n">
        <v>0</v>
      </c>
      <c r="L850" s="13" t="str">
        <f aca="false">IF(D850&gt;=Inputs!$C$14,"Near-prime","Non-prime")</f>
        <v>Near-prime</v>
      </c>
      <c r="M850" s="19" t="n">
        <f aca="false">IF(K850&lt;=Inputs!$C$19,1,0)</f>
        <v>1</v>
      </c>
      <c r="N850" s="19" t="n">
        <f aca="false">IF(F850&lt;=Inputs!$C$20,1,0)</f>
        <v>1</v>
      </c>
      <c r="O850" s="19" t="n">
        <f aca="false">IF(J850&lt;=Inputs!$C$21,1,0)</f>
        <v>1</v>
      </c>
      <c r="P850" s="19" t="n">
        <f aca="false">IF(D850&gt;=Inputs!$C$22,1,0)</f>
        <v>1</v>
      </c>
      <c r="Q850" s="19" t="n">
        <f aca="false">IF(I850&lt;=Inputs!$C$23,1,0)</f>
        <v>1</v>
      </c>
      <c r="R850" s="19" t="n">
        <f aca="false">M850*N850*O850*P850*Q850</f>
        <v>1</v>
      </c>
      <c r="S850" s="14" t="n">
        <f aca="false">I850*R850</f>
        <v>23871.12</v>
      </c>
      <c r="T850" s="19" t="n">
        <f aca="false">IF(F850&gt;72,1,0)</f>
        <v>0</v>
      </c>
      <c r="U850" s="19" t="n">
        <f aca="false">IF(J850&gt;1.25,1,0)</f>
        <v>0</v>
      </c>
    </row>
    <row r="851" customFormat="false" ht="15" hidden="false" customHeight="false" outlineLevel="0" collapsed="false">
      <c r="B851" s="13" t="s">
        <v>1071</v>
      </c>
      <c r="C851" s="13" t="s">
        <v>228</v>
      </c>
      <c r="D851" s="19" t="n">
        <v>566</v>
      </c>
      <c r="E851" s="23" t="n">
        <v>0.2321</v>
      </c>
      <c r="F851" s="19" t="n">
        <v>66</v>
      </c>
      <c r="G851" s="19" t="n">
        <v>3</v>
      </c>
      <c r="H851" s="14" t="n">
        <v>21200</v>
      </c>
      <c r="I851" s="14" t="n">
        <v>20706.43</v>
      </c>
      <c r="J851" s="24" t="n">
        <v>1.264</v>
      </c>
      <c r="K851" s="19" t="n">
        <v>0</v>
      </c>
      <c r="L851" s="13" t="str">
        <f aca="false">IF(D851&gt;=Inputs!$C$14,"Near-prime","Non-prime")</f>
        <v>Non-prime</v>
      </c>
      <c r="M851" s="19" t="n">
        <f aca="false">IF(K851&lt;=Inputs!$C$19,1,0)</f>
        <v>1</v>
      </c>
      <c r="N851" s="19" t="n">
        <f aca="false">IF(F851&lt;=Inputs!$C$20,1,0)</f>
        <v>1</v>
      </c>
      <c r="O851" s="19" t="n">
        <f aca="false">IF(J851&lt;=Inputs!$C$21,1,0)</f>
        <v>1</v>
      </c>
      <c r="P851" s="19" t="n">
        <f aca="false">IF(D851&gt;=Inputs!$C$22,1,0)</f>
        <v>1</v>
      </c>
      <c r="Q851" s="19" t="n">
        <f aca="false">IF(I851&lt;=Inputs!$C$23,1,0)</f>
        <v>1</v>
      </c>
      <c r="R851" s="19" t="n">
        <f aca="false">M851*N851*O851*P851*Q851</f>
        <v>1</v>
      </c>
      <c r="S851" s="14" t="n">
        <f aca="false">I851*R851</f>
        <v>20706.43</v>
      </c>
      <c r="T851" s="19" t="n">
        <f aca="false">IF(F851&gt;72,1,0)</f>
        <v>0</v>
      </c>
      <c r="U851" s="19" t="n">
        <f aca="false">IF(J851&gt;1.25,1,0)</f>
        <v>1</v>
      </c>
    </row>
    <row r="852" customFormat="false" ht="15" hidden="false" customHeight="false" outlineLevel="0" collapsed="false">
      <c r="B852" s="13" t="s">
        <v>1072</v>
      </c>
      <c r="C852" s="13" t="s">
        <v>221</v>
      </c>
      <c r="D852" s="19" t="n">
        <v>622</v>
      </c>
      <c r="E852" s="23" t="n">
        <v>0.2094</v>
      </c>
      <c r="F852" s="19" t="n">
        <v>72</v>
      </c>
      <c r="G852" s="19" t="n">
        <v>3</v>
      </c>
      <c r="H852" s="14" t="n">
        <v>34170</v>
      </c>
      <c r="I852" s="14" t="n">
        <v>33434.54</v>
      </c>
      <c r="J852" s="24" t="n">
        <v>0.733</v>
      </c>
      <c r="K852" s="19" t="n">
        <v>0</v>
      </c>
      <c r="L852" s="13" t="str">
        <f aca="false">IF(D852&gt;=Inputs!$C$14,"Near-prime","Non-prime")</f>
        <v>Near-prime</v>
      </c>
      <c r="M852" s="19" t="n">
        <f aca="false">IF(K852&lt;=Inputs!$C$19,1,0)</f>
        <v>1</v>
      </c>
      <c r="N852" s="19" t="n">
        <f aca="false">IF(F852&lt;=Inputs!$C$20,1,0)</f>
        <v>1</v>
      </c>
      <c r="O852" s="19" t="n">
        <f aca="false">IF(J852&lt;=Inputs!$C$21,1,0)</f>
        <v>1</v>
      </c>
      <c r="P852" s="19" t="n">
        <f aca="false">IF(D852&gt;=Inputs!$C$22,1,0)</f>
        <v>1</v>
      </c>
      <c r="Q852" s="19" t="n">
        <f aca="false">IF(I852&lt;=Inputs!$C$23,1,0)</f>
        <v>1</v>
      </c>
      <c r="R852" s="19" t="n">
        <f aca="false">M852*N852*O852*P852*Q852</f>
        <v>1</v>
      </c>
      <c r="S852" s="14" t="n">
        <f aca="false">I852*R852</f>
        <v>33434.54</v>
      </c>
      <c r="T852" s="19" t="n">
        <f aca="false">IF(F852&gt;72,1,0)</f>
        <v>0</v>
      </c>
      <c r="U852" s="19" t="n">
        <f aca="false">IF(J852&gt;1.25,1,0)</f>
        <v>0</v>
      </c>
    </row>
    <row r="853" customFormat="false" ht="15" hidden="false" customHeight="false" outlineLevel="0" collapsed="false">
      <c r="B853" s="13" t="s">
        <v>1073</v>
      </c>
      <c r="C853" s="13" t="s">
        <v>223</v>
      </c>
      <c r="D853" s="19" t="n">
        <v>682</v>
      </c>
      <c r="E853" s="23" t="n">
        <v>0.2014</v>
      </c>
      <c r="F853" s="19" t="n">
        <v>72</v>
      </c>
      <c r="G853" s="19" t="n">
        <v>8</v>
      </c>
      <c r="H853" s="14" t="n">
        <v>49110</v>
      </c>
      <c r="I853" s="14" t="n">
        <v>46088.27</v>
      </c>
      <c r="J853" s="24" t="n">
        <v>1.327</v>
      </c>
      <c r="K853" s="19" t="n">
        <v>0</v>
      </c>
      <c r="L853" s="13" t="str">
        <f aca="false">IF(D853&gt;=Inputs!$C$14,"Near-prime","Non-prime")</f>
        <v>Near-prime</v>
      </c>
      <c r="M853" s="19" t="n">
        <f aca="false">IF(K853&lt;=Inputs!$C$19,1,0)</f>
        <v>1</v>
      </c>
      <c r="N853" s="19" t="n">
        <f aca="false">IF(F853&lt;=Inputs!$C$20,1,0)</f>
        <v>1</v>
      </c>
      <c r="O853" s="19" t="n">
        <f aca="false">IF(J853&lt;=Inputs!$C$21,1,0)</f>
        <v>1</v>
      </c>
      <c r="P853" s="19" t="n">
        <f aca="false">IF(D853&gt;=Inputs!$C$22,1,0)</f>
        <v>1</v>
      </c>
      <c r="Q853" s="19" t="n">
        <f aca="false">IF(I853&lt;=Inputs!$C$23,1,0)</f>
        <v>1</v>
      </c>
      <c r="R853" s="19" t="n">
        <f aca="false">M853*N853*O853*P853*Q853</f>
        <v>1</v>
      </c>
      <c r="S853" s="14" t="n">
        <f aca="false">I853*R853</f>
        <v>46088.27</v>
      </c>
      <c r="T853" s="19" t="n">
        <f aca="false">IF(F853&gt;72,1,0)</f>
        <v>0</v>
      </c>
      <c r="U853" s="19" t="n">
        <f aca="false">IF(J853&gt;1.25,1,0)</f>
        <v>1</v>
      </c>
    </row>
    <row r="854" customFormat="false" ht="15" hidden="false" customHeight="false" outlineLevel="0" collapsed="false">
      <c r="B854" s="13" t="s">
        <v>1074</v>
      </c>
      <c r="C854" s="13" t="s">
        <v>257</v>
      </c>
      <c r="D854" s="19" t="n">
        <v>633</v>
      </c>
      <c r="E854" s="23" t="n">
        <v>0.1977</v>
      </c>
      <c r="F854" s="19" t="n">
        <v>75</v>
      </c>
      <c r="G854" s="19" t="n">
        <v>1</v>
      </c>
      <c r="H854" s="14" t="n">
        <v>28400</v>
      </c>
      <c r="I854" s="14" t="n">
        <v>28205.54</v>
      </c>
      <c r="J854" s="24" t="n">
        <v>0.9</v>
      </c>
      <c r="K854" s="19" t="n">
        <v>0</v>
      </c>
      <c r="L854" s="13" t="str">
        <f aca="false">IF(D854&gt;=Inputs!$C$14,"Near-prime","Non-prime")</f>
        <v>Near-prime</v>
      </c>
      <c r="M854" s="19" t="n">
        <f aca="false">IF(K854&lt;=Inputs!$C$19,1,0)</f>
        <v>1</v>
      </c>
      <c r="N854" s="19" t="n">
        <f aca="false">IF(F854&lt;=Inputs!$C$20,1,0)</f>
        <v>1</v>
      </c>
      <c r="O854" s="19" t="n">
        <f aca="false">IF(J854&lt;=Inputs!$C$21,1,0)</f>
        <v>1</v>
      </c>
      <c r="P854" s="19" t="n">
        <f aca="false">IF(D854&gt;=Inputs!$C$22,1,0)</f>
        <v>1</v>
      </c>
      <c r="Q854" s="19" t="n">
        <f aca="false">IF(I854&lt;=Inputs!$C$23,1,0)</f>
        <v>1</v>
      </c>
      <c r="R854" s="19" t="n">
        <f aca="false">M854*N854*O854*P854*Q854</f>
        <v>1</v>
      </c>
      <c r="S854" s="14" t="n">
        <f aca="false">I854*R854</f>
        <v>28205.54</v>
      </c>
      <c r="T854" s="19" t="n">
        <f aca="false">IF(F854&gt;72,1,0)</f>
        <v>1</v>
      </c>
      <c r="U854" s="19" t="n">
        <f aca="false">IF(J854&gt;1.25,1,0)</f>
        <v>0</v>
      </c>
    </row>
    <row r="855" customFormat="false" ht="15" hidden="false" customHeight="false" outlineLevel="0" collapsed="false">
      <c r="B855" s="13" t="s">
        <v>1075</v>
      </c>
      <c r="C855" s="13" t="s">
        <v>217</v>
      </c>
      <c r="D855" s="19" t="n">
        <v>635</v>
      </c>
      <c r="E855" s="23" t="n">
        <v>0.1997</v>
      </c>
      <c r="F855" s="19" t="n">
        <v>48</v>
      </c>
      <c r="G855" s="19" t="n">
        <v>10</v>
      </c>
      <c r="H855" s="14" t="n">
        <v>25160</v>
      </c>
      <c r="I855" s="14" t="n">
        <v>21423.43</v>
      </c>
      <c r="J855" s="24" t="n">
        <v>1.22</v>
      </c>
      <c r="K855" s="19" t="n">
        <v>0</v>
      </c>
      <c r="L855" s="13" t="str">
        <f aca="false">IF(D855&gt;=Inputs!$C$14,"Near-prime","Non-prime")</f>
        <v>Near-prime</v>
      </c>
      <c r="M855" s="19" t="n">
        <f aca="false">IF(K855&lt;=Inputs!$C$19,1,0)</f>
        <v>1</v>
      </c>
      <c r="N855" s="19" t="n">
        <f aca="false">IF(F855&lt;=Inputs!$C$20,1,0)</f>
        <v>1</v>
      </c>
      <c r="O855" s="19" t="n">
        <f aca="false">IF(J855&lt;=Inputs!$C$21,1,0)</f>
        <v>1</v>
      </c>
      <c r="P855" s="19" t="n">
        <f aca="false">IF(D855&gt;=Inputs!$C$22,1,0)</f>
        <v>1</v>
      </c>
      <c r="Q855" s="19" t="n">
        <f aca="false">IF(I855&lt;=Inputs!$C$23,1,0)</f>
        <v>1</v>
      </c>
      <c r="R855" s="19" t="n">
        <f aca="false">M855*N855*O855*P855*Q855</f>
        <v>1</v>
      </c>
      <c r="S855" s="14" t="n">
        <f aca="false">I855*R855</f>
        <v>21423.43</v>
      </c>
      <c r="T855" s="19" t="n">
        <f aca="false">IF(F855&gt;72,1,0)</f>
        <v>0</v>
      </c>
      <c r="U855" s="19" t="n">
        <f aca="false">IF(J855&gt;1.25,1,0)</f>
        <v>0</v>
      </c>
    </row>
    <row r="856" customFormat="false" ht="15" hidden="false" customHeight="false" outlineLevel="0" collapsed="false">
      <c r="B856" s="13" t="s">
        <v>1076</v>
      </c>
      <c r="C856" s="13" t="s">
        <v>252</v>
      </c>
      <c r="D856" s="19" t="n">
        <v>632</v>
      </c>
      <c r="E856" s="23" t="n">
        <v>0.2029</v>
      </c>
      <c r="F856" s="19" t="n">
        <v>48</v>
      </c>
      <c r="G856" s="19" t="n">
        <v>8</v>
      </c>
      <c r="H856" s="14" t="n">
        <v>28670</v>
      </c>
      <c r="I856" s="14" t="n">
        <v>25341.05</v>
      </c>
      <c r="J856" s="24" t="n">
        <v>1.203</v>
      </c>
      <c r="K856" s="19" t="n">
        <v>0</v>
      </c>
      <c r="L856" s="13" t="str">
        <f aca="false">IF(D856&gt;=Inputs!$C$14,"Near-prime","Non-prime")</f>
        <v>Near-prime</v>
      </c>
      <c r="M856" s="19" t="n">
        <f aca="false">IF(K856&lt;=Inputs!$C$19,1,0)</f>
        <v>1</v>
      </c>
      <c r="N856" s="19" t="n">
        <f aca="false">IF(F856&lt;=Inputs!$C$20,1,0)</f>
        <v>1</v>
      </c>
      <c r="O856" s="19" t="n">
        <f aca="false">IF(J856&lt;=Inputs!$C$21,1,0)</f>
        <v>1</v>
      </c>
      <c r="P856" s="19" t="n">
        <f aca="false">IF(D856&gt;=Inputs!$C$22,1,0)</f>
        <v>1</v>
      </c>
      <c r="Q856" s="19" t="n">
        <f aca="false">IF(I856&lt;=Inputs!$C$23,1,0)</f>
        <v>1</v>
      </c>
      <c r="R856" s="19" t="n">
        <f aca="false">M856*N856*O856*P856*Q856</f>
        <v>1</v>
      </c>
      <c r="S856" s="14" t="n">
        <f aca="false">I856*R856</f>
        <v>25341.05</v>
      </c>
      <c r="T856" s="19" t="n">
        <f aca="false">IF(F856&gt;72,1,0)</f>
        <v>0</v>
      </c>
      <c r="U856" s="19" t="n">
        <f aca="false">IF(J856&gt;1.25,1,0)</f>
        <v>0</v>
      </c>
    </row>
    <row r="857" customFormat="false" ht="15" hidden="false" customHeight="false" outlineLevel="0" collapsed="false">
      <c r="B857" s="13" t="s">
        <v>1077</v>
      </c>
      <c r="C857" s="13" t="s">
        <v>233</v>
      </c>
      <c r="D857" s="19" t="n">
        <v>697</v>
      </c>
      <c r="E857" s="23" t="n">
        <v>0.1958</v>
      </c>
      <c r="F857" s="19" t="n">
        <v>60</v>
      </c>
      <c r="G857" s="19" t="n">
        <v>4</v>
      </c>
      <c r="H857" s="14" t="n">
        <v>19240</v>
      </c>
      <c r="I857" s="14" t="n">
        <v>18455.77</v>
      </c>
      <c r="J857" s="24" t="n">
        <v>1.268</v>
      </c>
      <c r="K857" s="19" t="n">
        <v>0</v>
      </c>
      <c r="L857" s="13" t="str">
        <f aca="false">IF(D857&gt;=Inputs!$C$14,"Near-prime","Non-prime")</f>
        <v>Near-prime</v>
      </c>
      <c r="M857" s="19" t="n">
        <f aca="false">IF(K857&lt;=Inputs!$C$19,1,0)</f>
        <v>1</v>
      </c>
      <c r="N857" s="19" t="n">
        <f aca="false">IF(F857&lt;=Inputs!$C$20,1,0)</f>
        <v>1</v>
      </c>
      <c r="O857" s="19" t="n">
        <f aca="false">IF(J857&lt;=Inputs!$C$21,1,0)</f>
        <v>1</v>
      </c>
      <c r="P857" s="19" t="n">
        <f aca="false">IF(D857&gt;=Inputs!$C$22,1,0)</f>
        <v>1</v>
      </c>
      <c r="Q857" s="19" t="n">
        <f aca="false">IF(I857&lt;=Inputs!$C$23,1,0)</f>
        <v>1</v>
      </c>
      <c r="R857" s="19" t="n">
        <f aca="false">M857*N857*O857*P857*Q857</f>
        <v>1</v>
      </c>
      <c r="S857" s="14" t="n">
        <f aca="false">I857*R857</f>
        <v>18455.77</v>
      </c>
      <c r="T857" s="19" t="n">
        <f aca="false">IF(F857&gt;72,1,0)</f>
        <v>0</v>
      </c>
      <c r="U857" s="19" t="n">
        <f aca="false">IF(J857&gt;1.25,1,0)</f>
        <v>1</v>
      </c>
    </row>
    <row r="858" customFormat="false" ht="15" hidden="false" customHeight="false" outlineLevel="0" collapsed="false">
      <c r="B858" s="13" t="s">
        <v>1078</v>
      </c>
      <c r="C858" s="13" t="s">
        <v>221</v>
      </c>
      <c r="D858" s="19" t="n">
        <v>684</v>
      </c>
      <c r="E858" s="23" t="n">
        <v>0.1888</v>
      </c>
      <c r="F858" s="19" t="n">
        <v>72</v>
      </c>
      <c r="G858" s="19" t="n">
        <v>0</v>
      </c>
      <c r="H858" s="14" t="n">
        <v>17690</v>
      </c>
      <c r="I858" s="14" t="n">
        <v>17690</v>
      </c>
      <c r="J858" s="24" t="n">
        <v>1.308</v>
      </c>
      <c r="K858" s="19" t="n">
        <v>75</v>
      </c>
      <c r="L858" s="13" t="str">
        <f aca="false">IF(D858&gt;=Inputs!$C$14,"Near-prime","Non-prime")</f>
        <v>Near-prime</v>
      </c>
      <c r="M858" s="19" t="n">
        <f aca="false">IF(K858&lt;=Inputs!$C$19,1,0)</f>
        <v>0</v>
      </c>
      <c r="N858" s="19" t="n">
        <f aca="false">IF(F858&lt;=Inputs!$C$20,1,0)</f>
        <v>1</v>
      </c>
      <c r="O858" s="19" t="n">
        <f aca="false">IF(J858&lt;=Inputs!$C$21,1,0)</f>
        <v>1</v>
      </c>
      <c r="P858" s="19" t="n">
        <f aca="false">IF(D858&gt;=Inputs!$C$22,1,0)</f>
        <v>1</v>
      </c>
      <c r="Q858" s="19" t="n">
        <f aca="false">IF(I858&lt;=Inputs!$C$23,1,0)</f>
        <v>1</v>
      </c>
      <c r="R858" s="19" t="n">
        <f aca="false">M858*N858*O858*P858*Q858</f>
        <v>0</v>
      </c>
      <c r="S858" s="14" t="n">
        <f aca="false">I858*R858</f>
        <v>0</v>
      </c>
      <c r="T858" s="19" t="n">
        <f aca="false">IF(F858&gt;72,1,0)</f>
        <v>0</v>
      </c>
      <c r="U858" s="19" t="n">
        <f aca="false">IF(J858&gt;1.25,1,0)</f>
        <v>1</v>
      </c>
    </row>
    <row r="859" customFormat="false" ht="15" hidden="false" customHeight="false" outlineLevel="0" collapsed="false">
      <c r="B859" s="13" t="s">
        <v>1079</v>
      </c>
      <c r="C859" s="13" t="s">
        <v>223</v>
      </c>
      <c r="D859" s="19" t="n">
        <v>579</v>
      </c>
      <c r="E859" s="23" t="n">
        <v>0.2038</v>
      </c>
      <c r="F859" s="19" t="n">
        <v>72</v>
      </c>
      <c r="G859" s="19" t="n">
        <v>8</v>
      </c>
      <c r="H859" s="14" t="n">
        <v>18860</v>
      </c>
      <c r="I859" s="14" t="n">
        <v>17708.41</v>
      </c>
      <c r="J859" s="24" t="n">
        <v>1.211</v>
      </c>
      <c r="K859" s="19" t="n">
        <v>0</v>
      </c>
      <c r="L859" s="13" t="str">
        <f aca="false">IF(D859&gt;=Inputs!$C$14,"Near-prime","Non-prime")</f>
        <v>Non-prime</v>
      </c>
      <c r="M859" s="19" t="n">
        <f aca="false">IF(K859&lt;=Inputs!$C$19,1,0)</f>
        <v>1</v>
      </c>
      <c r="N859" s="19" t="n">
        <f aca="false">IF(F859&lt;=Inputs!$C$20,1,0)</f>
        <v>1</v>
      </c>
      <c r="O859" s="19" t="n">
        <f aca="false">IF(J859&lt;=Inputs!$C$21,1,0)</f>
        <v>1</v>
      </c>
      <c r="P859" s="19" t="n">
        <f aca="false">IF(D859&gt;=Inputs!$C$22,1,0)</f>
        <v>1</v>
      </c>
      <c r="Q859" s="19" t="n">
        <f aca="false">IF(I859&lt;=Inputs!$C$23,1,0)</f>
        <v>1</v>
      </c>
      <c r="R859" s="19" t="n">
        <f aca="false">M859*N859*O859*P859*Q859</f>
        <v>1</v>
      </c>
      <c r="S859" s="14" t="n">
        <f aca="false">I859*R859</f>
        <v>17708.41</v>
      </c>
      <c r="T859" s="19" t="n">
        <f aca="false">IF(F859&gt;72,1,0)</f>
        <v>0</v>
      </c>
      <c r="U859" s="19" t="n">
        <f aca="false">IF(J859&gt;1.25,1,0)</f>
        <v>0</v>
      </c>
    </row>
    <row r="860" customFormat="false" ht="15" hidden="false" customHeight="false" outlineLevel="0" collapsed="false">
      <c r="B860" s="13" t="s">
        <v>1080</v>
      </c>
      <c r="C860" s="13" t="s">
        <v>223</v>
      </c>
      <c r="D860" s="19" t="n">
        <v>589</v>
      </c>
      <c r="E860" s="23" t="n">
        <v>0.2442</v>
      </c>
      <c r="F860" s="19" t="n">
        <v>60</v>
      </c>
      <c r="G860" s="19" t="n">
        <v>0</v>
      </c>
      <c r="H860" s="14" t="n">
        <v>27920</v>
      </c>
      <c r="I860" s="14" t="n">
        <v>27920</v>
      </c>
      <c r="J860" s="24" t="n">
        <v>0.926</v>
      </c>
      <c r="K860" s="19" t="n">
        <v>0</v>
      </c>
      <c r="L860" s="13" t="str">
        <f aca="false">IF(D860&gt;=Inputs!$C$14,"Near-prime","Non-prime")</f>
        <v>Non-prime</v>
      </c>
      <c r="M860" s="19" t="n">
        <f aca="false">IF(K860&lt;=Inputs!$C$19,1,0)</f>
        <v>1</v>
      </c>
      <c r="N860" s="19" t="n">
        <f aca="false">IF(F860&lt;=Inputs!$C$20,1,0)</f>
        <v>1</v>
      </c>
      <c r="O860" s="19" t="n">
        <f aca="false">IF(J860&lt;=Inputs!$C$21,1,0)</f>
        <v>1</v>
      </c>
      <c r="P860" s="19" t="n">
        <f aca="false">IF(D860&gt;=Inputs!$C$22,1,0)</f>
        <v>1</v>
      </c>
      <c r="Q860" s="19" t="n">
        <f aca="false">IF(I860&lt;=Inputs!$C$23,1,0)</f>
        <v>1</v>
      </c>
      <c r="R860" s="19" t="n">
        <f aca="false">M860*N860*O860*P860*Q860</f>
        <v>1</v>
      </c>
      <c r="S860" s="14" t="n">
        <f aca="false">I860*R860</f>
        <v>27920</v>
      </c>
      <c r="T860" s="19" t="n">
        <f aca="false">IF(F860&gt;72,1,0)</f>
        <v>0</v>
      </c>
      <c r="U860" s="19" t="n">
        <f aca="false">IF(J860&gt;1.25,1,0)</f>
        <v>0</v>
      </c>
    </row>
    <row r="861" customFormat="false" ht="15" hidden="false" customHeight="false" outlineLevel="0" collapsed="false">
      <c r="B861" s="13" t="s">
        <v>1081</v>
      </c>
      <c r="C861" s="13" t="s">
        <v>252</v>
      </c>
      <c r="D861" s="19" t="n">
        <v>626</v>
      </c>
      <c r="E861" s="23" t="n">
        <v>0.2191</v>
      </c>
      <c r="F861" s="19" t="n">
        <v>48</v>
      </c>
      <c r="G861" s="19" t="n">
        <v>3</v>
      </c>
      <c r="H861" s="14" t="n">
        <v>26470</v>
      </c>
      <c r="I861" s="14" t="n">
        <v>25402.62</v>
      </c>
      <c r="J861" s="24" t="n">
        <v>0.994</v>
      </c>
      <c r="K861" s="19" t="n">
        <v>0</v>
      </c>
      <c r="L861" s="13" t="str">
        <f aca="false">IF(D861&gt;=Inputs!$C$14,"Near-prime","Non-prime")</f>
        <v>Near-prime</v>
      </c>
      <c r="M861" s="19" t="n">
        <f aca="false">IF(K861&lt;=Inputs!$C$19,1,0)</f>
        <v>1</v>
      </c>
      <c r="N861" s="19" t="n">
        <f aca="false">IF(F861&lt;=Inputs!$C$20,1,0)</f>
        <v>1</v>
      </c>
      <c r="O861" s="19" t="n">
        <f aca="false">IF(J861&lt;=Inputs!$C$21,1,0)</f>
        <v>1</v>
      </c>
      <c r="P861" s="19" t="n">
        <f aca="false">IF(D861&gt;=Inputs!$C$22,1,0)</f>
        <v>1</v>
      </c>
      <c r="Q861" s="19" t="n">
        <f aca="false">IF(I861&lt;=Inputs!$C$23,1,0)</f>
        <v>1</v>
      </c>
      <c r="R861" s="19" t="n">
        <f aca="false">M861*N861*O861*P861*Q861</f>
        <v>1</v>
      </c>
      <c r="S861" s="14" t="n">
        <f aca="false">I861*R861</f>
        <v>25402.62</v>
      </c>
      <c r="T861" s="19" t="n">
        <f aca="false">IF(F861&gt;72,1,0)</f>
        <v>0</v>
      </c>
      <c r="U861" s="19" t="n">
        <f aca="false">IF(J861&gt;1.25,1,0)</f>
        <v>0</v>
      </c>
    </row>
    <row r="862" customFormat="false" ht="15" hidden="false" customHeight="false" outlineLevel="0" collapsed="false">
      <c r="B862" s="13" t="s">
        <v>1082</v>
      </c>
      <c r="C862" s="13" t="s">
        <v>257</v>
      </c>
      <c r="D862" s="19" t="n">
        <v>641</v>
      </c>
      <c r="E862" s="23" t="n">
        <v>0.197</v>
      </c>
      <c r="F862" s="19" t="n">
        <v>66</v>
      </c>
      <c r="G862" s="19" t="n">
        <v>6</v>
      </c>
      <c r="H862" s="14" t="n">
        <v>40990</v>
      </c>
      <c r="I862" s="14" t="n">
        <v>38809.27</v>
      </c>
      <c r="J862" s="24" t="n">
        <v>0.979</v>
      </c>
      <c r="K862" s="19" t="n">
        <v>30</v>
      </c>
      <c r="L862" s="13" t="str">
        <f aca="false">IF(D862&gt;=Inputs!$C$14,"Near-prime","Non-prime")</f>
        <v>Near-prime</v>
      </c>
      <c r="M862" s="19" t="n">
        <f aca="false">IF(K862&lt;=Inputs!$C$19,1,0)</f>
        <v>1</v>
      </c>
      <c r="N862" s="19" t="n">
        <f aca="false">IF(F862&lt;=Inputs!$C$20,1,0)</f>
        <v>1</v>
      </c>
      <c r="O862" s="19" t="n">
        <f aca="false">IF(J862&lt;=Inputs!$C$21,1,0)</f>
        <v>1</v>
      </c>
      <c r="P862" s="19" t="n">
        <f aca="false">IF(D862&gt;=Inputs!$C$22,1,0)</f>
        <v>1</v>
      </c>
      <c r="Q862" s="19" t="n">
        <f aca="false">IF(I862&lt;=Inputs!$C$23,1,0)</f>
        <v>1</v>
      </c>
      <c r="R862" s="19" t="n">
        <f aca="false">M862*N862*O862*P862*Q862</f>
        <v>1</v>
      </c>
      <c r="S862" s="14" t="n">
        <f aca="false">I862*R862</f>
        <v>38809.27</v>
      </c>
      <c r="T862" s="19" t="n">
        <f aca="false">IF(F862&gt;72,1,0)</f>
        <v>0</v>
      </c>
      <c r="U862" s="19" t="n">
        <f aca="false">IF(J862&gt;1.25,1,0)</f>
        <v>0</v>
      </c>
    </row>
    <row r="863" customFormat="false" ht="15" hidden="false" customHeight="false" outlineLevel="0" collapsed="false">
      <c r="B863" s="13" t="s">
        <v>1083</v>
      </c>
      <c r="C863" s="13" t="s">
        <v>237</v>
      </c>
      <c r="D863" s="19" t="n">
        <v>695</v>
      </c>
      <c r="E863" s="23" t="n">
        <v>0.1919</v>
      </c>
      <c r="F863" s="19" t="n">
        <v>75</v>
      </c>
      <c r="G863" s="19" t="n">
        <v>2</v>
      </c>
      <c r="H863" s="14" t="n">
        <v>14540</v>
      </c>
      <c r="I863" s="14" t="n">
        <v>14335.01</v>
      </c>
      <c r="J863" s="24" t="n">
        <v>1.124</v>
      </c>
      <c r="K863" s="19" t="n">
        <v>0</v>
      </c>
      <c r="L863" s="13" t="str">
        <f aca="false">IF(D863&gt;=Inputs!$C$14,"Near-prime","Non-prime")</f>
        <v>Near-prime</v>
      </c>
      <c r="M863" s="19" t="n">
        <f aca="false">IF(K863&lt;=Inputs!$C$19,1,0)</f>
        <v>1</v>
      </c>
      <c r="N863" s="19" t="n">
        <f aca="false">IF(F863&lt;=Inputs!$C$20,1,0)</f>
        <v>1</v>
      </c>
      <c r="O863" s="19" t="n">
        <f aca="false">IF(J863&lt;=Inputs!$C$21,1,0)</f>
        <v>1</v>
      </c>
      <c r="P863" s="19" t="n">
        <f aca="false">IF(D863&gt;=Inputs!$C$22,1,0)</f>
        <v>1</v>
      </c>
      <c r="Q863" s="19" t="n">
        <f aca="false">IF(I863&lt;=Inputs!$C$23,1,0)</f>
        <v>1</v>
      </c>
      <c r="R863" s="19" t="n">
        <f aca="false">M863*N863*O863*P863*Q863</f>
        <v>1</v>
      </c>
      <c r="S863" s="14" t="n">
        <f aca="false">I863*R863</f>
        <v>14335.01</v>
      </c>
      <c r="T863" s="19" t="n">
        <f aca="false">IF(F863&gt;72,1,0)</f>
        <v>1</v>
      </c>
      <c r="U863" s="19" t="n">
        <f aca="false">IF(J863&gt;1.25,1,0)</f>
        <v>0</v>
      </c>
    </row>
    <row r="864" customFormat="false" ht="15" hidden="false" customHeight="false" outlineLevel="0" collapsed="false">
      <c r="B864" s="13" t="s">
        <v>1084</v>
      </c>
      <c r="C864" s="13" t="s">
        <v>223</v>
      </c>
      <c r="D864" s="19" t="n">
        <v>642</v>
      </c>
      <c r="E864" s="23" t="n">
        <v>0.2069</v>
      </c>
      <c r="F864" s="19" t="n">
        <v>60</v>
      </c>
      <c r="G864" s="19" t="n">
        <v>0</v>
      </c>
      <c r="H864" s="14" t="n">
        <v>28680</v>
      </c>
      <c r="I864" s="14" t="n">
        <v>28680</v>
      </c>
      <c r="J864" s="24" t="n">
        <v>0.968</v>
      </c>
      <c r="K864" s="19" t="n">
        <v>0</v>
      </c>
      <c r="L864" s="13" t="str">
        <f aca="false">IF(D864&gt;=Inputs!$C$14,"Near-prime","Non-prime")</f>
        <v>Near-prime</v>
      </c>
      <c r="M864" s="19" t="n">
        <f aca="false">IF(K864&lt;=Inputs!$C$19,1,0)</f>
        <v>1</v>
      </c>
      <c r="N864" s="19" t="n">
        <f aca="false">IF(F864&lt;=Inputs!$C$20,1,0)</f>
        <v>1</v>
      </c>
      <c r="O864" s="19" t="n">
        <f aca="false">IF(J864&lt;=Inputs!$C$21,1,0)</f>
        <v>1</v>
      </c>
      <c r="P864" s="19" t="n">
        <f aca="false">IF(D864&gt;=Inputs!$C$22,1,0)</f>
        <v>1</v>
      </c>
      <c r="Q864" s="19" t="n">
        <f aca="false">IF(I864&lt;=Inputs!$C$23,1,0)</f>
        <v>1</v>
      </c>
      <c r="R864" s="19" t="n">
        <f aca="false">M864*N864*O864*P864*Q864</f>
        <v>1</v>
      </c>
      <c r="S864" s="14" t="n">
        <f aca="false">I864*R864</f>
        <v>28680</v>
      </c>
      <c r="T864" s="19" t="n">
        <f aca="false">IF(F864&gt;72,1,0)</f>
        <v>0</v>
      </c>
      <c r="U864" s="19" t="n">
        <f aca="false">IF(J864&gt;1.25,1,0)</f>
        <v>0</v>
      </c>
    </row>
    <row r="865" customFormat="false" ht="15" hidden="false" customHeight="false" outlineLevel="0" collapsed="false">
      <c r="B865" s="13" t="s">
        <v>1085</v>
      </c>
      <c r="C865" s="13" t="s">
        <v>223</v>
      </c>
      <c r="D865" s="19" t="n">
        <v>717</v>
      </c>
      <c r="E865" s="23" t="n">
        <v>0.1969</v>
      </c>
      <c r="F865" s="19" t="n">
        <v>66</v>
      </c>
      <c r="G865" s="19" t="n">
        <v>1</v>
      </c>
      <c r="H865" s="14" t="n">
        <v>38660</v>
      </c>
      <c r="I865" s="14" t="n">
        <v>38330.9</v>
      </c>
      <c r="J865" s="24" t="n">
        <v>1.013</v>
      </c>
      <c r="K865" s="19" t="n">
        <v>0</v>
      </c>
      <c r="L865" s="13" t="str">
        <f aca="false">IF(D865&gt;=Inputs!$C$14,"Near-prime","Non-prime")</f>
        <v>Near-prime</v>
      </c>
      <c r="M865" s="19" t="n">
        <f aca="false">IF(K865&lt;=Inputs!$C$19,1,0)</f>
        <v>1</v>
      </c>
      <c r="N865" s="19" t="n">
        <f aca="false">IF(F865&lt;=Inputs!$C$20,1,0)</f>
        <v>1</v>
      </c>
      <c r="O865" s="19" t="n">
        <f aca="false">IF(J865&lt;=Inputs!$C$21,1,0)</f>
        <v>1</v>
      </c>
      <c r="P865" s="19" t="n">
        <f aca="false">IF(D865&gt;=Inputs!$C$22,1,0)</f>
        <v>1</v>
      </c>
      <c r="Q865" s="19" t="n">
        <f aca="false">IF(I865&lt;=Inputs!$C$23,1,0)</f>
        <v>1</v>
      </c>
      <c r="R865" s="19" t="n">
        <f aca="false">M865*N865*O865*P865*Q865</f>
        <v>1</v>
      </c>
      <c r="S865" s="14" t="n">
        <f aca="false">I865*R865</f>
        <v>38330.9</v>
      </c>
      <c r="T865" s="19" t="n">
        <f aca="false">IF(F865&gt;72,1,0)</f>
        <v>0</v>
      </c>
      <c r="U865" s="19" t="n">
        <f aca="false">IF(J865&gt;1.25,1,0)</f>
        <v>0</v>
      </c>
    </row>
    <row r="866" customFormat="false" ht="15" hidden="false" customHeight="false" outlineLevel="0" collapsed="false">
      <c r="B866" s="13" t="s">
        <v>1086</v>
      </c>
      <c r="C866" s="13" t="s">
        <v>219</v>
      </c>
      <c r="D866" s="19" t="n">
        <v>745</v>
      </c>
      <c r="E866" s="23" t="n">
        <v>0.1737</v>
      </c>
      <c r="F866" s="19" t="n">
        <v>72</v>
      </c>
      <c r="G866" s="19" t="n">
        <v>1</v>
      </c>
      <c r="H866" s="14" t="n">
        <v>15610</v>
      </c>
      <c r="I866" s="14" t="n">
        <v>15485.46</v>
      </c>
      <c r="J866" s="24" t="n">
        <v>1.191</v>
      </c>
      <c r="K866" s="19" t="n">
        <v>0</v>
      </c>
      <c r="L866" s="13" t="str">
        <f aca="false">IF(D866&gt;=Inputs!$C$14,"Near-prime","Non-prime")</f>
        <v>Near-prime</v>
      </c>
      <c r="M866" s="19" t="n">
        <f aca="false">IF(K866&lt;=Inputs!$C$19,1,0)</f>
        <v>1</v>
      </c>
      <c r="N866" s="19" t="n">
        <f aca="false">IF(F866&lt;=Inputs!$C$20,1,0)</f>
        <v>1</v>
      </c>
      <c r="O866" s="19" t="n">
        <f aca="false">IF(J866&lt;=Inputs!$C$21,1,0)</f>
        <v>1</v>
      </c>
      <c r="P866" s="19" t="n">
        <f aca="false">IF(D866&gt;=Inputs!$C$22,1,0)</f>
        <v>1</v>
      </c>
      <c r="Q866" s="19" t="n">
        <f aca="false">IF(I866&lt;=Inputs!$C$23,1,0)</f>
        <v>1</v>
      </c>
      <c r="R866" s="19" t="n">
        <f aca="false">M866*N866*O866*P866*Q866</f>
        <v>1</v>
      </c>
      <c r="S866" s="14" t="n">
        <f aca="false">I866*R866</f>
        <v>15485.46</v>
      </c>
      <c r="T866" s="19" t="n">
        <f aca="false">IF(F866&gt;72,1,0)</f>
        <v>0</v>
      </c>
      <c r="U866" s="19" t="n">
        <f aca="false">IF(J866&gt;1.25,1,0)</f>
        <v>0</v>
      </c>
    </row>
    <row r="867" customFormat="false" ht="15" hidden="false" customHeight="false" outlineLevel="0" collapsed="false">
      <c r="B867" s="13" t="s">
        <v>1087</v>
      </c>
      <c r="C867" s="13" t="s">
        <v>219</v>
      </c>
      <c r="D867" s="19" t="n">
        <v>603</v>
      </c>
      <c r="E867" s="23" t="n">
        <v>0.2078</v>
      </c>
      <c r="F867" s="19" t="n">
        <v>72</v>
      </c>
      <c r="G867" s="19" t="n">
        <v>7</v>
      </c>
      <c r="H867" s="14" t="n">
        <v>32110</v>
      </c>
      <c r="I867" s="14" t="n">
        <v>30431.06</v>
      </c>
      <c r="J867" s="24" t="n">
        <v>1.341</v>
      </c>
      <c r="K867" s="19" t="n">
        <v>0</v>
      </c>
      <c r="L867" s="13" t="str">
        <f aca="false">IF(D867&gt;=Inputs!$C$14,"Near-prime","Non-prime")</f>
        <v>Non-prime</v>
      </c>
      <c r="M867" s="19" t="n">
        <f aca="false">IF(K867&lt;=Inputs!$C$19,1,0)</f>
        <v>1</v>
      </c>
      <c r="N867" s="19" t="n">
        <f aca="false">IF(F867&lt;=Inputs!$C$20,1,0)</f>
        <v>1</v>
      </c>
      <c r="O867" s="19" t="n">
        <f aca="false">IF(J867&lt;=Inputs!$C$21,1,0)</f>
        <v>1</v>
      </c>
      <c r="P867" s="19" t="n">
        <f aca="false">IF(D867&gt;=Inputs!$C$22,1,0)</f>
        <v>1</v>
      </c>
      <c r="Q867" s="19" t="n">
        <f aca="false">IF(I867&lt;=Inputs!$C$23,1,0)</f>
        <v>1</v>
      </c>
      <c r="R867" s="19" t="n">
        <f aca="false">M867*N867*O867*P867*Q867</f>
        <v>1</v>
      </c>
      <c r="S867" s="14" t="n">
        <f aca="false">I867*R867</f>
        <v>30431.06</v>
      </c>
      <c r="T867" s="19" t="n">
        <f aca="false">IF(F867&gt;72,1,0)</f>
        <v>0</v>
      </c>
      <c r="U867" s="19" t="n">
        <f aca="false">IF(J867&gt;1.25,1,0)</f>
        <v>1</v>
      </c>
    </row>
    <row r="868" customFormat="false" ht="15" hidden="false" customHeight="false" outlineLevel="0" collapsed="false">
      <c r="B868" s="13" t="s">
        <v>1088</v>
      </c>
      <c r="C868" s="13" t="s">
        <v>217</v>
      </c>
      <c r="D868" s="19" t="n">
        <v>657</v>
      </c>
      <c r="E868" s="23" t="n">
        <v>0.2137</v>
      </c>
      <c r="F868" s="19" t="n">
        <v>72</v>
      </c>
      <c r="G868" s="19" t="n">
        <v>6</v>
      </c>
      <c r="H868" s="14" t="n">
        <v>28920</v>
      </c>
      <c r="I868" s="14" t="n">
        <v>27659.92</v>
      </c>
      <c r="J868" s="24" t="n">
        <v>1.044</v>
      </c>
      <c r="K868" s="19" t="n">
        <v>0</v>
      </c>
      <c r="L868" s="13" t="str">
        <f aca="false">IF(D868&gt;=Inputs!$C$14,"Near-prime","Non-prime")</f>
        <v>Near-prime</v>
      </c>
      <c r="M868" s="19" t="n">
        <f aca="false">IF(K868&lt;=Inputs!$C$19,1,0)</f>
        <v>1</v>
      </c>
      <c r="N868" s="19" t="n">
        <f aca="false">IF(F868&lt;=Inputs!$C$20,1,0)</f>
        <v>1</v>
      </c>
      <c r="O868" s="19" t="n">
        <f aca="false">IF(J868&lt;=Inputs!$C$21,1,0)</f>
        <v>1</v>
      </c>
      <c r="P868" s="19" t="n">
        <f aca="false">IF(D868&gt;=Inputs!$C$22,1,0)</f>
        <v>1</v>
      </c>
      <c r="Q868" s="19" t="n">
        <f aca="false">IF(I868&lt;=Inputs!$C$23,1,0)</f>
        <v>1</v>
      </c>
      <c r="R868" s="19" t="n">
        <f aca="false">M868*N868*O868*P868*Q868</f>
        <v>1</v>
      </c>
      <c r="S868" s="14" t="n">
        <f aca="false">I868*R868</f>
        <v>27659.92</v>
      </c>
      <c r="T868" s="19" t="n">
        <f aca="false">IF(F868&gt;72,1,0)</f>
        <v>0</v>
      </c>
      <c r="U868" s="19" t="n">
        <f aca="false">IF(J868&gt;1.25,1,0)</f>
        <v>0</v>
      </c>
    </row>
    <row r="869" customFormat="false" ht="15" hidden="false" customHeight="false" outlineLevel="0" collapsed="false">
      <c r="B869" s="13" t="s">
        <v>1089</v>
      </c>
      <c r="C869" s="13" t="s">
        <v>252</v>
      </c>
      <c r="D869" s="19" t="n">
        <v>702</v>
      </c>
      <c r="E869" s="23" t="n">
        <v>0.2274</v>
      </c>
      <c r="F869" s="19" t="n">
        <v>72</v>
      </c>
      <c r="G869" s="19" t="n">
        <v>9</v>
      </c>
      <c r="H869" s="14" t="n">
        <v>23850</v>
      </c>
      <c r="I869" s="14" t="n">
        <v>22317.05</v>
      </c>
      <c r="J869" s="24" t="n">
        <v>1.105</v>
      </c>
      <c r="K869" s="19" t="n">
        <v>0</v>
      </c>
      <c r="L869" s="13" t="str">
        <f aca="false">IF(D869&gt;=Inputs!$C$14,"Near-prime","Non-prime")</f>
        <v>Near-prime</v>
      </c>
      <c r="M869" s="19" t="n">
        <f aca="false">IF(K869&lt;=Inputs!$C$19,1,0)</f>
        <v>1</v>
      </c>
      <c r="N869" s="19" t="n">
        <f aca="false">IF(F869&lt;=Inputs!$C$20,1,0)</f>
        <v>1</v>
      </c>
      <c r="O869" s="19" t="n">
        <f aca="false">IF(J869&lt;=Inputs!$C$21,1,0)</f>
        <v>1</v>
      </c>
      <c r="P869" s="19" t="n">
        <f aca="false">IF(D869&gt;=Inputs!$C$22,1,0)</f>
        <v>1</v>
      </c>
      <c r="Q869" s="19" t="n">
        <f aca="false">IF(I869&lt;=Inputs!$C$23,1,0)</f>
        <v>1</v>
      </c>
      <c r="R869" s="19" t="n">
        <f aca="false">M869*N869*O869*P869*Q869</f>
        <v>1</v>
      </c>
      <c r="S869" s="14" t="n">
        <f aca="false">I869*R869</f>
        <v>22317.05</v>
      </c>
      <c r="T869" s="19" t="n">
        <f aca="false">IF(F869&gt;72,1,0)</f>
        <v>0</v>
      </c>
      <c r="U869" s="19" t="n">
        <f aca="false">IF(J869&gt;1.25,1,0)</f>
        <v>0</v>
      </c>
    </row>
    <row r="870" customFormat="false" ht="15" hidden="false" customHeight="false" outlineLevel="0" collapsed="false">
      <c r="B870" s="13" t="s">
        <v>1090</v>
      </c>
      <c r="C870" s="13" t="s">
        <v>237</v>
      </c>
      <c r="D870" s="19" t="n">
        <v>660</v>
      </c>
      <c r="E870" s="23" t="n">
        <v>0.213</v>
      </c>
      <c r="F870" s="19" t="n">
        <v>66</v>
      </c>
      <c r="G870" s="19" t="n">
        <v>1</v>
      </c>
      <c r="H870" s="14" t="n">
        <v>13900</v>
      </c>
      <c r="I870" s="14" t="n">
        <v>13787.54</v>
      </c>
      <c r="J870" s="24" t="n">
        <v>1.085</v>
      </c>
      <c r="K870" s="19" t="n">
        <v>0</v>
      </c>
      <c r="L870" s="13" t="str">
        <f aca="false">IF(D870&gt;=Inputs!$C$14,"Near-prime","Non-prime")</f>
        <v>Near-prime</v>
      </c>
      <c r="M870" s="19" t="n">
        <f aca="false">IF(K870&lt;=Inputs!$C$19,1,0)</f>
        <v>1</v>
      </c>
      <c r="N870" s="19" t="n">
        <f aca="false">IF(F870&lt;=Inputs!$C$20,1,0)</f>
        <v>1</v>
      </c>
      <c r="O870" s="19" t="n">
        <f aca="false">IF(J870&lt;=Inputs!$C$21,1,0)</f>
        <v>1</v>
      </c>
      <c r="P870" s="19" t="n">
        <f aca="false">IF(D870&gt;=Inputs!$C$22,1,0)</f>
        <v>1</v>
      </c>
      <c r="Q870" s="19" t="n">
        <f aca="false">IF(I870&lt;=Inputs!$C$23,1,0)</f>
        <v>1</v>
      </c>
      <c r="R870" s="19" t="n">
        <f aca="false">M870*N870*O870*P870*Q870</f>
        <v>1</v>
      </c>
      <c r="S870" s="14" t="n">
        <f aca="false">I870*R870</f>
        <v>13787.54</v>
      </c>
      <c r="T870" s="19" t="n">
        <f aca="false">IF(F870&gt;72,1,0)</f>
        <v>0</v>
      </c>
      <c r="U870" s="19" t="n">
        <f aca="false">IF(J870&gt;1.25,1,0)</f>
        <v>0</v>
      </c>
    </row>
    <row r="871" customFormat="false" ht="15" hidden="false" customHeight="false" outlineLevel="0" collapsed="false">
      <c r="B871" s="13" t="s">
        <v>1091</v>
      </c>
      <c r="C871" s="13" t="s">
        <v>217</v>
      </c>
      <c r="D871" s="19" t="n">
        <v>666</v>
      </c>
      <c r="E871" s="23" t="n">
        <v>0.2033</v>
      </c>
      <c r="F871" s="19" t="n">
        <v>72</v>
      </c>
      <c r="G871" s="19" t="n">
        <v>3</v>
      </c>
      <c r="H871" s="14" t="n">
        <v>18450</v>
      </c>
      <c r="I871" s="14" t="n">
        <v>18044.53</v>
      </c>
      <c r="J871" s="24" t="n">
        <v>1.101</v>
      </c>
      <c r="K871" s="19" t="n">
        <v>0</v>
      </c>
      <c r="L871" s="13" t="str">
        <f aca="false">IF(D871&gt;=Inputs!$C$14,"Near-prime","Non-prime")</f>
        <v>Near-prime</v>
      </c>
      <c r="M871" s="19" t="n">
        <f aca="false">IF(K871&lt;=Inputs!$C$19,1,0)</f>
        <v>1</v>
      </c>
      <c r="N871" s="19" t="n">
        <f aca="false">IF(F871&lt;=Inputs!$C$20,1,0)</f>
        <v>1</v>
      </c>
      <c r="O871" s="19" t="n">
        <f aca="false">IF(J871&lt;=Inputs!$C$21,1,0)</f>
        <v>1</v>
      </c>
      <c r="P871" s="19" t="n">
        <f aca="false">IF(D871&gt;=Inputs!$C$22,1,0)</f>
        <v>1</v>
      </c>
      <c r="Q871" s="19" t="n">
        <f aca="false">IF(I871&lt;=Inputs!$C$23,1,0)</f>
        <v>1</v>
      </c>
      <c r="R871" s="19" t="n">
        <f aca="false">M871*N871*O871*P871*Q871</f>
        <v>1</v>
      </c>
      <c r="S871" s="14" t="n">
        <f aca="false">I871*R871</f>
        <v>18044.53</v>
      </c>
      <c r="T871" s="19" t="n">
        <f aca="false">IF(F871&gt;72,1,0)</f>
        <v>0</v>
      </c>
      <c r="U871" s="19" t="n">
        <f aca="false">IF(J871&gt;1.25,1,0)</f>
        <v>0</v>
      </c>
    </row>
    <row r="872" customFormat="false" ht="15" hidden="false" customHeight="false" outlineLevel="0" collapsed="false">
      <c r="B872" s="13" t="s">
        <v>1092</v>
      </c>
      <c r="C872" s="13" t="s">
        <v>226</v>
      </c>
      <c r="D872" s="19" t="n">
        <v>624</v>
      </c>
      <c r="E872" s="23" t="n">
        <v>0.1961</v>
      </c>
      <c r="F872" s="19" t="n">
        <v>60</v>
      </c>
      <c r="G872" s="19" t="n">
        <v>8</v>
      </c>
      <c r="H872" s="14" t="n">
        <v>31520</v>
      </c>
      <c r="I872" s="14" t="n">
        <v>28866.54</v>
      </c>
      <c r="J872" s="24" t="n">
        <v>1.203</v>
      </c>
      <c r="K872" s="19" t="n">
        <v>0</v>
      </c>
      <c r="L872" s="13" t="str">
        <f aca="false">IF(D872&gt;=Inputs!$C$14,"Near-prime","Non-prime")</f>
        <v>Near-prime</v>
      </c>
      <c r="M872" s="19" t="n">
        <f aca="false">IF(K872&lt;=Inputs!$C$19,1,0)</f>
        <v>1</v>
      </c>
      <c r="N872" s="19" t="n">
        <f aca="false">IF(F872&lt;=Inputs!$C$20,1,0)</f>
        <v>1</v>
      </c>
      <c r="O872" s="19" t="n">
        <f aca="false">IF(J872&lt;=Inputs!$C$21,1,0)</f>
        <v>1</v>
      </c>
      <c r="P872" s="19" t="n">
        <f aca="false">IF(D872&gt;=Inputs!$C$22,1,0)</f>
        <v>1</v>
      </c>
      <c r="Q872" s="19" t="n">
        <f aca="false">IF(I872&lt;=Inputs!$C$23,1,0)</f>
        <v>1</v>
      </c>
      <c r="R872" s="19" t="n">
        <f aca="false">M872*N872*O872*P872*Q872</f>
        <v>1</v>
      </c>
      <c r="S872" s="14" t="n">
        <f aca="false">I872*R872</f>
        <v>28866.54</v>
      </c>
      <c r="T872" s="19" t="n">
        <f aca="false">IF(F872&gt;72,1,0)</f>
        <v>0</v>
      </c>
      <c r="U872" s="19" t="n">
        <f aca="false">IF(J872&gt;1.25,1,0)</f>
        <v>0</v>
      </c>
    </row>
    <row r="873" customFormat="false" ht="15" hidden="false" customHeight="false" outlineLevel="0" collapsed="false">
      <c r="B873" s="13" t="s">
        <v>1093</v>
      </c>
      <c r="C873" s="13" t="s">
        <v>217</v>
      </c>
      <c r="D873" s="19" t="n">
        <v>620</v>
      </c>
      <c r="E873" s="23" t="n">
        <v>0.2204</v>
      </c>
      <c r="F873" s="19" t="n">
        <v>60</v>
      </c>
      <c r="G873" s="19" t="n">
        <v>4</v>
      </c>
      <c r="H873" s="14" t="n">
        <v>33520</v>
      </c>
      <c r="I873" s="14" t="n">
        <v>32241.73</v>
      </c>
      <c r="J873" s="24" t="n">
        <v>1.112</v>
      </c>
      <c r="K873" s="19" t="n">
        <v>0</v>
      </c>
      <c r="L873" s="13" t="str">
        <f aca="false">IF(D873&gt;=Inputs!$C$14,"Near-prime","Non-prime")</f>
        <v>Near-prime</v>
      </c>
      <c r="M873" s="19" t="n">
        <f aca="false">IF(K873&lt;=Inputs!$C$19,1,0)</f>
        <v>1</v>
      </c>
      <c r="N873" s="19" t="n">
        <f aca="false">IF(F873&lt;=Inputs!$C$20,1,0)</f>
        <v>1</v>
      </c>
      <c r="O873" s="19" t="n">
        <f aca="false">IF(J873&lt;=Inputs!$C$21,1,0)</f>
        <v>1</v>
      </c>
      <c r="P873" s="19" t="n">
        <f aca="false">IF(D873&gt;=Inputs!$C$22,1,0)</f>
        <v>1</v>
      </c>
      <c r="Q873" s="19" t="n">
        <f aca="false">IF(I873&lt;=Inputs!$C$23,1,0)</f>
        <v>1</v>
      </c>
      <c r="R873" s="19" t="n">
        <f aca="false">M873*N873*O873*P873*Q873</f>
        <v>1</v>
      </c>
      <c r="S873" s="14" t="n">
        <f aca="false">I873*R873</f>
        <v>32241.73</v>
      </c>
      <c r="T873" s="19" t="n">
        <f aca="false">IF(F873&gt;72,1,0)</f>
        <v>0</v>
      </c>
      <c r="U873" s="19" t="n">
        <f aca="false">IF(J873&gt;1.25,1,0)</f>
        <v>0</v>
      </c>
    </row>
    <row r="874" customFormat="false" ht="15" hidden="false" customHeight="false" outlineLevel="0" collapsed="false">
      <c r="B874" s="13" t="s">
        <v>1094</v>
      </c>
      <c r="C874" s="13" t="s">
        <v>217</v>
      </c>
      <c r="D874" s="19" t="n">
        <v>659</v>
      </c>
      <c r="E874" s="23" t="n">
        <v>0.1914</v>
      </c>
      <c r="F874" s="19" t="n">
        <v>72</v>
      </c>
      <c r="G874" s="19" t="n">
        <v>8</v>
      </c>
      <c r="H874" s="14" t="n">
        <v>22580</v>
      </c>
      <c r="I874" s="14" t="n">
        <v>21145.78</v>
      </c>
      <c r="J874" s="24" t="n">
        <v>1.183</v>
      </c>
      <c r="K874" s="19" t="n">
        <v>0</v>
      </c>
      <c r="L874" s="13" t="str">
        <f aca="false">IF(D874&gt;=Inputs!$C$14,"Near-prime","Non-prime")</f>
        <v>Near-prime</v>
      </c>
      <c r="M874" s="19" t="n">
        <f aca="false">IF(K874&lt;=Inputs!$C$19,1,0)</f>
        <v>1</v>
      </c>
      <c r="N874" s="19" t="n">
        <f aca="false">IF(F874&lt;=Inputs!$C$20,1,0)</f>
        <v>1</v>
      </c>
      <c r="O874" s="19" t="n">
        <f aca="false">IF(J874&lt;=Inputs!$C$21,1,0)</f>
        <v>1</v>
      </c>
      <c r="P874" s="19" t="n">
        <f aca="false">IF(D874&gt;=Inputs!$C$22,1,0)</f>
        <v>1</v>
      </c>
      <c r="Q874" s="19" t="n">
        <f aca="false">IF(I874&lt;=Inputs!$C$23,1,0)</f>
        <v>1</v>
      </c>
      <c r="R874" s="19" t="n">
        <f aca="false">M874*N874*O874*P874*Q874</f>
        <v>1</v>
      </c>
      <c r="S874" s="14" t="n">
        <f aca="false">I874*R874</f>
        <v>21145.78</v>
      </c>
      <c r="T874" s="19" t="n">
        <f aca="false">IF(F874&gt;72,1,0)</f>
        <v>0</v>
      </c>
      <c r="U874" s="19" t="n">
        <f aca="false">IF(J874&gt;1.25,1,0)</f>
        <v>0</v>
      </c>
    </row>
    <row r="875" customFormat="false" ht="15" hidden="false" customHeight="false" outlineLevel="0" collapsed="false">
      <c r="B875" s="13" t="s">
        <v>1095</v>
      </c>
      <c r="C875" s="13" t="s">
        <v>252</v>
      </c>
      <c r="D875" s="19" t="n">
        <v>700</v>
      </c>
      <c r="E875" s="23" t="n">
        <v>0.2073</v>
      </c>
      <c r="F875" s="19" t="n">
        <v>72</v>
      </c>
      <c r="G875" s="19" t="n">
        <v>5</v>
      </c>
      <c r="H875" s="14" t="n">
        <v>21870</v>
      </c>
      <c r="I875" s="14" t="n">
        <v>21066</v>
      </c>
      <c r="J875" s="24" t="n">
        <v>1.087</v>
      </c>
      <c r="K875" s="19" t="n">
        <v>0</v>
      </c>
      <c r="L875" s="13" t="str">
        <f aca="false">IF(D875&gt;=Inputs!$C$14,"Near-prime","Non-prime")</f>
        <v>Near-prime</v>
      </c>
      <c r="M875" s="19" t="n">
        <f aca="false">IF(K875&lt;=Inputs!$C$19,1,0)</f>
        <v>1</v>
      </c>
      <c r="N875" s="19" t="n">
        <f aca="false">IF(F875&lt;=Inputs!$C$20,1,0)</f>
        <v>1</v>
      </c>
      <c r="O875" s="19" t="n">
        <f aca="false">IF(J875&lt;=Inputs!$C$21,1,0)</f>
        <v>1</v>
      </c>
      <c r="P875" s="19" t="n">
        <f aca="false">IF(D875&gt;=Inputs!$C$22,1,0)</f>
        <v>1</v>
      </c>
      <c r="Q875" s="19" t="n">
        <f aca="false">IF(I875&lt;=Inputs!$C$23,1,0)</f>
        <v>1</v>
      </c>
      <c r="R875" s="19" t="n">
        <f aca="false">M875*N875*O875*P875*Q875</f>
        <v>1</v>
      </c>
      <c r="S875" s="14" t="n">
        <f aca="false">I875*R875</f>
        <v>21066</v>
      </c>
      <c r="T875" s="19" t="n">
        <f aca="false">IF(F875&gt;72,1,0)</f>
        <v>0</v>
      </c>
      <c r="U875" s="19" t="n">
        <f aca="false">IF(J875&gt;1.25,1,0)</f>
        <v>0</v>
      </c>
    </row>
    <row r="876" customFormat="false" ht="15" hidden="false" customHeight="false" outlineLevel="0" collapsed="false">
      <c r="B876" s="13" t="s">
        <v>1096</v>
      </c>
      <c r="C876" s="13" t="s">
        <v>226</v>
      </c>
      <c r="D876" s="19" t="n">
        <v>594</v>
      </c>
      <c r="E876" s="23" t="n">
        <v>0.2166</v>
      </c>
      <c r="F876" s="19" t="n">
        <v>75</v>
      </c>
      <c r="G876" s="19" t="n">
        <v>9</v>
      </c>
      <c r="H876" s="14" t="n">
        <v>37190</v>
      </c>
      <c r="I876" s="14" t="n">
        <v>34890.69</v>
      </c>
      <c r="J876" s="24" t="n">
        <v>0.772</v>
      </c>
      <c r="K876" s="19" t="n">
        <v>0</v>
      </c>
      <c r="L876" s="13" t="str">
        <f aca="false">IF(D876&gt;=Inputs!$C$14,"Near-prime","Non-prime")</f>
        <v>Non-prime</v>
      </c>
      <c r="M876" s="19" t="n">
        <f aca="false">IF(K876&lt;=Inputs!$C$19,1,0)</f>
        <v>1</v>
      </c>
      <c r="N876" s="19" t="n">
        <f aca="false">IF(F876&lt;=Inputs!$C$20,1,0)</f>
        <v>1</v>
      </c>
      <c r="O876" s="19" t="n">
        <f aca="false">IF(J876&lt;=Inputs!$C$21,1,0)</f>
        <v>1</v>
      </c>
      <c r="P876" s="19" t="n">
        <f aca="false">IF(D876&gt;=Inputs!$C$22,1,0)</f>
        <v>1</v>
      </c>
      <c r="Q876" s="19" t="n">
        <f aca="false">IF(I876&lt;=Inputs!$C$23,1,0)</f>
        <v>1</v>
      </c>
      <c r="R876" s="19" t="n">
        <f aca="false">M876*N876*O876*P876*Q876</f>
        <v>1</v>
      </c>
      <c r="S876" s="14" t="n">
        <f aca="false">I876*R876</f>
        <v>34890.69</v>
      </c>
      <c r="T876" s="19" t="n">
        <f aca="false">IF(F876&gt;72,1,0)</f>
        <v>1</v>
      </c>
      <c r="U876" s="19" t="n">
        <f aca="false">IF(J876&gt;1.25,1,0)</f>
        <v>0</v>
      </c>
    </row>
    <row r="877" customFormat="false" ht="15" hidden="false" customHeight="false" outlineLevel="0" collapsed="false">
      <c r="B877" s="13" t="s">
        <v>1097</v>
      </c>
      <c r="C877" s="13" t="s">
        <v>252</v>
      </c>
      <c r="D877" s="19" t="n">
        <v>641</v>
      </c>
      <c r="E877" s="23" t="n">
        <v>0.1995</v>
      </c>
      <c r="F877" s="19" t="n">
        <v>66</v>
      </c>
      <c r="G877" s="19" t="n">
        <v>2</v>
      </c>
      <c r="H877" s="14" t="n">
        <v>25280</v>
      </c>
      <c r="I877" s="14" t="n">
        <v>24849.56</v>
      </c>
      <c r="J877" s="24" t="n">
        <v>1.077</v>
      </c>
      <c r="K877" s="19" t="n">
        <v>0</v>
      </c>
      <c r="L877" s="13" t="str">
        <f aca="false">IF(D877&gt;=Inputs!$C$14,"Near-prime","Non-prime")</f>
        <v>Near-prime</v>
      </c>
      <c r="M877" s="19" t="n">
        <f aca="false">IF(K877&lt;=Inputs!$C$19,1,0)</f>
        <v>1</v>
      </c>
      <c r="N877" s="19" t="n">
        <f aca="false">IF(F877&lt;=Inputs!$C$20,1,0)</f>
        <v>1</v>
      </c>
      <c r="O877" s="19" t="n">
        <f aca="false">IF(J877&lt;=Inputs!$C$21,1,0)</f>
        <v>1</v>
      </c>
      <c r="P877" s="19" t="n">
        <f aca="false">IF(D877&gt;=Inputs!$C$22,1,0)</f>
        <v>1</v>
      </c>
      <c r="Q877" s="19" t="n">
        <f aca="false">IF(I877&lt;=Inputs!$C$23,1,0)</f>
        <v>1</v>
      </c>
      <c r="R877" s="19" t="n">
        <f aca="false">M877*N877*O877*P877*Q877</f>
        <v>1</v>
      </c>
      <c r="S877" s="14" t="n">
        <f aca="false">I877*R877</f>
        <v>24849.56</v>
      </c>
      <c r="T877" s="19" t="n">
        <f aca="false">IF(F877&gt;72,1,0)</f>
        <v>0</v>
      </c>
      <c r="U877" s="19" t="n">
        <f aca="false">IF(J877&gt;1.25,1,0)</f>
        <v>0</v>
      </c>
    </row>
    <row r="878" customFormat="false" ht="15" hidden="false" customHeight="false" outlineLevel="0" collapsed="false">
      <c r="B878" s="13" t="s">
        <v>1098</v>
      </c>
      <c r="C878" s="13" t="s">
        <v>252</v>
      </c>
      <c r="D878" s="19" t="n">
        <v>742</v>
      </c>
      <c r="E878" s="23" t="n">
        <v>0.2011</v>
      </c>
      <c r="F878" s="19" t="n">
        <v>66</v>
      </c>
      <c r="G878" s="19" t="n">
        <v>6</v>
      </c>
      <c r="H878" s="14" t="n">
        <v>29030</v>
      </c>
      <c r="I878" s="14" t="n">
        <v>27504.04</v>
      </c>
      <c r="J878" s="24" t="n">
        <v>1.197</v>
      </c>
      <c r="K878" s="19" t="n">
        <v>0</v>
      </c>
      <c r="L878" s="13" t="str">
        <f aca="false">IF(D878&gt;=Inputs!$C$14,"Near-prime","Non-prime")</f>
        <v>Near-prime</v>
      </c>
      <c r="M878" s="19" t="n">
        <f aca="false">IF(K878&lt;=Inputs!$C$19,1,0)</f>
        <v>1</v>
      </c>
      <c r="N878" s="19" t="n">
        <f aca="false">IF(F878&lt;=Inputs!$C$20,1,0)</f>
        <v>1</v>
      </c>
      <c r="O878" s="19" t="n">
        <f aca="false">IF(J878&lt;=Inputs!$C$21,1,0)</f>
        <v>1</v>
      </c>
      <c r="P878" s="19" t="n">
        <f aca="false">IF(D878&gt;=Inputs!$C$22,1,0)</f>
        <v>1</v>
      </c>
      <c r="Q878" s="19" t="n">
        <f aca="false">IF(I878&lt;=Inputs!$C$23,1,0)</f>
        <v>1</v>
      </c>
      <c r="R878" s="19" t="n">
        <f aca="false">M878*N878*O878*P878*Q878</f>
        <v>1</v>
      </c>
      <c r="S878" s="14" t="n">
        <f aca="false">I878*R878</f>
        <v>27504.04</v>
      </c>
      <c r="T878" s="19" t="n">
        <f aca="false">IF(F878&gt;72,1,0)</f>
        <v>0</v>
      </c>
      <c r="U878" s="19" t="n">
        <f aca="false">IF(J878&gt;1.25,1,0)</f>
        <v>0</v>
      </c>
    </row>
    <row r="879" customFormat="false" ht="15" hidden="false" customHeight="false" outlineLevel="0" collapsed="false">
      <c r="B879" s="13" t="s">
        <v>1099</v>
      </c>
      <c r="C879" s="13" t="s">
        <v>217</v>
      </c>
      <c r="D879" s="19" t="n">
        <v>638</v>
      </c>
      <c r="E879" s="23" t="n">
        <v>0.2069</v>
      </c>
      <c r="F879" s="19" t="n">
        <v>84</v>
      </c>
      <c r="G879" s="19" t="n">
        <v>9</v>
      </c>
      <c r="H879" s="14" t="n">
        <v>30730</v>
      </c>
      <c r="I879" s="14" t="n">
        <v>29134.65</v>
      </c>
      <c r="J879" s="24" t="n">
        <v>0.967</v>
      </c>
      <c r="K879" s="19" t="n">
        <v>45</v>
      </c>
      <c r="L879" s="13" t="str">
        <f aca="false">IF(D879&gt;=Inputs!$C$14,"Near-prime","Non-prime")</f>
        <v>Near-prime</v>
      </c>
      <c r="M879" s="19" t="n">
        <f aca="false">IF(K879&lt;=Inputs!$C$19,1,0)</f>
        <v>1</v>
      </c>
      <c r="N879" s="19" t="n">
        <f aca="false">IF(F879&lt;=Inputs!$C$20,1,0)</f>
        <v>0</v>
      </c>
      <c r="O879" s="19" t="n">
        <f aca="false">IF(J879&lt;=Inputs!$C$21,1,0)</f>
        <v>1</v>
      </c>
      <c r="P879" s="19" t="n">
        <f aca="false">IF(D879&gt;=Inputs!$C$22,1,0)</f>
        <v>1</v>
      </c>
      <c r="Q879" s="19" t="n">
        <f aca="false">IF(I879&lt;=Inputs!$C$23,1,0)</f>
        <v>1</v>
      </c>
      <c r="R879" s="19" t="n">
        <f aca="false">M879*N879*O879*P879*Q879</f>
        <v>0</v>
      </c>
      <c r="S879" s="14" t="n">
        <f aca="false">I879*R879</f>
        <v>0</v>
      </c>
      <c r="T879" s="19" t="n">
        <f aca="false">IF(F879&gt;72,1,0)</f>
        <v>1</v>
      </c>
      <c r="U879" s="19" t="n">
        <f aca="false">IF(J879&gt;1.25,1,0)</f>
        <v>0</v>
      </c>
    </row>
    <row r="880" customFormat="false" ht="15" hidden="false" customHeight="false" outlineLevel="0" collapsed="false">
      <c r="B880" s="13" t="s">
        <v>1100</v>
      </c>
      <c r="C880" s="13" t="s">
        <v>252</v>
      </c>
      <c r="D880" s="19" t="n">
        <v>657</v>
      </c>
      <c r="E880" s="23" t="n">
        <v>0.1971</v>
      </c>
      <c r="F880" s="19" t="n">
        <v>75</v>
      </c>
      <c r="G880" s="19" t="n">
        <v>10</v>
      </c>
      <c r="H880" s="14" t="n">
        <v>12570</v>
      </c>
      <c r="I880" s="14" t="n">
        <v>11640.78</v>
      </c>
      <c r="J880" s="24" t="n">
        <v>1.233</v>
      </c>
      <c r="K880" s="19" t="n">
        <v>75</v>
      </c>
      <c r="L880" s="13" t="str">
        <f aca="false">IF(D880&gt;=Inputs!$C$14,"Near-prime","Non-prime")</f>
        <v>Near-prime</v>
      </c>
      <c r="M880" s="19" t="n">
        <f aca="false">IF(K880&lt;=Inputs!$C$19,1,0)</f>
        <v>0</v>
      </c>
      <c r="N880" s="19" t="n">
        <f aca="false">IF(F880&lt;=Inputs!$C$20,1,0)</f>
        <v>1</v>
      </c>
      <c r="O880" s="19" t="n">
        <f aca="false">IF(J880&lt;=Inputs!$C$21,1,0)</f>
        <v>1</v>
      </c>
      <c r="P880" s="19" t="n">
        <f aca="false">IF(D880&gt;=Inputs!$C$22,1,0)</f>
        <v>1</v>
      </c>
      <c r="Q880" s="19" t="n">
        <f aca="false">IF(I880&lt;=Inputs!$C$23,1,0)</f>
        <v>1</v>
      </c>
      <c r="R880" s="19" t="n">
        <f aca="false">M880*N880*O880*P880*Q880</f>
        <v>0</v>
      </c>
      <c r="S880" s="14" t="n">
        <f aca="false">I880*R880</f>
        <v>0</v>
      </c>
      <c r="T880" s="19" t="n">
        <f aca="false">IF(F880&gt;72,1,0)</f>
        <v>1</v>
      </c>
      <c r="U880" s="19" t="n">
        <f aca="false">IF(J880&gt;1.25,1,0)</f>
        <v>0</v>
      </c>
    </row>
    <row r="881" customFormat="false" ht="15" hidden="false" customHeight="false" outlineLevel="0" collapsed="false">
      <c r="B881" s="13" t="s">
        <v>1101</v>
      </c>
      <c r="C881" s="13" t="s">
        <v>221</v>
      </c>
      <c r="D881" s="19" t="n">
        <v>690</v>
      </c>
      <c r="E881" s="23" t="n">
        <v>0.1979</v>
      </c>
      <c r="F881" s="19" t="n">
        <v>66</v>
      </c>
      <c r="G881" s="19" t="n">
        <v>6</v>
      </c>
      <c r="H881" s="14" t="n">
        <v>62000</v>
      </c>
      <c r="I881" s="14" t="n">
        <v>58710.2</v>
      </c>
      <c r="J881" s="24" t="n">
        <v>0.914</v>
      </c>
      <c r="K881" s="19" t="n">
        <v>0</v>
      </c>
      <c r="L881" s="13" t="str">
        <f aca="false">IF(D881&gt;=Inputs!$C$14,"Near-prime","Non-prime")</f>
        <v>Near-prime</v>
      </c>
      <c r="M881" s="19" t="n">
        <f aca="false">IF(K881&lt;=Inputs!$C$19,1,0)</f>
        <v>1</v>
      </c>
      <c r="N881" s="19" t="n">
        <f aca="false">IF(F881&lt;=Inputs!$C$20,1,0)</f>
        <v>1</v>
      </c>
      <c r="O881" s="19" t="n">
        <f aca="false">IF(J881&lt;=Inputs!$C$21,1,0)</f>
        <v>1</v>
      </c>
      <c r="P881" s="19" t="n">
        <f aca="false">IF(D881&gt;=Inputs!$C$22,1,0)</f>
        <v>1</v>
      </c>
      <c r="Q881" s="19" t="n">
        <f aca="false">IF(I881&lt;=Inputs!$C$23,1,0)</f>
        <v>0</v>
      </c>
      <c r="R881" s="19" t="n">
        <f aca="false">M881*N881*O881*P881*Q881</f>
        <v>0</v>
      </c>
      <c r="S881" s="14" t="n">
        <f aca="false">I881*R881</f>
        <v>0</v>
      </c>
      <c r="T881" s="19" t="n">
        <f aca="false">IF(F881&gt;72,1,0)</f>
        <v>0</v>
      </c>
      <c r="U881" s="19" t="n">
        <f aca="false">IF(J881&gt;1.25,1,0)</f>
        <v>0</v>
      </c>
    </row>
    <row r="882" customFormat="false" ht="15" hidden="false" customHeight="false" outlineLevel="0" collapsed="false">
      <c r="B882" s="13" t="s">
        <v>1102</v>
      </c>
      <c r="C882" s="13" t="s">
        <v>217</v>
      </c>
      <c r="D882" s="19" t="n">
        <v>678</v>
      </c>
      <c r="E882" s="23" t="n">
        <v>0.2277</v>
      </c>
      <c r="F882" s="19" t="n">
        <v>60</v>
      </c>
      <c r="G882" s="19" t="n">
        <v>1</v>
      </c>
      <c r="H882" s="14" t="n">
        <v>29310</v>
      </c>
      <c r="I882" s="14" t="n">
        <v>29043.76</v>
      </c>
      <c r="J882" s="24" t="n">
        <v>1.037</v>
      </c>
      <c r="K882" s="19" t="n">
        <v>0</v>
      </c>
      <c r="L882" s="13" t="str">
        <f aca="false">IF(D882&gt;=Inputs!$C$14,"Near-prime","Non-prime")</f>
        <v>Near-prime</v>
      </c>
      <c r="M882" s="19" t="n">
        <f aca="false">IF(K882&lt;=Inputs!$C$19,1,0)</f>
        <v>1</v>
      </c>
      <c r="N882" s="19" t="n">
        <f aca="false">IF(F882&lt;=Inputs!$C$20,1,0)</f>
        <v>1</v>
      </c>
      <c r="O882" s="19" t="n">
        <f aca="false">IF(J882&lt;=Inputs!$C$21,1,0)</f>
        <v>1</v>
      </c>
      <c r="P882" s="19" t="n">
        <f aca="false">IF(D882&gt;=Inputs!$C$22,1,0)</f>
        <v>1</v>
      </c>
      <c r="Q882" s="19" t="n">
        <f aca="false">IF(I882&lt;=Inputs!$C$23,1,0)</f>
        <v>1</v>
      </c>
      <c r="R882" s="19" t="n">
        <f aca="false">M882*N882*O882*P882*Q882</f>
        <v>1</v>
      </c>
      <c r="S882" s="14" t="n">
        <f aca="false">I882*R882</f>
        <v>29043.76</v>
      </c>
      <c r="T882" s="19" t="n">
        <f aca="false">IF(F882&gt;72,1,0)</f>
        <v>0</v>
      </c>
      <c r="U882" s="19" t="n">
        <f aca="false">IF(J882&gt;1.25,1,0)</f>
        <v>0</v>
      </c>
    </row>
    <row r="883" customFormat="false" ht="15" hidden="false" customHeight="false" outlineLevel="0" collapsed="false">
      <c r="B883" s="13" t="s">
        <v>1103</v>
      </c>
      <c r="C883" s="13" t="s">
        <v>237</v>
      </c>
      <c r="D883" s="19" t="n">
        <v>640</v>
      </c>
      <c r="E883" s="23" t="n">
        <v>0.2141</v>
      </c>
      <c r="F883" s="19" t="n">
        <v>60</v>
      </c>
      <c r="G883" s="19" t="n">
        <v>8</v>
      </c>
      <c r="H883" s="14" t="n">
        <v>46630</v>
      </c>
      <c r="I883" s="14" t="n">
        <v>42879.45</v>
      </c>
      <c r="J883" s="24" t="n">
        <v>1.057</v>
      </c>
      <c r="K883" s="19" t="n">
        <v>0</v>
      </c>
      <c r="L883" s="13" t="str">
        <f aca="false">IF(D883&gt;=Inputs!$C$14,"Near-prime","Non-prime")</f>
        <v>Near-prime</v>
      </c>
      <c r="M883" s="19" t="n">
        <f aca="false">IF(K883&lt;=Inputs!$C$19,1,0)</f>
        <v>1</v>
      </c>
      <c r="N883" s="19" t="n">
        <f aca="false">IF(F883&lt;=Inputs!$C$20,1,0)</f>
        <v>1</v>
      </c>
      <c r="O883" s="19" t="n">
        <f aca="false">IF(J883&lt;=Inputs!$C$21,1,0)</f>
        <v>1</v>
      </c>
      <c r="P883" s="19" t="n">
        <f aca="false">IF(D883&gt;=Inputs!$C$22,1,0)</f>
        <v>1</v>
      </c>
      <c r="Q883" s="19" t="n">
        <f aca="false">IF(I883&lt;=Inputs!$C$23,1,0)</f>
        <v>1</v>
      </c>
      <c r="R883" s="19" t="n">
        <f aca="false">M883*N883*O883*P883*Q883</f>
        <v>1</v>
      </c>
      <c r="S883" s="14" t="n">
        <f aca="false">I883*R883</f>
        <v>42879.45</v>
      </c>
      <c r="T883" s="19" t="n">
        <f aca="false">IF(F883&gt;72,1,0)</f>
        <v>0</v>
      </c>
      <c r="U883" s="19" t="n">
        <f aca="false">IF(J883&gt;1.25,1,0)</f>
        <v>0</v>
      </c>
    </row>
    <row r="884" customFormat="false" ht="15" hidden="false" customHeight="false" outlineLevel="0" collapsed="false">
      <c r="B884" s="13" t="s">
        <v>1104</v>
      </c>
      <c r="C884" s="13" t="s">
        <v>217</v>
      </c>
      <c r="D884" s="19" t="n">
        <v>637</v>
      </c>
      <c r="E884" s="23" t="n">
        <v>0.2118</v>
      </c>
      <c r="F884" s="19" t="n">
        <v>60</v>
      </c>
      <c r="G884" s="19" t="n">
        <v>2</v>
      </c>
      <c r="H884" s="14" t="n">
        <v>18590</v>
      </c>
      <c r="I884" s="14" t="n">
        <v>18233.5</v>
      </c>
      <c r="J884" s="24" t="n">
        <v>0.75</v>
      </c>
      <c r="K884" s="19" t="n">
        <v>0</v>
      </c>
      <c r="L884" s="13" t="str">
        <f aca="false">IF(D884&gt;=Inputs!$C$14,"Near-prime","Non-prime")</f>
        <v>Near-prime</v>
      </c>
      <c r="M884" s="19" t="n">
        <f aca="false">IF(K884&lt;=Inputs!$C$19,1,0)</f>
        <v>1</v>
      </c>
      <c r="N884" s="19" t="n">
        <f aca="false">IF(F884&lt;=Inputs!$C$20,1,0)</f>
        <v>1</v>
      </c>
      <c r="O884" s="19" t="n">
        <f aca="false">IF(J884&lt;=Inputs!$C$21,1,0)</f>
        <v>1</v>
      </c>
      <c r="P884" s="19" t="n">
        <f aca="false">IF(D884&gt;=Inputs!$C$22,1,0)</f>
        <v>1</v>
      </c>
      <c r="Q884" s="19" t="n">
        <f aca="false">IF(I884&lt;=Inputs!$C$23,1,0)</f>
        <v>1</v>
      </c>
      <c r="R884" s="19" t="n">
        <f aca="false">M884*N884*O884*P884*Q884</f>
        <v>1</v>
      </c>
      <c r="S884" s="14" t="n">
        <f aca="false">I884*R884</f>
        <v>18233.5</v>
      </c>
      <c r="T884" s="19" t="n">
        <f aca="false">IF(F884&gt;72,1,0)</f>
        <v>0</v>
      </c>
      <c r="U884" s="19" t="n">
        <f aca="false">IF(J884&gt;1.25,1,0)</f>
        <v>0</v>
      </c>
    </row>
    <row r="885" customFormat="false" ht="15" hidden="false" customHeight="false" outlineLevel="0" collapsed="false">
      <c r="B885" s="13" t="s">
        <v>1105</v>
      </c>
      <c r="C885" s="13" t="s">
        <v>221</v>
      </c>
      <c r="D885" s="19" t="n">
        <v>728</v>
      </c>
      <c r="E885" s="23" t="n">
        <v>0.1678</v>
      </c>
      <c r="F885" s="19" t="n">
        <v>48</v>
      </c>
      <c r="G885" s="19" t="n">
        <v>6</v>
      </c>
      <c r="H885" s="14" t="n">
        <v>13620</v>
      </c>
      <c r="I885" s="14" t="n">
        <v>12371.02</v>
      </c>
      <c r="J885" s="24" t="n">
        <v>0.941</v>
      </c>
      <c r="K885" s="19" t="n">
        <v>0</v>
      </c>
      <c r="L885" s="13" t="str">
        <f aca="false">IF(D885&gt;=Inputs!$C$14,"Near-prime","Non-prime")</f>
        <v>Near-prime</v>
      </c>
      <c r="M885" s="19" t="n">
        <f aca="false">IF(K885&lt;=Inputs!$C$19,1,0)</f>
        <v>1</v>
      </c>
      <c r="N885" s="19" t="n">
        <f aca="false">IF(F885&lt;=Inputs!$C$20,1,0)</f>
        <v>1</v>
      </c>
      <c r="O885" s="19" t="n">
        <f aca="false">IF(J885&lt;=Inputs!$C$21,1,0)</f>
        <v>1</v>
      </c>
      <c r="P885" s="19" t="n">
        <f aca="false">IF(D885&gt;=Inputs!$C$22,1,0)</f>
        <v>1</v>
      </c>
      <c r="Q885" s="19" t="n">
        <f aca="false">IF(I885&lt;=Inputs!$C$23,1,0)</f>
        <v>1</v>
      </c>
      <c r="R885" s="19" t="n">
        <f aca="false">M885*N885*O885*P885*Q885</f>
        <v>1</v>
      </c>
      <c r="S885" s="14" t="n">
        <f aca="false">I885*R885</f>
        <v>12371.02</v>
      </c>
      <c r="T885" s="19" t="n">
        <f aca="false">IF(F885&gt;72,1,0)</f>
        <v>0</v>
      </c>
      <c r="U885" s="19" t="n">
        <f aca="false">IF(J885&gt;1.25,1,0)</f>
        <v>0</v>
      </c>
    </row>
    <row r="886" customFormat="false" ht="15" hidden="false" customHeight="false" outlineLevel="0" collapsed="false">
      <c r="B886" s="13" t="s">
        <v>1106</v>
      </c>
      <c r="C886" s="13" t="s">
        <v>221</v>
      </c>
      <c r="D886" s="19" t="n">
        <v>600</v>
      </c>
      <c r="E886" s="23" t="n">
        <v>0.2379</v>
      </c>
      <c r="F886" s="19" t="n">
        <v>60</v>
      </c>
      <c r="G886" s="19" t="n">
        <v>1</v>
      </c>
      <c r="H886" s="14" t="n">
        <v>29160</v>
      </c>
      <c r="I886" s="14" t="n">
        <v>28902.77</v>
      </c>
      <c r="J886" s="24" t="n">
        <v>0.871</v>
      </c>
      <c r="K886" s="19" t="n">
        <v>0</v>
      </c>
      <c r="L886" s="13" t="str">
        <f aca="false">IF(D886&gt;=Inputs!$C$14,"Near-prime","Non-prime")</f>
        <v>Non-prime</v>
      </c>
      <c r="M886" s="19" t="n">
        <f aca="false">IF(K886&lt;=Inputs!$C$19,1,0)</f>
        <v>1</v>
      </c>
      <c r="N886" s="19" t="n">
        <f aca="false">IF(F886&lt;=Inputs!$C$20,1,0)</f>
        <v>1</v>
      </c>
      <c r="O886" s="19" t="n">
        <f aca="false">IF(J886&lt;=Inputs!$C$21,1,0)</f>
        <v>1</v>
      </c>
      <c r="P886" s="19" t="n">
        <f aca="false">IF(D886&gt;=Inputs!$C$22,1,0)</f>
        <v>1</v>
      </c>
      <c r="Q886" s="19" t="n">
        <f aca="false">IF(I886&lt;=Inputs!$C$23,1,0)</f>
        <v>1</v>
      </c>
      <c r="R886" s="19" t="n">
        <f aca="false">M886*N886*O886*P886*Q886</f>
        <v>1</v>
      </c>
      <c r="S886" s="14" t="n">
        <f aca="false">I886*R886</f>
        <v>28902.77</v>
      </c>
      <c r="T886" s="19" t="n">
        <f aca="false">IF(F886&gt;72,1,0)</f>
        <v>0</v>
      </c>
      <c r="U886" s="19" t="n">
        <f aca="false">IF(J886&gt;1.25,1,0)</f>
        <v>0</v>
      </c>
    </row>
    <row r="887" customFormat="false" ht="15" hidden="false" customHeight="false" outlineLevel="0" collapsed="false">
      <c r="B887" s="13" t="s">
        <v>1107</v>
      </c>
      <c r="C887" s="13" t="s">
        <v>219</v>
      </c>
      <c r="D887" s="19" t="n">
        <v>578</v>
      </c>
      <c r="E887" s="23" t="n">
        <v>0.2061</v>
      </c>
      <c r="F887" s="19" t="n">
        <v>66</v>
      </c>
      <c r="G887" s="19" t="n">
        <v>6</v>
      </c>
      <c r="H887" s="14" t="n">
        <v>13590</v>
      </c>
      <c r="I887" s="14" t="n">
        <v>12886.08</v>
      </c>
      <c r="J887" s="24" t="n">
        <v>1.029</v>
      </c>
      <c r="K887" s="19" t="n">
        <v>0</v>
      </c>
      <c r="L887" s="13" t="str">
        <f aca="false">IF(D887&gt;=Inputs!$C$14,"Near-prime","Non-prime")</f>
        <v>Non-prime</v>
      </c>
      <c r="M887" s="19" t="n">
        <f aca="false">IF(K887&lt;=Inputs!$C$19,1,0)</f>
        <v>1</v>
      </c>
      <c r="N887" s="19" t="n">
        <f aca="false">IF(F887&lt;=Inputs!$C$20,1,0)</f>
        <v>1</v>
      </c>
      <c r="O887" s="19" t="n">
        <f aca="false">IF(J887&lt;=Inputs!$C$21,1,0)</f>
        <v>1</v>
      </c>
      <c r="P887" s="19" t="n">
        <f aca="false">IF(D887&gt;=Inputs!$C$22,1,0)</f>
        <v>1</v>
      </c>
      <c r="Q887" s="19" t="n">
        <f aca="false">IF(I887&lt;=Inputs!$C$23,1,0)</f>
        <v>1</v>
      </c>
      <c r="R887" s="19" t="n">
        <f aca="false">M887*N887*O887*P887*Q887</f>
        <v>1</v>
      </c>
      <c r="S887" s="14" t="n">
        <f aca="false">I887*R887</f>
        <v>12886.08</v>
      </c>
      <c r="T887" s="19" t="n">
        <f aca="false">IF(F887&gt;72,1,0)</f>
        <v>0</v>
      </c>
      <c r="U887" s="19" t="n">
        <f aca="false">IF(J887&gt;1.25,1,0)</f>
        <v>0</v>
      </c>
    </row>
    <row r="888" customFormat="false" ht="15" hidden="false" customHeight="false" outlineLevel="0" collapsed="false">
      <c r="B888" s="13" t="s">
        <v>1108</v>
      </c>
      <c r="C888" s="13" t="s">
        <v>257</v>
      </c>
      <c r="D888" s="19" t="n">
        <v>707</v>
      </c>
      <c r="E888" s="23" t="n">
        <v>0.1952</v>
      </c>
      <c r="F888" s="19" t="n">
        <v>66</v>
      </c>
      <c r="G888" s="19" t="n">
        <v>7</v>
      </c>
      <c r="H888" s="14" t="n">
        <v>18950</v>
      </c>
      <c r="I888" s="14" t="n">
        <v>17757.84</v>
      </c>
      <c r="J888" s="24" t="n">
        <v>1.14</v>
      </c>
      <c r="K888" s="19" t="n">
        <v>15</v>
      </c>
      <c r="L888" s="13" t="str">
        <f aca="false">IF(D888&gt;=Inputs!$C$14,"Near-prime","Non-prime")</f>
        <v>Near-prime</v>
      </c>
      <c r="M888" s="19" t="n">
        <f aca="false">IF(K888&lt;=Inputs!$C$19,1,0)</f>
        <v>1</v>
      </c>
      <c r="N888" s="19" t="n">
        <f aca="false">IF(F888&lt;=Inputs!$C$20,1,0)</f>
        <v>1</v>
      </c>
      <c r="O888" s="19" t="n">
        <f aca="false">IF(J888&lt;=Inputs!$C$21,1,0)</f>
        <v>1</v>
      </c>
      <c r="P888" s="19" t="n">
        <f aca="false">IF(D888&gt;=Inputs!$C$22,1,0)</f>
        <v>1</v>
      </c>
      <c r="Q888" s="19" t="n">
        <f aca="false">IF(I888&lt;=Inputs!$C$23,1,0)</f>
        <v>1</v>
      </c>
      <c r="R888" s="19" t="n">
        <f aca="false">M888*N888*O888*P888*Q888</f>
        <v>1</v>
      </c>
      <c r="S888" s="14" t="n">
        <f aca="false">I888*R888</f>
        <v>17757.84</v>
      </c>
      <c r="T888" s="19" t="n">
        <f aca="false">IF(F888&gt;72,1,0)</f>
        <v>0</v>
      </c>
      <c r="U888" s="19" t="n">
        <f aca="false">IF(J888&gt;1.25,1,0)</f>
        <v>0</v>
      </c>
    </row>
    <row r="889" customFormat="false" ht="15" hidden="false" customHeight="false" outlineLevel="0" collapsed="false">
      <c r="B889" s="13" t="s">
        <v>1109</v>
      </c>
      <c r="C889" s="13" t="s">
        <v>226</v>
      </c>
      <c r="D889" s="19" t="n">
        <v>714</v>
      </c>
      <c r="E889" s="23" t="n">
        <v>0.1894</v>
      </c>
      <c r="F889" s="19" t="n">
        <v>60</v>
      </c>
      <c r="G889" s="19" t="n">
        <v>7</v>
      </c>
      <c r="H889" s="14" t="n">
        <v>23250</v>
      </c>
      <c r="I889" s="14" t="n">
        <v>21522.18</v>
      </c>
      <c r="J889" s="24" t="n">
        <v>0.758</v>
      </c>
      <c r="K889" s="19" t="n">
        <v>0</v>
      </c>
      <c r="L889" s="13" t="str">
        <f aca="false">IF(D889&gt;=Inputs!$C$14,"Near-prime","Non-prime")</f>
        <v>Near-prime</v>
      </c>
      <c r="M889" s="19" t="n">
        <f aca="false">IF(K889&lt;=Inputs!$C$19,1,0)</f>
        <v>1</v>
      </c>
      <c r="N889" s="19" t="n">
        <f aca="false">IF(F889&lt;=Inputs!$C$20,1,0)</f>
        <v>1</v>
      </c>
      <c r="O889" s="19" t="n">
        <f aca="false">IF(J889&lt;=Inputs!$C$21,1,0)</f>
        <v>1</v>
      </c>
      <c r="P889" s="19" t="n">
        <f aca="false">IF(D889&gt;=Inputs!$C$22,1,0)</f>
        <v>1</v>
      </c>
      <c r="Q889" s="19" t="n">
        <f aca="false">IF(I889&lt;=Inputs!$C$23,1,0)</f>
        <v>1</v>
      </c>
      <c r="R889" s="19" t="n">
        <f aca="false">M889*N889*O889*P889*Q889</f>
        <v>1</v>
      </c>
      <c r="S889" s="14" t="n">
        <f aca="false">I889*R889</f>
        <v>21522.18</v>
      </c>
      <c r="T889" s="19" t="n">
        <f aca="false">IF(F889&gt;72,1,0)</f>
        <v>0</v>
      </c>
      <c r="U889" s="19" t="n">
        <f aca="false">IF(J889&gt;1.25,1,0)</f>
        <v>0</v>
      </c>
    </row>
    <row r="890" customFormat="false" ht="15" hidden="false" customHeight="false" outlineLevel="0" collapsed="false">
      <c r="B890" s="13" t="s">
        <v>1110</v>
      </c>
      <c r="C890" s="13" t="s">
        <v>217</v>
      </c>
      <c r="D890" s="19" t="n">
        <v>599</v>
      </c>
      <c r="E890" s="23" t="n">
        <v>0.2174</v>
      </c>
      <c r="F890" s="19" t="n">
        <v>66</v>
      </c>
      <c r="G890" s="19" t="n">
        <v>6</v>
      </c>
      <c r="H890" s="14" t="n">
        <v>15190</v>
      </c>
      <c r="I890" s="14" t="n">
        <v>14429.1</v>
      </c>
      <c r="J890" s="24" t="n">
        <v>0.951</v>
      </c>
      <c r="K890" s="19" t="n">
        <v>0</v>
      </c>
      <c r="L890" s="13" t="str">
        <f aca="false">IF(D890&gt;=Inputs!$C$14,"Near-prime","Non-prime")</f>
        <v>Non-prime</v>
      </c>
      <c r="M890" s="19" t="n">
        <f aca="false">IF(K890&lt;=Inputs!$C$19,1,0)</f>
        <v>1</v>
      </c>
      <c r="N890" s="19" t="n">
        <f aca="false">IF(F890&lt;=Inputs!$C$20,1,0)</f>
        <v>1</v>
      </c>
      <c r="O890" s="19" t="n">
        <f aca="false">IF(J890&lt;=Inputs!$C$21,1,0)</f>
        <v>1</v>
      </c>
      <c r="P890" s="19" t="n">
        <f aca="false">IF(D890&gt;=Inputs!$C$22,1,0)</f>
        <v>1</v>
      </c>
      <c r="Q890" s="19" t="n">
        <f aca="false">IF(I890&lt;=Inputs!$C$23,1,0)</f>
        <v>1</v>
      </c>
      <c r="R890" s="19" t="n">
        <f aca="false">M890*N890*O890*P890*Q890</f>
        <v>1</v>
      </c>
      <c r="S890" s="14" t="n">
        <f aca="false">I890*R890</f>
        <v>14429.1</v>
      </c>
      <c r="T890" s="19" t="n">
        <f aca="false">IF(F890&gt;72,1,0)</f>
        <v>0</v>
      </c>
      <c r="U890" s="19" t="n">
        <f aca="false">IF(J890&gt;1.25,1,0)</f>
        <v>0</v>
      </c>
    </row>
    <row r="891" customFormat="false" ht="15" hidden="false" customHeight="false" outlineLevel="0" collapsed="false">
      <c r="B891" s="13" t="s">
        <v>1111</v>
      </c>
      <c r="C891" s="13" t="s">
        <v>217</v>
      </c>
      <c r="D891" s="19" t="n">
        <v>695</v>
      </c>
      <c r="E891" s="23" t="n">
        <v>0.1966</v>
      </c>
      <c r="F891" s="19" t="n">
        <v>60</v>
      </c>
      <c r="G891" s="19" t="n">
        <v>10</v>
      </c>
      <c r="H891" s="14" t="n">
        <v>24480</v>
      </c>
      <c r="I891" s="14" t="n">
        <v>21864.04</v>
      </c>
      <c r="J891" s="24" t="n">
        <v>1.127</v>
      </c>
      <c r="K891" s="19" t="n">
        <v>0</v>
      </c>
      <c r="L891" s="13" t="str">
        <f aca="false">IF(D891&gt;=Inputs!$C$14,"Near-prime","Non-prime")</f>
        <v>Near-prime</v>
      </c>
      <c r="M891" s="19" t="n">
        <f aca="false">IF(K891&lt;=Inputs!$C$19,1,0)</f>
        <v>1</v>
      </c>
      <c r="N891" s="19" t="n">
        <f aca="false">IF(F891&lt;=Inputs!$C$20,1,0)</f>
        <v>1</v>
      </c>
      <c r="O891" s="19" t="n">
        <f aca="false">IF(J891&lt;=Inputs!$C$21,1,0)</f>
        <v>1</v>
      </c>
      <c r="P891" s="19" t="n">
        <f aca="false">IF(D891&gt;=Inputs!$C$22,1,0)</f>
        <v>1</v>
      </c>
      <c r="Q891" s="19" t="n">
        <f aca="false">IF(I891&lt;=Inputs!$C$23,1,0)</f>
        <v>1</v>
      </c>
      <c r="R891" s="19" t="n">
        <f aca="false">M891*N891*O891*P891*Q891</f>
        <v>1</v>
      </c>
      <c r="S891" s="14" t="n">
        <f aca="false">I891*R891</f>
        <v>21864.04</v>
      </c>
      <c r="T891" s="19" t="n">
        <f aca="false">IF(F891&gt;72,1,0)</f>
        <v>0</v>
      </c>
      <c r="U891" s="19" t="n">
        <f aca="false">IF(J891&gt;1.25,1,0)</f>
        <v>0</v>
      </c>
    </row>
    <row r="892" customFormat="false" ht="15" hidden="false" customHeight="false" outlineLevel="0" collapsed="false">
      <c r="B892" s="13" t="s">
        <v>1112</v>
      </c>
      <c r="C892" s="13" t="s">
        <v>221</v>
      </c>
      <c r="D892" s="19" t="n">
        <v>668</v>
      </c>
      <c r="E892" s="23" t="n">
        <v>0.185</v>
      </c>
      <c r="F892" s="19" t="n">
        <v>84</v>
      </c>
      <c r="G892" s="19" t="n">
        <v>10</v>
      </c>
      <c r="H892" s="14" t="n">
        <v>23590</v>
      </c>
      <c r="I892" s="14" t="n">
        <v>22098.76</v>
      </c>
      <c r="J892" s="24" t="n">
        <v>1.249</v>
      </c>
      <c r="K892" s="19" t="n">
        <v>0</v>
      </c>
      <c r="L892" s="13" t="str">
        <f aca="false">IF(D892&gt;=Inputs!$C$14,"Near-prime","Non-prime")</f>
        <v>Near-prime</v>
      </c>
      <c r="M892" s="19" t="n">
        <f aca="false">IF(K892&lt;=Inputs!$C$19,1,0)</f>
        <v>1</v>
      </c>
      <c r="N892" s="19" t="n">
        <f aca="false">IF(F892&lt;=Inputs!$C$20,1,0)</f>
        <v>0</v>
      </c>
      <c r="O892" s="19" t="n">
        <f aca="false">IF(J892&lt;=Inputs!$C$21,1,0)</f>
        <v>1</v>
      </c>
      <c r="P892" s="19" t="n">
        <f aca="false">IF(D892&gt;=Inputs!$C$22,1,0)</f>
        <v>1</v>
      </c>
      <c r="Q892" s="19" t="n">
        <f aca="false">IF(I892&lt;=Inputs!$C$23,1,0)</f>
        <v>1</v>
      </c>
      <c r="R892" s="19" t="n">
        <f aca="false">M892*N892*O892*P892*Q892</f>
        <v>0</v>
      </c>
      <c r="S892" s="14" t="n">
        <f aca="false">I892*R892</f>
        <v>0</v>
      </c>
      <c r="T892" s="19" t="n">
        <f aca="false">IF(F892&gt;72,1,0)</f>
        <v>1</v>
      </c>
      <c r="U892" s="19" t="n">
        <f aca="false">IF(J892&gt;1.25,1,0)</f>
        <v>0</v>
      </c>
    </row>
    <row r="893" customFormat="false" ht="15" hidden="false" customHeight="false" outlineLevel="0" collapsed="false">
      <c r="B893" s="13" t="s">
        <v>1113</v>
      </c>
      <c r="C893" s="13" t="s">
        <v>223</v>
      </c>
      <c r="D893" s="19" t="n">
        <v>644</v>
      </c>
      <c r="E893" s="23" t="n">
        <v>0.2056</v>
      </c>
      <c r="F893" s="19" t="n">
        <v>60</v>
      </c>
      <c r="G893" s="19" t="n">
        <v>8</v>
      </c>
      <c r="H893" s="14" t="n">
        <v>21830</v>
      </c>
      <c r="I893" s="14" t="n">
        <v>20035.84</v>
      </c>
      <c r="J893" s="24" t="n">
        <v>1.255</v>
      </c>
      <c r="K893" s="19" t="n">
        <v>0</v>
      </c>
      <c r="L893" s="13" t="str">
        <f aca="false">IF(D893&gt;=Inputs!$C$14,"Near-prime","Non-prime")</f>
        <v>Near-prime</v>
      </c>
      <c r="M893" s="19" t="n">
        <f aca="false">IF(K893&lt;=Inputs!$C$19,1,0)</f>
        <v>1</v>
      </c>
      <c r="N893" s="19" t="n">
        <f aca="false">IF(F893&lt;=Inputs!$C$20,1,0)</f>
        <v>1</v>
      </c>
      <c r="O893" s="19" t="n">
        <f aca="false">IF(J893&lt;=Inputs!$C$21,1,0)</f>
        <v>1</v>
      </c>
      <c r="P893" s="19" t="n">
        <f aca="false">IF(D893&gt;=Inputs!$C$22,1,0)</f>
        <v>1</v>
      </c>
      <c r="Q893" s="19" t="n">
        <f aca="false">IF(I893&lt;=Inputs!$C$23,1,0)</f>
        <v>1</v>
      </c>
      <c r="R893" s="19" t="n">
        <f aca="false">M893*N893*O893*P893*Q893</f>
        <v>1</v>
      </c>
      <c r="S893" s="14" t="n">
        <f aca="false">I893*R893</f>
        <v>20035.84</v>
      </c>
      <c r="T893" s="19" t="n">
        <f aca="false">IF(F893&gt;72,1,0)</f>
        <v>0</v>
      </c>
      <c r="U893" s="19" t="n">
        <f aca="false">IF(J893&gt;1.25,1,0)</f>
        <v>1</v>
      </c>
    </row>
    <row r="894" customFormat="false" ht="15" hidden="false" customHeight="false" outlineLevel="0" collapsed="false">
      <c r="B894" s="13" t="s">
        <v>1114</v>
      </c>
      <c r="C894" s="13" t="s">
        <v>237</v>
      </c>
      <c r="D894" s="19" t="n">
        <v>655</v>
      </c>
      <c r="E894" s="23" t="n">
        <v>0.1931</v>
      </c>
      <c r="F894" s="19" t="n">
        <v>60</v>
      </c>
      <c r="G894" s="19" t="n">
        <v>6</v>
      </c>
      <c r="H894" s="14" t="n">
        <v>19740</v>
      </c>
      <c r="I894" s="14" t="n">
        <v>18504.48</v>
      </c>
      <c r="J894" s="24" t="n">
        <v>1.048</v>
      </c>
      <c r="K894" s="19" t="n">
        <v>0</v>
      </c>
      <c r="L894" s="13" t="str">
        <f aca="false">IF(D894&gt;=Inputs!$C$14,"Near-prime","Non-prime")</f>
        <v>Near-prime</v>
      </c>
      <c r="M894" s="19" t="n">
        <f aca="false">IF(K894&lt;=Inputs!$C$19,1,0)</f>
        <v>1</v>
      </c>
      <c r="N894" s="19" t="n">
        <f aca="false">IF(F894&lt;=Inputs!$C$20,1,0)</f>
        <v>1</v>
      </c>
      <c r="O894" s="19" t="n">
        <f aca="false">IF(J894&lt;=Inputs!$C$21,1,0)</f>
        <v>1</v>
      </c>
      <c r="P894" s="19" t="n">
        <f aca="false">IF(D894&gt;=Inputs!$C$22,1,0)</f>
        <v>1</v>
      </c>
      <c r="Q894" s="19" t="n">
        <f aca="false">IF(I894&lt;=Inputs!$C$23,1,0)</f>
        <v>1</v>
      </c>
      <c r="R894" s="19" t="n">
        <f aca="false">M894*N894*O894*P894*Q894</f>
        <v>1</v>
      </c>
      <c r="S894" s="14" t="n">
        <f aca="false">I894*R894</f>
        <v>18504.48</v>
      </c>
      <c r="T894" s="19" t="n">
        <f aca="false">IF(F894&gt;72,1,0)</f>
        <v>0</v>
      </c>
      <c r="U894" s="19" t="n">
        <f aca="false">IF(J894&gt;1.25,1,0)</f>
        <v>0</v>
      </c>
    </row>
    <row r="895" customFormat="false" ht="15" hidden="false" customHeight="false" outlineLevel="0" collapsed="false">
      <c r="B895" s="13" t="s">
        <v>1115</v>
      </c>
      <c r="C895" s="13" t="s">
        <v>252</v>
      </c>
      <c r="D895" s="19" t="n">
        <v>746</v>
      </c>
      <c r="E895" s="23" t="n">
        <v>0.17</v>
      </c>
      <c r="F895" s="19" t="n">
        <v>72</v>
      </c>
      <c r="G895" s="19" t="n">
        <v>7</v>
      </c>
      <c r="H895" s="14" t="n">
        <v>37750</v>
      </c>
      <c r="I895" s="14" t="n">
        <v>35522.09</v>
      </c>
      <c r="J895" s="24" t="n">
        <v>1.055</v>
      </c>
      <c r="K895" s="19" t="n">
        <v>0</v>
      </c>
      <c r="L895" s="13" t="str">
        <f aca="false">IF(D895&gt;=Inputs!$C$14,"Near-prime","Non-prime")</f>
        <v>Near-prime</v>
      </c>
      <c r="M895" s="19" t="n">
        <f aca="false">IF(K895&lt;=Inputs!$C$19,1,0)</f>
        <v>1</v>
      </c>
      <c r="N895" s="19" t="n">
        <f aca="false">IF(F895&lt;=Inputs!$C$20,1,0)</f>
        <v>1</v>
      </c>
      <c r="O895" s="19" t="n">
        <f aca="false">IF(J895&lt;=Inputs!$C$21,1,0)</f>
        <v>1</v>
      </c>
      <c r="P895" s="19" t="n">
        <f aca="false">IF(D895&gt;=Inputs!$C$22,1,0)</f>
        <v>1</v>
      </c>
      <c r="Q895" s="19" t="n">
        <f aca="false">IF(I895&lt;=Inputs!$C$23,1,0)</f>
        <v>1</v>
      </c>
      <c r="R895" s="19" t="n">
        <f aca="false">M895*N895*O895*P895*Q895</f>
        <v>1</v>
      </c>
      <c r="S895" s="14" t="n">
        <f aca="false">I895*R895</f>
        <v>35522.09</v>
      </c>
      <c r="T895" s="19" t="n">
        <f aca="false">IF(F895&gt;72,1,0)</f>
        <v>0</v>
      </c>
      <c r="U895" s="19" t="n">
        <f aca="false">IF(J895&gt;1.25,1,0)</f>
        <v>0</v>
      </c>
    </row>
    <row r="896" customFormat="false" ht="15" hidden="false" customHeight="false" outlineLevel="0" collapsed="false">
      <c r="B896" s="13" t="s">
        <v>1116</v>
      </c>
      <c r="C896" s="13" t="s">
        <v>221</v>
      </c>
      <c r="D896" s="19" t="n">
        <v>689</v>
      </c>
      <c r="E896" s="23" t="n">
        <v>0.1946</v>
      </c>
      <c r="F896" s="19" t="n">
        <v>66</v>
      </c>
      <c r="G896" s="19" t="n">
        <v>1</v>
      </c>
      <c r="H896" s="14" t="n">
        <v>24100</v>
      </c>
      <c r="I896" s="14" t="n">
        <v>23893.36</v>
      </c>
      <c r="J896" s="24" t="n">
        <v>1.206</v>
      </c>
      <c r="K896" s="19" t="n">
        <v>0</v>
      </c>
      <c r="L896" s="13" t="str">
        <f aca="false">IF(D896&gt;=Inputs!$C$14,"Near-prime","Non-prime")</f>
        <v>Near-prime</v>
      </c>
      <c r="M896" s="19" t="n">
        <f aca="false">IF(K896&lt;=Inputs!$C$19,1,0)</f>
        <v>1</v>
      </c>
      <c r="N896" s="19" t="n">
        <f aca="false">IF(F896&lt;=Inputs!$C$20,1,0)</f>
        <v>1</v>
      </c>
      <c r="O896" s="19" t="n">
        <f aca="false">IF(J896&lt;=Inputs!$C$21,1,0)</f>
        <v>1</v>
      </c>
      <c r="P896" s="19" t="n">
        <f aca="false">IF(D896&gt;=Inputs!$C$22,1,0)</f>
        <v>1</v>
      </c>
      <c r="Q896" s="19" t="n">
        <f aca="false">IF(I896&lt;=Inputs!$C$23,1,0)</f>
        <v>1</v>
      </c>
      <c r="R896" s="19" t="n">
        <f aca="false">M896*N896*O896*P896*Q896</f>
        <v>1</v>
      </c>
      <c r="S896" s="14" t="n">
        <f aca="false">I896*R896</f>
        <v>23893.36</v>
      </c>
      <c r="T896" s="19" t="n">
        <f aca="false">IF(F896&gt;72,1,0)</f>
        <v>0</v>
      </c>
      <c r="U896" s="19" t="n">
        <f aca="false">IF(J896&gt;1.25,1,0)</f>
        <v>0</v>
      </c>
    </row>
    <row r="897" customFormat="false" ht="15" hidden="false" customHeight="false" outlineLevel="0" collapsed="false">
      <c r="B897" s="13" t="s">
        <v>1117</v>
      </c>
      <c r="C897" s="13" t="s">
        <v>252</v>
      </c>
      <c r="D897" s="19" t="n">
        <v>681</v>
      </c>
      <c r="E897" s="23" t="n">
        <v>0.2118</v>
      </c>
      <c r="F897" s="19" t="n">
        <v>60</v>
      </c>
      <c r="G897" s="19" t="n">
        <v>8</v>
      </c>
      <c r="H897" s="14" t="n">
        <v>25730</v>
      </c>
      <c r="I897" s="14" t="n">
        <v>23648.33</v>
      </c>
      <c r="J897" s="24" t="n">
        <v>1.159</v>
      </c>
      <c r="K897" s="19" t="n">
        <v>0</v>
      </c>
      <c r="L897" s="13" t="str">
        <f aca="false">IF(D897&gt;=Inputs!$C$14,"Near-prime","Non-prime")</f>
        <v>Near-prime</v>
      </c>
      <c r="M897" s="19" t="n">
        <f aca="false">IF(K897&lt;=Inputs!$C$19,1,0)</f>
        <v>1</v>
      </c>
      <c r="N897" s="19" t="n">
        <f aca="false">IF(F897&lt;=Inputs!$C$20,1,0)</f>
        <v>1</v>
      </c>
      <c r="O897" s="19" t="n">
        <f aca="false">IF(J897&lt;=Inputs!$C$21,1,0)</f>
        <v>1</v>
      </c>
      <c r="P897" s="19" t="n">
        <f aca="false">IF(D897&gt;=Inputs!$C$22,1,0)</f>
        <v>1</v>
      </c>
      <c r="Q897" s="19" t="n">
        <f aca="false">IF(I897&lt;=Inputs!$C$23,1,0)</f>
        <v>1</v>
      </c>
      <c r="R897" s="19" t="n">
        <f aca="false">M897*N897*O897*P897*Q897</f>
        <v>1</v>
      </c>
      <c r="S897" s="14" t="n">
        <f aca="false">I897*R897</f>
        <v>23648.33</v>
      </c>
      <c r="T897" s="19" t="n">
        <f aca="false">IF(F897&gt;72,1,0)</f>
        <v>0</v>
      </c>
      <c r="U897" s="19" t="n">
        <f aca="false">IF(J897&gt;1.25,1,0)</f>
        <v>0</v>
      </c>
    </row>
    <row r="898" customFormat="false" ht="15" hidden="false" customHeight="false" outlineLevel="0" collapsed="false">
      <c r="B898" s="13" t="s">
        <v>1118</v>
      </c>
      <c r="C898" s="13" t="s">
        <v>223</v>
      </c>
      <c r="D898" s="19" t="n">
        <v>677</v>
      </c>
      <c r="E898" s="23" t="n">
        <v>0.2038</v>
      </c>
      <c r="F898" s="19" t="n">
        <v>72</v>
      </c>
      <c r="G898" s="19" t="n">
        <v>2</v>
      </c>
      <c r="H898" s="14" t="n">
        <v>27520</v>
      </c>
      <c r="I898" s="14" t="n">
        <v>27120.89</v>
      </c>
      <c r="J898" s="24" t="n">
        <v>1.28</v>
      </c>
      <c r="K898" s="19" t="n">
        <v>0</v>
      </c>
      <c r="L898" s="13" t="str">
        <f aca="false">IF(D898&gt;=Inputs!$C$14,"Near-prime","Non-prime")</f>
        <v>Near-prime</v>
      </c>
      <c r="M898" s="19" t="n">
        <f aca="false">IF(K898&lt;=Inputs!$C$19,1,0)</f>
        <v>1</v>
      </c>
      <c r="N898" s="19" t="n">
        <f aca="false">IF(F898&lt;=Inputs!$C$20,1,0)</f>
        <v>1</v>
      </c>
      <c r="O898" s="19" t="n">
        <f aca="false">IF(J898&lt;=Inputs!$C$21,1,0)</f>
        <v>1</v>
      </c>
      <c r="P898" s="19" t="n">
        <f aca="false">IF(D898&gt;=Inputs!$C$22,1,0)</f>
        <v>1</v>
      </c>
      <c r="Q898" s="19" t="n">
        <f aca="false">IF(I898&lt;=Inputs!$C$23,1,0)</f>
        <v>1</v>
      </c>
      <c r="R898" s="19" t="n">
        <f aca="false">M898*N898*O898*P898*Q898</f>
        <v>1</v>
      </c>
      <c r="S898" s="14" t="n">
        <f aca="false">I898*R898</f>
        <v>27120.89</v>
      </c>
      <c r="T898" s="19" t="n">
        <f aca="false">IF(F898&gt;72,1,0)</f>
        <v>0</v>
      </c>
      <c r="U898" s="19" t="n">
        <f aca="false">IF(J898&gt;1.25,1,0)</f>
        <v>1</v>
      </c>
    </row>
    <row r="899" customFormat="false" ht="15" hidden="false" customHeight="false" outlineLevel="0" collapsed="false">
      <c r="B899" s="13" t="s">
        <v>1119</v>
      </c>
      <c r="C899" s="13" t="s">
        <v>257</v>
      </c>
      <c r="D899" s="19" t="n">
        <v>619</v>
      </c>
      <c r="E899" s="23" t="n">
        <v>0.2037</v>
      </c>
      <c r="F899" s="19" t="n">
        <v>75</v>
      </c>
      <c r="G899" s="19" t="n">
        <v>5</v>
      </c>
      <c r="H899" s="14" t="n">
        <v>18500</v>
      </c>
      <c r="I899" s="14" t="n">
        <v>17858.96</v>
      </c>
      <c r="J899" s="24" t="n">
        <v>0.876</v>
      </c>
      <c r="K899" s="19" t="n">
        <v>15</v>
      </c>
      <c r="L899" s="13" t="str">
        <f aca="false">IF(D899&gt;=Inputs!$C$14,"Near-prime","Non-prime")</f>
        <v>Non-prime</v>
      </c>
      <c r="M899" s="19" t="n">
        <f aca="false">IF(K899&lt;=Inputs!$C$19,1,0)</f>
        <v>1</v>
      </c>
      <c r="N899" s="19" t="n">
        <f aca="false">IF(F899&lt;=Inputs!$C$20,1,0)</f>
        <v>1</v>
      </c>
      <c r="O899" s="19" t="n">
        <f aca="false">IF(J899&lt;=Inputs!$C$21,1,0)</f>
        <v>1</v>
      </c>
      <c r="P899" s="19" t="n">
        <f aca="false">IF(D899&gt;=Inputs!$C$22,1,0)</f>
        <v>1</v>
      </c>
      <c r="Q899" s="19" t="n">
        <f aca="false">IF(I899&lt;=Inputs!$C$23,1,0)</f>
        <v>1</v>
      </c>
      <c r="R899" s="19" t="n">
        <f aca="false">M899*N899*O899*P899*Q899</f>
        <v>1</v>
      </c>
      <c r="S899" s="14" t="n">
        <f aca="false">I899*R899</f>
        <v>17858.96</v>
      </c>
      <c r="T899" s="19" t="n">
        <f aca="false">IF(F899&gt;72,1,0)</f>
        <v>1</v>
      </c>
      <c r="U899" s="19" t="n">
        <f aca="false">IF(J899&gt;1.25,1,0)</f>
        <v>0</v>
      </c>
    </row>
    <row r="900" customFormat="false" ht="15" hidden="false" customHeight="false" outlineLevel="0" collapsed="false">
      <c r="B900" s="13" t="s">
        <v>1120</v>
      </c>
      <c r="C900" s="13" t="s">
        <v>237</v>
      </c>
      <c r="D900" s="19" t="n">
        <v>634</v>
      </c>
      <c r="E900" s="23" t="n">
        <v>0.2217</v>
      </c>
      <c r="F900" s="19" t="n">
        <v>60</v>
      </c>
      <c r="G900" s="19" t="n">
        <v>7</v>
      </c>
      <c r="H900" s="14" t="n">
        <v>21730</v>
      </c>
      <c r="I900" s="14" t="n">
        <v>20244.06</v>
      </c>
      <c r="J900" s="24" t="n">
        <v>1.152</v>
      </c>
      <c r="K900" s="19" t="n">
        <v>0</v>
      </c>
      <c r="L900" s="13" t="str">
        <f aca="false">IF(D900&gt;=Inputs!$C$14,"Near-prime","Non-prime")</f>
        <v>Near-prime</v>
      </c>
      <c r="M900" s="19" t="n">
        <f aca="false">IF(K900&lt;=Inputs!$C$19,1,0)</f>
        <v>1</v>
      </c>
      <c r="N900" s="19" t="n">
        <f aca="false">IF(F900&lt;=Inputs!$C$20,1,0)</f>
        <v>1</v>
      </c>
      <c r="O900" s="19" t="n">
        <f aca="false">IF(J900&lt;=Inputs!$C$21,1,0)</f>
        <v>1</v>
      </c>
      <c r="P900" s="19" t="n">
        <f aca="false">IF(D900&gt;=Inputs!$C$22,1,0)</f>
        <v>1</v>
      </c>
      <c r="Q900" s="19" t="n">
        <f aca="false">IF(I900&lt;=Inputs!$C$23,1,0)</f>
        <v>1</v>
      </c>
      <c r="R900" s="19" t="n">
        <f aca="false">M900*N900*O900*P900*Q900</f>
        <v>1</v>
      </c>
      <c r="S900" s="14" t="n">
        <f aca="false">I900*R900</f>
        <v>20244.06</v>
      </c>
      <c r="T900" s="19" t="n">
        <f aca="false">IF(F900&gt;72,1,0)</f>
        <v>0</v>
      </c>
      <c r="U900" s="19" t="n">
        <f aca="false">IF(J900&gt;1.25,1,0)</f>
        <v>0</v>
      </c>
    </row>
    <row r="901" customFormat="false" ht="15" hidden="false" customHeight="false" outlineLevel="0" collapsed="false">
      <c r="B901" s="13" t="s">
        <v>1121</v>
      </c>
      <c r="C901" s="13" t="s">
        <v>226</v>
      </c>
      <c r="D901" s="19" t="n">
        <v>643</v>
      </c>
      <c r="E901" s="23" t="n">
        <v>0.229</v>
      </c>
      <c r="F901" s="19" t="n">
        <v>75</v>
      </c>
      <c r="G901" s="19" t="n">
        <v>10</v>
      </c>
      <c r="H901" s="14" t="n">
        <v>52880</v>
      </c>
      <c r="I901" s="14" t="n">
        <v>49362.14</v>
      </c>
      <c r="J901" s="24" t="n">
        <v>1.167</v>
      </c>
      <c r="K901" s="19" t="n">
        <v>0</v>
      </c>
      <c r="L901" s="13" t="str">
        <f aca="false">IF(D901&gt;=Inputs!$C$14,"Near-prime","Non-prime")</f>
        <v>Near-prime</v>
      </c>
      <c r="M901" s="19" t="n">
        <f aca="false">IF(K901&lt;=Inputs!$C$19,1,0)</f>
        <v>1</v>
      </c>
      <c r="N901" s="19" t="n">
        <f aca="false">IF(F901&lt;=Inputs!$C$20,1,0)</f>
        <v>1</v>
      </c>
      <c r="O901" s="19" t="n">
        <f aca="false">IF(J901&lt;=Inputs!$C$21,1,0)</f>
        <v>1</v>
      </c>
      <c r="P901" s="19" t="n">
        <f aca="false">IF(D901&gt;=Inputs!$C$22,1,0)</f>
        <v>1</v>
      </c>
      <c r="Q901" s="19" t="n">
        <f aca="false">IF(I901&lt;=Inputs!$C$23,1,0)</f>
        <v>1</v>
      </c>
      <c r="R901" s="19" t="n">
        <f aca="false">M901*N901*O901*P901*Q901</f>
        <v>1</v>
      </c>
      <c r="S901" s="14" t="n">
        <f aca="false">I901*R901</f>
        <v>49362.14</v>
      </c>
      <c r="T901" s="19" t="n">
        <f aca="false">IF(F901&gt;72,1,0)</f>
        <v>1</v>
      </c>
      <c r="U901" s="19" t="n">
        <f aca="false">IF(J901&gt;1.25,1,0)</f>
        <v>0</v>
      </c>
    </row>
    <row r="902" customFormat="false" ht="15" hidden="false" customHeight="false" outlineLevel="0" collapsed="false">
      <c r="B902" s="13" t="s">
        <v>1122</v>
      </c>
      <c r="C902" s="13" t="s">
        <v>233</v>
      </c>
      <c r="D902" s="19" t="n">
        <v>605</v>
      </c>
      <c r="E902" s="23" t="n">
        <v>0.1994</v>
      </c>
      <c r="F902" s="19" t="n">
        <v>60</v>
      </c>
      <c r="G902" s="19" t="n">
        <v>1</v>
      </c>
      <c r="H902" s="14" t="n">
        <v>19070</v>
      </c>
      <c r="I902" s="14" t="n">
        <v>18882.28</v>
      </c>
      <c r="J902" s="24" t="n">
        <v>1.222</v>
      </c>
      <c r="K902" s="19" t="n">
        <v>0</v>
      </c>
      <c r="L902" s="13" t="str">
        <f aca="false">IF(D902&gt;=Inputs!$C$14,"Near-prime","Non-prime")</f>
        <v>Non-prime</v>
      </c>
      <c r="M902" s="19" t="n">
        <f aca="false">IF(K902&lt;=Inputs!$C$19,1,0)</f>
        <v>1</v>
      </c>
      <c r="N902" s="19" t="n">
        <f aca="false">IF(F902&lt;=Inputs!$C$20,1,0)</f>
        <v>1</v>
      </c>
      <c r="O902" s="19" t="n">
        <f aca="false">IF(J902&lt;=Inputs!$C$21,1,0)</f>
        <v>1</v>
      </c>
      <c r="P902" s="19" t="n">
        <f aca="false">IF(D902&gt;=Inputs!$C$22,1,0)</f>
        <v>1</v>
      </c>
      <c r="Q902" s="19" t="n">
        <f aca="false">IF(I902&lt;=Inputs!$C$23,1,0)</f>
        <v>1</v>
      </c>
      <c r="R902" s="19" t="n">
        <f aca="false">M902*N902*O902*P902*Q902</f>
        <v>1</v>
      </c>
      <c r="S902" s="14" t="n">
        <f aca="false">I902*R902</f>
        <v>18882.28</v>
      </c>
      <c r="T902" s="19" t="n">
        <f aca="false">IF(F902&gt;72,1,0)</f>
        <v>0</v>
      </c>
      <c r="U902" s="19" t="n">
        <f aca="false">IF(J902&gt;1.25,1,0)</f>
        <v>0</v>
      </c>
    </row>
    <row r="903" customFormat="false" ht="15" hidden="false" customHeight="false" outlineLevel="0" collapsed="false">
      <c r="B903" s="13" t="s">
        <v>1123</v>
      </c>
      <c r="C903" s="13" t="s">
        <v>219</v>
      </c>
      <c r="D903" s="19" t="n">
        <v>678</v>
      </c>
      <c r="E903" s="23" t="n">
        <v>0.1829</v>
      </c>
      <c r="F903" s="19" t="n">
        <v>72</v>
      </c>
      <c r="G903" s="19" t="n">
        <v>2</v>
      </c>
      <c r="H903" s="14" t="n">
        <v>41510</v>
      </c>
      <c r="I903" s="14" t="n">
        <v>40863.33</v>
      </c>
      <c r="J903" s="24" t="n">
        <v>0.71</v>
      </c>
      <c r="K903" s="19" t="n">
        <v>0</v>
      </c>
      <c r="L903" s="13" t="str">
        <f aca="false">IF(D903&gt;=Inputs!$C$14,"Near-prime","Non-prime")</f>
        <v>Near-prime</v>
      </c>
      <c r="M903" s="19" t="n">
        <f aca="false">IF(K903&lt;=Inputs!$C$19,1,0)</f>
        <v>1</v>
      </c>
      <c r="N903" s="19" t="n">
        <f aca="false">IF(F903&lt;=Inputs!$C$20,1,0)</f>
        <v>1</v>
      </c>
      <c r="O903" s="19" t="n">
        <f aca="false">IF(J903&lt;=Inputs!$C$21,1,0)</f>
        <v>1</v>
      </c>
      <c r="P903" s="19" t="n">
        <f aca="false">IF(D903&gt;=Inputs!$C$22,1,0)</f>
        <v>1</v>
      </c>
      <c r="Q903" s="19" t="n">
        <f aca="false">IF(I903&lt;=Inputs!$C$23,1,0)</f>
        <v>1</v>
      </c>
      <c r="R903" s="19" t="n">
        <f aca="false">M903*N903*O903*P903*Q903</f>
        <v>1</v>
      </c>
      <c r="S903" s="14" t="n">
        <f aca="false">I903*R903</f>
        <v>40863.33</v>
      </c>
      <c r="T903" s="19" t="n">
        <f aca="false">IF(F903&gt;72,1,0)</f>
        <v>0</v>
      </c>
      <c r="U903" s="19" t="n">
        <f aca="false">IF(J903&gt;1.25,1,0)</f>
        <v>0</v>
      </c>
    </row>
    <row r="904" customFormat="false" ht="15" hidden="false" customHeight="false" outlineLevel="0" collapsed="false">
      <c r="B904" s="13" t="s">
        <v>1124</v>
      </c>
      <c r="C904" s="13" t="s">
        <v>219</v>
      </c>
      <c r="D904" s="19" t="n">
        <v>710</v>
      </c>
      <c r="E904" s="23" t="n">
        <v>0.2146</v>
      </c>
      <c r="F904" s="19" t="n">
        <v>72</v>
      </c>
      <c r="G904" s="19" t="n">
        <v>10</v>
      </c>
      <c r="H904" s="14" t="n">
        <v>12850</v>
      </c>
      <c r="I904" s="14" t="n">
        <v>11885.24</v>
      </c>
      <c r="J904" s="24" t="n">
        <v>1.083</v>
      </c>
      <c r="K904" s="19" t="n">
        <v>0</v>
      </c>
      <c r="L904" s="13" t="str">
        <f aca="false">IF(D904&gt;=Inputs!$C$14,"Near-prime","Non-prime")</f>
        <v>Near-prime</v>
      </c>
      <c r="M904" s="19" t="n">
        <f aca="false">IF(K904&lt;=Inputs!$C$19,1,0)</f>
        <v>1</v>
      </c>
      <c r="N904" s="19" t="n">
        <f aca="false">IF(F904&lt;=Inputs!$C$20,1,0)</f>
        <v>1</v>
      </c>
      <c r="O904" s="19" t="n">
        <f aca="false">IF(J904&lt;=Inputs!$C$21,1,0)</f>
        <v>1</v>
      </c>
      <c r="P904" s="19" t="n">
        <f aca="false">IF(D904&gt;=Inputs!$C$22,1,0)</f>
        <v>1</v>
      </c>
      <c r="Q904" s="19" t="n">
        <f aca="false">IF(I904&lt;=Inputs!$C$23,1,0)</f>
        <v>1</v>
      </c>
      <c r="R904" s="19" t="n">
        <f aca="false">M904*N904*O904*P904*Q904</f>
        <v>1</v>
      </c>
      <c r="S904" s="14" t="n">
        <f aca="false">I904*R904</f>
        <v>11885.24</v>
      </c>
      <c r="T904" s="19" t="n">
        <f aca="false">IF(F904&gt;72,1,0)</f>
        <v>0</v>
      </c>
      <c r="U904" s="19" t="n">
        <f aca="false">IF(J904&gt;1.25,1,0)</f>
        <v>0</v>
      </c>
    </row>
    <row r="905" customFormat="false" ht="15" hidden="false" customHeight="false" outlineLevel="0" collapsed="false">
      <c r="B905" s="13" t="s">
        <v>1125</v>
      </c>
      <c r="C905" s="13" t="s">
        <v>237</v>
      </c>
      <c r="D905" s="19" t="n">
        <v>645</v>
      </c>
      <c r="E905" s="23" t="n">
        <v>0.1999</v>
      </c>
      <c r="F905" s="19" t="n">
        <v>60</v>
      </c>
      <c r="G905" s="19" t="n">
        <v>6</v>
      </c>
      <c r="H905" s="14" t="n">
        <v>25570</v>
      </c>
      <c r="I905" s="14" t="n">
        <v>23997.66</v>
      </c>
      <c r="J905" s="24" t="n">
        <v>1.214</v>
      </c>
      <c r="K905" s="19" t="n">
        <v>0</v>
      </c>
      <c r="L905" s="13" t="str">
        <f aca="false">IF(D905&gt;=Inputs!$C$14,"Near-prime","Non-prime")</f>
        <v>Near-prime</v>
      </c>
      <c r="M905" s="19" t="n">
        <f aca="false">IF(K905&lt;=Inputs!$C$19,1,0)</f>
        <v>1</v>
      </c>
      <c r="N905" s="19" t="n">
        <f aca="false">IF(F905&lt;=Inputs!$C$20,1,0)</f>
        <v>1</v>
      </c>
      <c r="O905" s="19" t="n">
        <f aca="false">IF(J905&lt;=Inputs!$C$21,1,0)</f>
        <v>1</v>
      </c>
      <c r="P905" s="19" t="n">
        <f aca="false">IF(D905&gt;=Inputs!$C$22,1,0)</f>
        <v>1</v>
      </c>
      <c r="Q905" s="19" t="n">
        <f aca="false">IF(I905&lt;=Inputs!$C$23,1,0)</f>
        <v>1</v>
      </c>
      <c r="R905" s="19" t="n">
        <f aca="false">M905*N905*O905*P905*Q905</f>
        <v>1</v>
      </c>
      <c r="S905" s="14" t="n">
        <f aca="false">I905*R905</f>
        <v>23997.66</v>
      </c>
      <c r="T905" s="19" t="n">
        <f aca="false">IF(F905&gt;72,1,0)</f>
        <v>0</v>
      </c>
      <c r="U905" s="19" t="n">
        <f aca="false">IF(J905&gt;1.25,1,0)</f>
        <v>0</v>
      </c>
    </row>
    <row r="906" customFormat="false" ht="15" hidden="false" customHeight="false" outlineLevel="0" collapsed="false">
      <c r="B906" s="13" t="s">
        <v>1126</v>
      </c>
      <c r="C906" s="13" t="s">
        <v>219</v>
      </c>
      <c r="D906" s="19" t="n">
        <v>608</v>
      </c>
      <c r="E906" s="23" t="n">
        <v>0.2261</v>
      </c>
      <c r="F906" s="19" t="n">
        <v>66</v>
      </c>
      <c r="G906" s="19" t="n">
        <v>10</v>
      </c>
      <c r="H906" s="14" t="n">
        <v>19790</v>
      </c>
      <c r="I906" s="14" t="n">
        <v>18117.3</v>
      </c>
      <c r="J906" s="24" t="n">
        <v>1.23</v>
      </c>
      <c r="K906" s="19" t="n">
        <v>0</v>
      </c>
      <c r="L906" s="13" t="str">
        <f aca="false">IF(D906&gt;=Inputs!$C$14,"Near-prime","Non-prime")</f>
        <v>Non-prime</v>
      </c>
      <c r="M906" s="19" t="n">
        <f aca="false">IF(K906&lt;=Inputs!$C$19,1,0)</f>
        <v>1</v>
      </c>
      <c r="N906" s="19" t="n">
        <f aca="false">IF(F906&lt;=Inputs!$C$20,1,0)</f>
        <v>1</v>
      </c>
      <c r="O906" s="19" t="n">
        <f aca="false">IF(J906&lt;=Inputs!$C$21,1,0)</f>
        <v>1</v>
      </c>
      <c r="P906" s="19" t="n">
        <f aca="false">IF(D906&gt;=Inputs!$C$22,1,0)</f>
        <v>1</v>
      </c>
      <c r="Q906" s="19" t="n">
        <f aca="false">IF(I906&lt;=Inputs!$C$23,1,0)</f>
        <v>1</v>
      </c>
      <c r="R906" s="19" t="n">
        <f aca="false">M906*N906*O906*P906*Q906</f>
        <v>1</v>
      </c>
      <c r="S906" s="14" t="n">
        <f aca="false">I906*R906</f>
        <v>18117.3</v>
      </c>
      <c r="T906" s="19" t="n">
        <f aca="false">IF(F906&gt;72,1,0)</f>
        <v>0</v>
      </c>
      <c r="U906" s="19" t="n">
        <f aca="false">IF(J906&gt;1.25,1,0)</f>
        <v>0</v>
      </c>
    </row>
    <row r="907" customFormat="false" ht="15" hidden="false" customHeight="false" outlineLevel="0" collapsed="false">
      <c r="B907" s="13" t="s">
        <v>1127</v>
      </c>
      <c r="C907" s="13" t="s">
        <v>233</v>
      </c>
      <c r="D907" s="19" t="n">
        <v>609</v>
      </c>
      <c r="E907" s="23" t="n">
        <v>0.2064</v>
      </c>
      <c r="F907" s="19" t="n">
        <v>60</v>
      </c>
      <c r="G907" s="19" t="n">
        <v>10</v>
      </c>
      <c r="H907" s="14" t="n">
        <v>26110</v>
      </c>
      <c r="I907" s="14" t="n">
        <v>23385.8</v>
      </c>
      <c r="J907" s="24" t="n">
        <v>1.222</v>
      </c>
      <c r="K907" s="19" t="n">
        <v>0</v>
      </c>
      <c r="L907" s="13" t="str">
        <f aca="false">IF(D907&gt;=Inputs!$C$14,"Near-prime","Non-prime")</f>
        <v>Non-prime</v>
      </c>
      <c r="M907" s="19" t="n">
        <f aca="false">IF(K907&lt;=Inputs!$C$19,1,0)</f>
        <v>1</v>
      </c>
      <c r="N907" s="19" t="n">
        <f aca="false">IF(F907&lt;=Inputs!$C$20,1,0)</f>
        <v>1</v>
      </c>
      <c r="O907" s="19" t="n">
        <f aca="false">IF(J907&lt;=Inputs!$C$21,1,0)</f>
        <v>1</v>
      </c>
      <c r="P907" s="19" t="n">
        <f aca="false">IF(D907&gt;=Inputs!$C$22,1,0)</f>
        <v>1</v>
      </c>
      <c r="Q907" s="19" t="n">
        <f aca="false">IF(I907&lt;=Inputs!$C$23,1,0)</f>
        <v>1</v>
      </c>
      <c r="R907" s="19" t="n">
        <f aca="false">M907*N907*O907*P907*Q907</f>
        <v>1</v>
      </c>
      <c r="S907" s="14" t="n">
        <f aca="false">I907*R907</f>
        <v>23385.8</v>
      </c>
      <c r="T907" s="19" t="n">
        <f aca="false">IF(F907&gt;72,1,0)</f>
        <v>0</v>
      </c>
      <c r="U907" s="19" t="n">
        <f aca="false">IF(J907&gt;1.25,1,0)</f>
        <v>0</v>
      </c>
    </row>
    <row r="908" customFormat="false" ht="15" hidden="false" customHeight="false" outlineLevel="0" collapsed="false">
      <c r="B908" s="13" t="s">
        <v>1128</v>
      </c>
      <c r="C908" s="13" t="s">
        <v>221</v>
      </c>
      <c r="D908" s="19" t="n">
        <v>733</v>
      </c>
      <c r="E908" s="23" t="n">
        <v>0.1925</v>
      </c>
      <c r="F908" s="19" t="n">
        <v>66</v>
      </c>
      <c r="G908" s="19" t="n">
        <v>7</v>
      </c>
      <c r="H908" s="14" t="n">
        <v>29750</v>
      </c>
      <c r="I908" s="14" t="n">
        <v>27863.78</v>
      </c>
      <c r="J908" s="24" t="n">
        <v>0.731</v>
      </c>
      <c r="K908" s="19" t="n">
        <v>0</v>
      </c>
      <c r="L908" s="13" t="str">
        <f aca="false">IF(D908&gt;=Inputs!$C$14,"Near-prime","Non-prime")</f>
        <v>Near-prime</v>
      </c>
      <c r="M908" s="19" t="n">
        <f aca="false">IF(K908&lt;=Inputs!$C$19,1,0)</f>
        <v>1</v>
      </c>
      <c r="N908" s="19" t="n">
        <f aca="false">IF(F908&lt;=Inputs!$C$20,1,0)</f>
        <v>1</v>
      </c>
      <c r="O908" s="19" t="n">
        <f aca="false">IF(J908&lt;=Inputs!$C$21,1,0)</f>
        <v>1</v>
      </c>
      <c r="P908" s="19" t="n">
        <f aca="false">IF(D908&gt;=Inputs!$C$22,1,0)</f>
        <v>1</v>
      </c>
      <c r="Q908" s="19" t="n">
        <f aca="false">IF(I908&lt;=Inputs!$C$23,1,0)</f>
        <v>1</v>
      </c>
      <c r="R908" s="19" t="n">
        <f aca="false">M908*N908*O908*P908*Q908</f>
        <v>1</v>
      </c>
      <c r="S908" s="14" t="n">
        <f aca="false">I908*R908</f>
        <v>27863.78</v>
      </c>
      <c r="T908" s="19" t="n">
        <f aca="false">IF(F908&gt;72,1,0)</f>
        <v>0</v>
      </c>
      <c r="U908" s="19" t="n">
        <f aca="false">IF(J908&gt;1.25,1,0)</f>
        <v>0</v>
      </c>
    </row>
    <row r="909" customFormat="false" ht="15" hidden="false" customHeight="false" outlineLevel="0" collapsed="false">
      <c r="B909" s="13" t="s">
        <v>1129</v>
      </c>
      <c r="C909" s="13" t="s">
        <v>223</v>
      </c>
      <c r="D909" s="19" t="n">
        <v>620</v>
      </c>
      <c r="E909" s="23" t="n">
        <v>0.2211</v>
      </c>
      <c r="F909" s="19" t="n">
        <v>60</v>
      </c>
      <c r="G909" s="19" t="n">
        <v>1</v>
      </c>
      <c r="H909" s="14" t="n">
        <v>28830</v>
      </c>
      <c r="I909" s="14" t="n">
        <v>28563.14</v>
      </c>
      <c r="J909" s="24" t="n">
        <v>0.964</v>
      </c>
      <c r="K909" s="19" t="n">
        <v>0</v>
      </c>
      <c r="L909" s="13" t="str">
        <f aca="false">IF(D909&gt;=Inputs!$C$14,"Near-prime","Non-prime")</f>
        <v>Near-prime</v>
      </c>
      <c r="M909" s="19" t="n">
        <f aca="false">IF(K909&lt;=Inputs!$C$19,1,0)</f>
        <v>1</v>
      </c>
      <c r="N909" s="19" t="n">
        <f aca="false">IF(F909&lt;=Inputs!$C$20,1,0)</f>
        <v>1</v>
      </c>
      <c r="O909" s="19" t="n">
        <f aca="false">IF(J909&lt;=Inputs!$C$21,1,0)</f>
        <v>1</v>
      </c>
      <c r="P909" s="19" t="n">
        <f aca="false">IF(D909&gt;=Inputs!$C$22,1,0)</f>
        <v>1</v>
      </c>
      <c r="Q909" s="19" t="n">
        <f aca="false">IF(I909&lt;=Inputs!$C$23,1,0)</f>
        <v>1</v>
      </c>
      <c r="R909" s="19" t="n">
        <f aca="false">M909*N909*O909*P909*Q909</f>
        <v>1</v>
      </c>
      <c r="S909" s="14" t="n">
        <f aca="false">I909*R909</f>
        <v>28563.14</v>
      </c>
      <c r="T909" s="19" t="n">
        <f aca="false">IF(F909&gt;72,1,0)</f>
        <v>0</v>
      </c>
      <c r="U909" s="19" t="n">
        <f aca="false">IF(J909&gt;1.25,1,0)</f>
        <v>0</v>
      </c>
    </row>
    <row r="910" customFormat="false" ht="15" hidden="false" customHeight="false" outlineLevel="0" collapsed="false">
      <c r="B910" s="13" t="s">
        <v>1130</v>
      </c>
      <c r="C910" s="13" t="s">
        <v>217</v>
      </c>
      <c r="D910" s="19" t="n">
        <v>587</v>
      </c>
      <c r="E910" s="23" t="n">
        <v>0.2036</v>
      </c>
      <c r="F910" s="19" t="n">
        <v>60</v>
      </c>
      <c r="G910" s="19" t="n">
        <v>1</v>
      </c>
      <c r="H910" s="14" t="n">
        <v>18150</v>
      </c>
      <c r="I910" s="14" t="n">
        <v>17973.44</v>
      </c>
      <c r="J910" s="24" t="n">
        <v>1.17</v>
      </c>
      <c r="K910" s="19" t="n">
        <v>0</v>
      </c>
      <c r="L910" s="13" t="str">
        <f aca="false">IF(D910&gt;=Inputs!$C$14,"Near-prime","Non-prime")</f>
        <v>Non-prime</v>
      </c>
      <c r="M910" s="19" t="n">
        <f aca="false">IF(K910&lt;=Inputs!$C$19,1,0)</f>
        <v>1</v>
      </c>
      <c r="N910" s="19" t="n">
        <f aca="false">IF(F910&lt;=Inputs!$C$20,1,0)</f>
        <v>1</v>
      </c>
      <c r="O910" s="19" t="n">
        <f aca="false">IF(J910&lt;=Inputs!$C$21,1,0)</f>
        <v>1</v>
      </c>
      <c r="P910" s="19" t="n">
        <f aca="false">IF(D910&gt;=Inputs!$C$22,1,0)</f>
        <v>1</v>
      </c>
      <c r="Q910" s="19" t="n">
        <f aca="false">IF(I910&lt;=Inputs!$C$23,1,0)</f>
        <v>1</v>
      </c>
      <c r="R910" s="19" t="n">
        <f aca="false">M910*N910*O910*P910*Q910</f>
        <v>1</v>
      </c>
      <c r="S910" s="14" t="n">
        <f aca="false">I910*R910</f>
        <v>17973.44</v>
      </c>
      <c r="T910" s="19" t="n">
        <f aca="false">IF(F910&gt;72,1,0)</f>
        <v>0</v>
      </c>
      <c r="U910" s="19" t="n">
        <f aca="false">IF(J910&gt;1.25,1,0)</f>
        <v>0</v>
      </c>
    </row>
    <row r="911" customFormat="false" ht="15" hidden="false" customHeight="false" outlineLevel="0" collapsed="false">
      <c r="B911" s="13" t="s">
        <v>1131</v>
      </c>
      <c r="C911" s="13" t="s">
        <v>228</v>
      </c>
      <c r="D911" s="19" t="n">
        <v>573</v>
      </c>
      <c r="E911" s="23" t="n">
        <v>0.2382</v>
      </c>
      <c r="F911" s="19" t="n">
        <v>48</v>
      </c>
      <c r="G911" s="19" t="n">
        <v>2</v>
      </c>
      <c r="H911" s="14" t="n">
        <v>16430</v>
      </c>
      <c r="I911" s="14" t="n">
        <v>16010.12</v>
      </c>
      <c r="J911" s="24" t="n">
        <v>0.981</v>
      </c>
      <c r="K911" s="19" t="n">
        <v>0</v>
      </c>
      <c r="L911" s="13" t="str">
        <f aca="false">IF(D911&gt;=Inputs!$C$14,"Near-prime","Non-prime")</f>
        <v>Non-prime</v>
      </c>
      <c r="M911" s="19" t="n">
        <f aca="false">IF(K911&lt;=Inputs!$C$19,1,0)</f>
        <v>1</v>
      </c>
      <c r="N911" s="19" t="n">
        <f aca="false">IF(F911&lt;=Inputs!$C$20,1,0)</f>
        <v>1</v>
      </c>
      <c r="O911" s="19" t="n">
        <f aca="false">IF(J911&lt;=Inputs!$C$21,1,0)</f>
        <v>1</v>
      </c>
      <c r="P911" s="19" t="n">
        <f aca="false">IF(D911&gt;=Inputs!$C$22,1,0)</f>
        <v>1</v>
      </c>
      <c r="Q911" s="19" t="n">
        <f aca="false">IF(I911&lt;=Inputs!$C$23,1,0)</f>
        <v>1</v>
      </c>
      <c r="R911" s="19" t="n">
        <f aca="false">M911*N911*O911*P911*Q911</f>
        <v>1</v>
      </c>
      <c r="S911" s="14" t="n">
        <f aca="false">I911*R911</f>
        <v>16010.12</v>
      </c>
      <c r="T911" s="19" t="n">
        <f aca="false">IF(F911&gt;72,1,0)</f>
        <v>0</v>
      </c>
      <c r="U911" s="19" t="n">
        <f aca="false">IF(J911&gt;1.25,1,0)</f>
        <v>0</v>
      </c>
    </row>
    <row r="912" customFormat="false" ht="15" hidden="false" customHeight="false" outlineLevel="0" collapsed="false">
      <c r="B912" s="13" t="s">
        <v>1132</v>
      </c>
      <c r="C912" s="13" t="s">
        <v>217</v>
      </c>
      <c r="D912" s="19" t="n">
        <v>626</v>
      </c>
      <c r="E912" s="23" t="n">
        <v>0.2025</v>
      </c>
      <c r="F912" s="19" t="n">
        <v>60</v>
      </c>
      <c r="G912" s="19" t="n">
        <v>10</v>
      </c>
      <c r="H912" s="14" t="n">
        <v>28740</v>
      </c>
      <c r="I912" s="14" t="n">
        <v>25712.66</v>
      </c>
      <c r="J912" s="24" t="n">
        <v>0.854</v>
      </c>
      <c r="K912" s="19" t="n">
        <v>0</v>
      </c>
      <c r="L912" s="13" t="str">
        <f aca="false">IF(D912&gt;=Inputs!$C$14,"Near-prime","Non-prime")</f>
        <v>Near-prime</v>
      </c>
      <c r="M912" s="19" t="n">
        <f aca="false">IF(K912&lt;=Inputs!$C$19,1,0)</f>
        <v>1</v>
      </c>
      <c r="N912" s="19" t="n">
        <f aca="false">IF(F912&lt;=Inputs!$C$20,1,0)</f>
        <v>1</v>
      </c>
      <c r="O912" s="19" t="n">
        <f aca="false">IF(J912&lt;=Inputs!$C$21,1,0)</f>
        <v>1</v>
      </c>
      <c r="P912" s="19" t="n">
        <f aca="false">IF(D912&gt;=Inputs!$C$22,1,0)</f>
        <v>1</v>
      </c>
      <c r="Q912" s="19" t="n">
        <f aca="false">IF(I912&lt;=Inputs!$C$23,1,0)</f>
        <v>1</v>
      </c>
      <c r="R912" s="19" t="n">
        <f aca="false">M912*N912*O912*P912*Q912</f>
        <v>1</v>
      </c>
      <c r="S912" s="14" t="n">
        <f aca="false">I912*R912</f>
        <v>25712.66</v>
      </c>
      <c r="T912" s="19" t="n">
        <f aca="false">IF(F912&gt;72,1,0)</f>
        <v>0</v>
      </c>
      <c r="U912" s="19" t="n">
        <f aca="false">IF(J912&gt;1.25,1,0)</f>
        <v>0</v>
      </c>
    </row>
    <row r="913" customFormat="false" ht="15" hidden="false" customHeight="false" outlineLevel="0" collapsed="false">
      <c r="B913" s="13" t="s">
        <v>1133</v>
      </c>
      <c r="C913" s="13" t="s">
        <v>228</v>
      </c>
      <c r="D913" s="19" t="n">
        <v>714</v>
      </c>
      <c r="E913" s="23" t="n">
        <v>0.1923</v>
      </c>
      <c r="F913" s="19" t="n">
        <v>72</v>
      </c>
      <c r="G913" s="19" t="n">
        <v>4</v>
      </c>
      <c r="H913" s="14" t="n">
        <v>36430</v>
      </c>
      <c r="I913" s="14" t="n">
        <v>35313</v>
      </c>
      <c r="J913" s="24" t="n">
        <v>0.936</v>
      </c>
      <c r="K913" s="19" t="n">
        <v>0</v>
      </c>
      <c r="L913" s="13" t="str">
        <f aca="false">IF(D913&gt;=Inputs!$C$14,"Near-prime","Non-prime")</f>
        <v>Near-prime</v>
      </c>
      <c r="M913" s="19" t="n">
        <f aca="false">IF(K913&lt;=Inputs!$C$19,1,0)</f>
        <v>1</v>
      </c>
      <c r="N913" s="19" t="n">
        <f aca="false">IF(F913&lt;=Inputs!$C$20,1,0)</f>
        <v>1</v>
      </c>
      <c r="O913" s="19" t="n">
        <f aca="false">IF(J913&lt;=Inputs!$C$21,1,0)</f>
        <v>1</v>
      </c>
      <c r="P913" s="19" t="n">
        <f aca="false">IF(D913&gt;=Inputs!$C$22,1,0)</f>
        <v>1</v>
      </c>
      <c r="Q913" s="19" t="n">
        <f aca="false">IF(I913&lt;=Inputs!$C$23,1,0)</f>
        <v>1</v>
      </c>
      <c r="R913" s="19" t="n">
        <f aca="false">M913*N913*O913*P913*Q913</f>
        <v>1</v>
      </c>
      <c r="S913" s="14" t="n">
        <f aca="false">I913*R913</f>
        <v>35313</v>
      </c>
      <c r="T913" s="19" t="n">
        <f aca="false">IF(F913&gt;72,1,0)</f>
        <v>0</v>
      </c>
      <c r="U913" s="19" t="n">
        <f aca="false">IF(J913&gt;1.25,1,0)</f>
        <v>0</v>
      </c>
    </row>
    <row r="914" customFormat="false" ht="15" hidden="false" customHeight="false" outlineLevel="0" collapsed="false">
      <c r="B914" s="13" t="s">
        <v>1134</v>
      </c>
      <c r="C914" s="13" t="s">
        <v>223</v>
      </c>
      <c r="D914" s="19" t="n">
        <v>715</v>
      </c>
      <c r="E914" s="23" t="n">
        <v>0.1869</v>
      </c>
      <c r="F914" s="19" t="n">
        <v>66</v>
      </c>
      <c r="G914" s="19" t="n">
        <v>7</v>
      </c>
      <c r="H914" s="14" t="n">
        <v>29390</v>
      </c>
      <c r="I914" s="14" t="n">
        <v>27496.37</v>
      </c>
      <c r="J914" s="24" t="n">
        <v>1.039</v>
      </c>
      <c r="K914" s="19" t="n">
        <v>0</v>
      </c>
      <c r="L914" s="13" t="str">
        <f aca="false">IF(D914&gt;=Inputs!$C$14,"Near-prime","Non-prime")</f>
        <v>Near-prime</v>
      </c>
      <c r="M914" s="19" t="n">
        <f aca="false">IF(K914&lt;=Inputs!$C$19,1,0)</f>
        <v>1</v>
      </c>
      <c r="N914" s="19" t="n">
        <f aca="false">IF(F914&lt;=Inputs!$C$20,1,0)</f>
        <v>1</v>
      </c>
      <c r="O914" s="19" t="n">
        <f aca="false">IF(J914&lt;=Inputs!$C$21,1,0)</f>
        <v>1</v>
      </c>
      <c r="P914" s="19" t="n">
        <f aca="false">IF(D914&gt;=Inputs!$C$22,1,0)</f>
        <v>1</v>
      </c>
      <c r="Q914" s="19" t="n">
        <f aca="false">IF(I914&lt;=Inputs!$C$23,1,0)</f>
        <v>1</v>
      </c>
      <c r="R914" s="19" t="n">
        <f aca="false">M914*N914*O914*P914*Q914</f>
        <v>1</v>
      </c>
      <c r="S914" s="14" t="n">
        <f aca="false">I914*R914</f>
        <v>27496.37</v>
      </c>
      <c r="T914" s="19" t="n">
        <f aca="false">IF(F914&gt;72,1,0)</f>
        <v>0</v>
      </c>
      <c r="U914" s="19" t="n">
        <f aca="false">IF(J914&gt;1.25,1,0)</f>
        <v>0</v>
      </c>
    </row>
    <row r="915" customFormat="false" ht="15" hidden="false" customHeight="false" outlineLevel="0" collapsed="false">
      <c r="B915" s="13" t="s">
        <v>1135</v>
      </c>
      <c r="C915" s="13" t="s">
        <v>233</v>
      </c>
      <c r="D915" s="19" t="n">
        <v>681</v>
      </c>
      <c r="E915" s="23" t="n">
        <v>0.2048</v>
      </c>
      <c r="F915" s="19" t="n">
        <v>60</v>
      </c>
      <c r="G915" s="19" t="n">
        <v>9</v>
      </c>
      <c r="H915" s="14" t="n">
        <v>38870</v>
      </c>
      <c r="I915" s="14" t="n">
        <v>35237.4</v>
      </c>
      <c r="J915" s="24" t="n">
        <v>1.148</v>
      </c>
      <c r="K915" s="19" t="n">
        <v>0</v>
      </c>
      <c r="L915" s="13" t="str">
        <f aca="false">IF(D915&gt;=Inputs!$C$14,"Near-prime","Non-prime")</f>
        <v>Near-prime</v>
      </c>
      <c r="M915" s="19" t="n">
        <f aca="false">IF(K915&lt;=Inputs!$C$19,1,0)</f>
        <v>1</v>
      </c>
      <c r="N915" s="19" t="n">
        <f aca="false">IF(F915&lt;=Inputs!$C$20,1,0)</f>
        <v>1</v>
      </c>
      <c r="O915" s="19" t="n">
        <f aca="false">IF(J915&lt;=Inputs!$C$21,1,0)</f>
        <v>1</v>
      </c>
      <c r="P915" s="19" t="n">
        <f aca="false">IF(D915&gt;=Inputs!$C$22,1,0)</f>
        <v>1</v>
      </c>
      <c r="Q915" s="19" t="n">
        <f aca="false">IF(I915&lt;=Inputs!$C$23,1,0)</f>
        <v>1</v>
      </c>
      <c r="R915" s="19" t="n">
        <f aca="false">M915*N915*O915*P915*Q915</f>
        <v>1</v>
      </c>
      <c r="S915" s="14" t="n">
        <f aca="false">I915*R915</f>
        <v>35237.4</v>
      </c>
      <c r="T915" s="19" t="n">
        <f aca="false">IF(F915&gt;72,1,0)</f>
        <v>0</v>
      </c>
      <c r="U915" s="19" t="n">
        <f aca="false">IF(J915&gt;1.25,1,0)</f>
        <v>0</v>
      </c>
    </row>
    <row r="916" customFormat="false" ht="15" hidden="false" customHeight="false" outlineLevel="0" collapsed="false">
      <c r="B916" s="13" t="s">
        <v>1136</v>
      </c>
      <c r="C916" s="13" t="s">
        <v>217</v>
      </c>
      <c r="D916" s="19" t="n">
        <v>612</v>
      </c>
      <c r="E916" s="23" t="n">
        <v>0.2213</v>
      </c>
      <c r="F916" s="19" t="n">
        <v>60</v>
      </c>
      <c r="G916" s="19" t="n">
        <v>0</v>
      </c>
      <c r="H916" s="14" t="n">
        <v>18720</v>
      </c>
      <c r="I916" s="14" t="n">
        <v>18720</v>
      </c>
      <c r="J916" s="24" t="n">
        <v>1.048</v>
      </c>
      <c r="K916" s="19" t="n">
        <v>0</v>
      </c>
      <c r="L916" s="13" t="str">
        <f aca="false">IF(D916&gt;=Inputs!$C$14,"Near-prime","Non-prime")</f>
        <v>Non-prime</v>
      </c>
      <c r="M916" s="19" t="n">
        <f aca="false">IF(K916&lt;=Inputs!$C$19,1,0)</f>
        <v>1</v>
      </c>
      <c r="N916" s="19" t="n">
        <f aca="false">IF(F916&lt;=Inputs!$C$20,1,0)</f>
        <v>1</v>
      </c>
      <c r="O916" s="19" t="n">
        <f aca="false">IF(J916&lt;=Inputs!$C$21,1,0)</f>
        <v>1</v>
      </c>
      <c r="P916" s="19" t="n">
        <f aca="false">IF(D916&gt;=Inputs!$C$22,1,0)</f>
        <v>1</v>
      </c>
      <c r="Q916" s="19" t="n">
        <f aca="false">IF(I916&lt;=Inputs!$C$23,1,0)</f>
        <v>1</v>
      </c>
      <c r="R916" s="19" t="n">
        <f aca="false">M916*N916*O916*P916*Q916</f>
        <v>1</v>
      </c>
      <c r="S916" s="14" t="n">
        <f aca="false">I916*R916</f>
        <v>18720</v>
      </c>
      <c r="T916" s="19" t="n">
        <f aca="false">IF(F916&gt;72,1,0)</f>
        <v>0</v>
      </c>
      <c r="U916" s="19" t="n">
        <f aca="false">IF(J916&gt;1.25,1,0)</f>
        <v>0</v>
      </c>
    </row>
    <row r="917" customFormat="false" ht="15" hidden="false" customHeight="false" outlineLevel="0" collapsed="false">
      <c r="B917" s="13" t="s">
        <v>1137</v>
      </c>
      <c r="C917" s="13" t="s">
        <v>217</v>
      </c>
      <c r="D917" s="19" t="n">
        <v>693</v>
      </c>
      <c r="E917" s="23" t="n">
        <v>0.1865</v>
      </c>
      <c r="F917" s="19" t="n">
        <v>66</v>
      </c>
      <c r="G917" s="19" t="n">
        <v>4</v>
      </c>
      <c r="H917" s="14" t="n">
        <v>17230</v>
      </c>
      <c r="I917" s="14" t="n">
        <v>16609.63</v>
      </c>
      <c r="J917" s="24" t="n">
        <v>0.956</v>
      </c>
      <c r="K917" s="19" t="n">
        <v>0</v>
      </c>
      <c r="L917" s="13" t="str">
        <f aca="false">IF(D917&gt;=Inputs!$C$14,"Near-prime","Non-prime")</f>
        <v>Near-prime</v>
      </c>
      <c r="M917" s="19" t="n">
        <f aca="false">IF(K917&lt;=Inputs!$C$19,1,0)</f>
        <v>1</v>
      </c>
      <c r="N917" s="19" t="n">
        <f aca="false">IF(F917&lt;=Inputs!$C$20,1,0)</f>
        <v>1</v>
      </c>
      <c r="O917" s="19" t="n">
        <f aca="false">IF(J917&lt;=Inputs!$C$21,1,0)</f>
        <v>1</v>
      </c>
      <c r="P917" s="19" t="n">
        <f aca="false">IF(D917&gt;=Inputs!$C$22,1,0)</f>
        <v>1</v>
      </c>
      <c r="Q917" s="19" t="n">
        <f aca="false">IF(I917&lt;=Inputs!$C$23,1,0)</f>
        <v>1</v>
      </c>
      <c r="R917" s="19" t="n">
        <f aca="false">M917*N917*O917*P917*Q917</f>
        <v>1</v>
      </c>
      <c r="S917" s="14" t="n">
        <f aca="false">I917*R917</f>
        <v>16609.63</v>
      </c>
      <c r="T917" s="19" t="n">
        <f aca="false">IF(F917&gt;72,1,0)</f>
        <v>0</v>
      </c>
      <c r="U917" s="19" t="n">
        <f aca="false">IF(J917&gt;1.25,1,0)</f>
        <v>0</v>
      </c>
    </row>
    <row r="918" customFormat="false" ht="15" hidden="false" customHeight="false" outlineLevel="0" collapsed="false">
      <c r="B918" s="13" t="s">
        <v>1138</v>
      </c>
      <c r="C918" s="13" t="s">
        <v>226</v>
      </c>
      <c r="D918" s="19" t="n">
        <v>640</v>
      </c>
      <c r="E918" s="23" t="n">
        <v>0.2231</v>
      </c>
      <c r="F918" s="19" t="n">
        <v>72</v>
      </c>
      <c r="G918" s="19" t="n">
        <v>0</v>
      </c>
      <c r="H918" s="14" t="n">
        <v>20640</v>
      </c>
      <c r="I918" s="14" t="n">
        <v>20640</v>
      </c>
      <c r="J918" s="24" t="n">
        <v>1.208</v>
      </c>
      <c r="K918" s="19" t="n">
        <v>0</v>
      </c>
      <c r="L918" s="13" t="str">
        <f aca="false">IF(D918&gt;=Inputs!$C$14,"Near-prime","Non-prime")</f>
        <v>Near-prime</v>
      </c>
      <c r="M918" s="19" t="n">
        <f aca="false">IF(K918&lt;=Inputs!$C$19,1,0)</f>
        <v>1</v>
      </c>
      <c r="N918" s="19" t="n">
        <f aca="false">IF(F918&lt;=Inputs!$C$20,1,0)</f>
        <v>1</v>
      </c>
      <c r="O918" s="19" t="n">
        <f aca="false">IF(J918&lt;=Inputs!$C$21,1,0)</f>
        <v>1</v>
      </c>
      <c r="P918" s="19" t="n">
        <f aca="false">IF(D918&gt;=Inputs!$C$22,1,0)</f>
        <v>1</v>
      </c>
      <c r="Q918" s="19" t="n">
        <f aca="false">IF(I918&lt;=Inputs!$C$23,1,0)</f>
        <v>1</v>
      </c>
      <c r="R918" s="19" t="n">
        <f aca="false">M918*N918*O918*P918*Q918</f>
        <v>1</v>
      </c>
      <c r="S918" s="14" t="n">
        <f aca="false">I918*R918</f>
        <v>20640</v>
      </c>
      <c r="T918" s="19" t="n">
        <f aca="false">IF(F918&gt;72,1,0)</f>
        <v>0</v>
      </c>
      <c r="U918" s="19" t="n">
        <f aca="false">IF(J918&gt;1.25,1,0)</f>
        <v>0</v>
      </c>
    </row>
    <row r="919" customFormat="false" ht="15" hidden="false" customHeight="false" outlineLevel="0" collapsed="false">
      <c r="B919" s="13" t="s">
        <v>1139</v>
      </c>
      <c r="C919" s="13" t="s">
        <v>223</v>
      </c>
      <c r="D919" s="19" t="n">
        <v>682</v>
      </c>
      <c r="E919" s="23" t="n">
        <v>0.1962</v>
      </c>
      <c r="F919" s="19" t="n">
        <v>60</v>
      </c>
      <c r="G919" s="19" t="n">
        <v>4</v>
      </c>
      <c r="H919" s="14" t="n">
        <v>33340</v>
      </c>
      <c r="I919" s="14" t="n">
        <v>31982.51</v>
      </c>
      <c r="J919" s="24" t="n">
        <v>0.901</v>
      </c>
      <c r="K919" s="19" t="n">
        <v>0</v>
      </c>
      <c r="L919" s="13" t="str">
        <f aca="false">IF(D919&gt;=Inputs!$C$14,"Near-prime","Non-prime")</f>
        <v>Near-prime</v>
      </c>
      <c r="M919" s="19" t="n">
        <f aca="false">IF(K919&lt;=Inputs!$C$19,1,0)</f>
        <v>1</v>
      </c>
      <c r="N919" s="19" t="n">
        <f aca="false">IF(F919&lt;=Inputs!$C$20,1,0)</f>
        <v>1</v>
      </c>
      <c r="O919" s="19" t="n">
        <f aca="false">IF(J919&lt;=Inputs!$C$21,1,0)</f>
        <v>1</v>
      </c>
      <c r="P919" s="19" t="n">
        <f aca="false">IF(D919&gt;=Inputs!$C$22,1,0)</f>
        <v>1</v>
      </c>
      <c r="Q919" s="19" t="n">
        <f aca="false">IF(I919&lt;=Inputs!$C$23,1,0)</f>
        <v>1</v>
      </c>
      <c r="R919" s="19" t="n">
        <f aca="false">M919*N919*O919*P919*Q919</f>
        <v>1</v>
      </c>
      <c r="S919" s="14" t="n">
        <f aca="false">I919*R919</f>
        <v>31982.51</v>
      </c>
      <c r="T919" s="19" t="n">
        <f aca="false">IF(F919&gt;72,1,0)</f>
        <v>0</v>
      </c>
      <c r="U919" s="19" t="n">
        <f aca="false">IF(J919&gt;1.25,1,0)</f>
        <v>0</v>
      </c>
    </row>
    <row r="920" customFormat="false" ht="15" hidden="false" customHeight="false" outlineLevel="0" collapsed="false">
      <c r="B920" s="13" t="s">
        <v>1140</v>
      </c>
      <c r="C920" s="13" t="s">
        <v>221</v>
      </c>
      <c r="D920" s="19" t="n">
        <v>764</v>
      </c>
      <c r="E920" s="23" t="n">
        <v>0.186</v>
      </c>
      <c r="F920" s="19" t="n">
        <v>60</v>
      </c>
      <c r="G920" s="19" t="n">
        <v>2</v>
      </c>
      <c r="H920" s="14" t="n">
        <v>21080</v>
      </c>
      <c r="I920" s="14" t="n">
        <v>20645.75</v>
      </c>
      <c r="J920" s="24" t="n">
        <v>1.305</v>
      </c>
      <c r="K920" s="19" t="n">
        <v>0</v>
      </c>
      <c r="L920" s="13" t="str">
        <f aca="false">IF(D920&gt;=Inputs!$C$14,"Near-prime","Non-prime")</f>
        <v>Near-prime</v>
      </c>
      <c r="M920" s="19" t="n">
        <f aca="false">IF(K920&lt;=Inputs!$C$19,1,0)</f>
        <v>1</v>
      </c>
      <c r="N920" s="19" t="n">
        <f aca="false">IF(F920&lt;=Inputs!$C$20,1,0)</f>
        <v>1</v>
      </c>
      <c r="O920" s="19" t="n">
        <f aca="false">IF(J920&lt;=Inputs!$C$21,1,0)</f>
        <v>1</v>
      </c>
      <c r="P920" s="19" t="n">
        <f aca="false">IF(D920&gt;=Inputs!$C$22,1,0)</f>
        <v>1</v>
      </c>
      <c r="Q920" s="19" t="n">
        <f aca="false">IF(I920&lt;=Inputs!$C$23,1,0)</f>
        <v>1</v>
      </c>
      <c r="R920" s="19" t="n">
        <f aca="false">M920*N920*O920*P920*Q920</f>
        <v>1</v>
      </c>
      <c r="S920" s="14" t="n">
        <f aca="false">I920*R920</f>
        <v>20645.75</v>
      </c>
      <c r="T920" s="19" t="n">
        <f aca="false">IF(F920&gt;72,1,0)</f>
        <v>0</v>
      </c>
      <c r="U920" s="19" t="n">
        <f aca="false">IF(J920&gt;1.25,1,0)</f>
        <v>1</v>
      </c>
    </row>
    <row r="921" customFormat="false" ht="15" hidden="false" customHeight="false" outlineLevel="0" collapsed="false">
      <c r="B921" s="13" t="s">
        <v>1141</v>
      </c>
      <c r="C921" s="13" t="s">
        <v>217</v>
      </c>
      <c r="D921" s="19" t="n">
        <v>639</v>
      </c>
      <c r="E921" s="23" t="n">
        <v>0.2169</v>
      </c>
      <c r="F921" s="19" t="n">
        <v>72</v>
      </c>
      <c r="G921" s="19" t="n">
        <v>1</v>
      </c>
      <c r="H921" s="14" t="n">
        <v>16220</v>
      </c>
      <c r="I921" s="14" t="n">
        <v>16108.61</v>
      </c>
      <c r="J921" s="24" t="n">
        <v>0.99</v>
      </c>
      <c r="K921" s="19" t="n">
        <v>0</v>
      </c>
      <c r="L921" s="13" t="str">
        <f aca="false">IF(D921&gt;=Inputs!$C$14,"Near-prime","Non-prime")</f>
        <v>Near-prime</v>
      </c>
      <c r="M921" s="19" t="n">
        <f aca="false">IF(K921&lt;=Inputs!$C$19,1,0)</f>
        <v>1</v>
      </c>
      <c r="N921" s="19" t="n">
        <f aca="false">IF(F921&lt;=Inputs!$C$20,1,0)</f>
        <v>1</v>
      </c>
      <c r="O921" s="19" t="n">
        <f aca="false">IF(J921&lt;=Inputs!$C$21,1,0)</f>
        <v>1</v>
      </c>
      <c r="P921" s="19" t="n">
        <f aca="false">IF(D921&gt;=Inputs!$C$22,1,0)</f>
        <v>1</v>
      </c>
      <c r="Q921" s="19" t="n">
        <f aca="false">IF(I921&lt;=Inputs!$C$23,1,0)</f>
        <v>1</v>
      </c>
      <c r="R921" s="19" t="n">
        <f aca="false">M921*N921*O921*P921*Q921</f>
        <v>1</v>
      </c>
      <c r="S921" s="14" t="n">
        <f aca="false">I921*R921</f>
        <v>16108.61</v>
      </c>
      <c r="T921" s="19" t="n">
        <f aca="false">IF(F921&gt;72,1,0)</f>
        <v>0</v>
      </c>
      <c r="U921" s="19" t="n">
        <f aca="false">IF(J921&gt;1.25,1,0)</f>
        <v>0</v>
      </c>
    </row>
    <row r="922" customFormat="false" ht="15" hidden="false" customHeight="false" outlineLevel="0" collapsed="false">
      <c r="B922" s="13" t="s">
        <v>1142</v>
      </c>
      <c r="C922" s="13" t="s">
        <v>217</v>
      </c>
      <c r="D922" s="19" t="n">
        <v>580</v>
      </c>
      <c r="E922" s="23" t="n">
        <v>0.2175</v>
      </c>
      <c r="F922" s="19" t="n">
        <v>72</v>
      </c>
      <c r="G922" s="19" t="n">
        <v>2</v>
      </c>
      <c r="H922" s="14" t="n">
        <v>31510</v>
      </c>
      <c r="I922" s="14" t="n">
        <v>31074.21</v>
      </c>
      <c r="J922" s="24" t="n">
        <v>1.206</v>
      </c>
      <c r="K922" s="19" t="n">
        <v>30</v>
      </c>
      <c r="L922" s="13" t="str">
        <f aca="false">IF(D922&gt;=Inputs!$C$14,"Near-prime","Non-prime")</f>
        <v>Non-prime</v>
      </c>
      <c r="M922" s="19" t="n">
        <f aca="false">IF(K922&lt;=Inputs!$C$19,1,0)</f>
        <v>1</v>
      </c>
      <c r="N922" s="19" t="n">
        <f aca="false">IF(F922&lt;=Inputs!$C$20,1,0)</f>
        <v>1</v>
      </c>
      <c r="O922" s="19" t="n">
        <f aca="false">IF(J922&lt;=Inputs!$C$21,1,0)</f>
        <v>1</v>
      </c>
      <c r="P922" s="19" t="n">
        <f aca="false">IF(D922&gt;=Inputs!$C$22,1,0)</f>
        <v>1</v>
      </c>
      <c r="Q922" s="19" t="n">
        <f aca="false">IF(I922&lt;=Inputs!$C$23,1,0)</f>
        <v>1</v>
      </c>
      <c r="R922" s="19" t="n">
        <f aca="false">M922*N922*O922*P922*Q922</f>
        <v>1</v>
      </c>
      <c r="S922" s="14" t="n">
        <f aca="false">I922*R922</f>
        <v>31074.21</v>
      </c>
      <c r="T922" s="19" t="n">
        <f aca="false">IF(F922&gt;72,1,0)</f>
        <v>0</v>
      </c>
      <c r="U922" s="19" t="n">
        <f aca="false">IF(J922&gt;1.25,1,0)</f>
        <v>0</v>
      </c>
    </row>
    <row r="923" customFormat="false" ht="15" hidden="false" customHeight="false" outlineLevel="0" collapsed="false">
      <c r="B923" s="13" t="s">
        <v>1143</v>
      </c>
      <c r="C923" s="13" t="s">
        <v>257</v>
      </c>
      <c r="D923" s="19" t="n">
        <v>750</v>
      </c>
      <c r="E923" s="23" t="n">
        <v>0.1844</v>
      </c>
      <c r="F923" s="19" t="n">
        <v>60</v>
      </c>
      <c r="G923" s="19" t="n">
        <v>10</v>
      </c>
      <c r="H923" s="14" t="n">
        <v>19380</v>
      </c>
      <c r="I923" s="14" t="n">
        <v>17246.93</v>
      </c>
      <c r="J923" s="24" t="n">
        <v>1.021</v>
      </c>
      <c r="K923" s="19" t="n">
        <v>0</v>
      </c>
      <c r="L923" s="13" t="str">
        <f aca="false">IF(D923&gt;=Inputs!$C$14,"Near-prime","Non-prime")</f>
        <v>Near-prime</v>
      </c>
      <c r="M923" s="19" t="n">
        <f aca="false">IF(K923&lt;=Inputs!$C$19,1,0)</f>
        <v>1</v>
      </c>
      <c r="N923" s="19" t="n">
        <f aca="false">IF(F923&lt;=Inputs!$C$20,1,0)</f>
        <v>1</v>
      </c>
      <c r="O923" s="19" t="n">
        <f aca="false">IF(J923&lt;=Inputs!$C$21,1,0)</f>
        <v>1</v>
      </c>
      <c r="P923" s="19" t="n">
        <f aca="false">IF(D923&gt;=Inputs!$C$22,1,0)</f>
        <v>1</v>
      </c>
      <c r="Q923" s="19" t="n">
        <f aca="false">IF(I923&lt;=Inputs!$C$23,1,0)</f>
        <v>1</v>
      </c>
      <c r="R923" s="19" t="n">
        <f aca="false">M923*N923*O923*P923*Q923</f>
        <v>1</v>
      </c>
      <c r="S923" s="14" t="n">
        <f aca="false">I923*R923</f>
        <v>17246.93</v>
      </c>
      <c r="T923" s="19" t="n">
        <f aca="false">IF(F923&gt;72,1,0)</f>
        <v>0</v>
      </c>
      <c r="U923" s="19" t="n">
        <f aca="false">IF(J923&gt;1.25,1,0)</f>
        <v>0</v>
      </c>
    </row>
    <row r="924" customFormat="false" ht="15" hidden="false" customHeight="false" outlineLevel="0" collapsed="false">
      <c r="B924" s="13" t="s">
        <v>1144</v>
      </c>
      <c r="C924" s="13" t="s">
        <v>252</v>
      </c>
      <c r="D924" s="19" t="n">
        <v>643</v>
      </c>
      <c r="E924" s="23" t="n">
        <v>0.2186</v>
      </c>
      <c r="F924" s="19" t="n">
        <v>66</v>
      </c>
      <c r="G924" s="19" t="n">
        <v>2</v>
      </c>
      <c r="H924" s="14" t="n">
        <v>18470</v>
      </c>
      <c r="I924" s="14" t="n">
        <v>18173.72</v>
      </c>
      <c r="J924" s="24" t="n">
        <v>1.496</v>
      </c>
      <c r="K924" s="19" t="n">
        <v>0</v>
      </c>
      <c r="L924" s="13" t="str">
        <f aca="false">IF(D924&gt;=Inputs!$C$14,"Near-prime","Non-prime")</f>
        <v>Near-prime</v>
      </c>
      <c r="M924" s="19" t="n">
        <f aca="false">IF(K924&lt;=Inputs!$C$19,1,0)</f>
        <v>1</v>
      </c>
      <c r="N924" s="19" t="n">
        <f aca="false">IF(F924&lt;=Inputs!$C$20,1,0)</f>
        <v>1</v>
      </c>
      <c r="O924" s="19" t="n">
        <f aca="false">IF(J924&lt;=Inputs!$C$21,1,0)</f>
        <v>1</v>
      </c>
      <c r="P924" s="19" t="n">
        <f aca="false">IF(D924&gt;=Inputs!$C$22,1,0)</f>
        <v>1</v>
      </c>
      <c r="Q924" s="19" t="n">
        <f aca="false">IF(I924&lt;=Inputs!$C$23,1,0)</f>
        <v>1</v>
      </c>
      <c r="R924" s="19" t="n">
        <f aca="false">M924*N924*O924*P924*Q924</f>
        <v>1</v>
      </c>
      <c r="S924" s="14" t="n">
        <f aca="false">I924*R924</f>
        <v>18173.72</v>
      </c>
      <c r="T924" s="19" t="n">
        <f aca="false">IF(F924&gt;72,1,0)</f>
        <v>0</v>
      </c>
      <c r="U924" s="19" t="n">
        <f aca="false">IF(J924&gt;1.25,1,0)</f>
        <v>1</v>
      </c>
    </row>
    <row r="925" customFormat="false" ht="15" hidden="false" customHeight="false" outlineLevel="0" collapsed="false">
      <c r="B925" s="13" t="s">
        <v>1145</v>
      </c>
      <c r="C925" s="13" t="s">
        <v>226</v>
      </c>
      <c r="D925" s="19" t="n">
        <v>642</v>
      </c>
      <c r="E925" s="23" t="n">
        <v>0.1912</v>
      </c>
      <c r="F925" s="19" t="n">
        <v>66</v>
      </c>
      <c r="G925" s="19" t="n">
        <v>8</v>
      </c>
      <c r="H925" s="14" t="n">
        <v>15030</v>
      </c>
      <c r="I925" s="14" t="n">
        <v>13928</v>
      </c>
      <c r="J925" s="24" t="n">
        <v>1.272</v>
      </c>
      <c r="K925" s="19" t="n">
        <v>0</v>
      </c>
      <c r="L925" s="13" t="str">
        <f aca="false">IF(D925&gt;=Inputs!$C$14,"Near-prime","Non-prime")</f>
        <v>Near-prime</v>
      </c>
      <c r="M925" s="19" t="n">
        <f aca="false">IF(K925&lt;=Inputs!$C$19,1,0)</f>
        <v>1</v>
      </c>
      <c r="N925" s="19" t="n">
        <f aca="false">IF(F925&lt;=Inputs!$C$20,1,0)</f>
        <v>1</v>
      </c>
      <c r="O925" s="19" t="n">
        <f aca="false">IF(J925&lt;=Inputs!$C$21,1,0)</f>
        <v>1</v>
      </c>
      <c r="P925" s="19" t="n">
        <f aca="false">IF(D925&gt;=Inputs!$C$22,1,0)</f>
        <v>1</v>
      </c>
      <c r="Q925" s="19" t="n">
        <f aca="false">IF(I925&lt;=Inputs!$C$23,1,0)</f>
        <v>1</v>
      </c>
      <c r="R925" s="19" t="n">
        <f aca="false">M925*N925*O925*P925*Q925</f>
        <v>1</v>
      </c>
      <c r="S925" s="14" t="n">
        <f aca="false">I925*R925</f>
        <v>13928</v>
      </c>
      <c r="T925" s="19" t="n">
        <f aca="false">IF(F925&gt;72,1,0)</f>
        <v>0</v>
      </c>
      <c r="U925" s="19" t="n">
        <f aca="false">IF(J925&gt;1.25,1,0)</f>
        <v>1</v>
      </c>
    </row>
    <row r="926" customFormat="false" ht="15" hidden="false" customHeight="false" outlineLevel="0" collapsed="false">
      <c r="B926" s="13" t="s">
        <v>1146</v>
      </c>
      <c r="C926" s="13" t="s">
        <v>223</v>
      </c>
      <c r="D926" s="19" t="n">
        <v>566</v>
      </c>
      <c r="E926" s="23" t="n">
        <v>0.2217</v>
      </c>
      <c r="F926" s="19" t="n">
        <v>66</v>
      </c>
      <c r="G926" s="19" t="n">
        <v>3</v>
      </c>
      <c r="H926" s="14" t="n">
        <v>28210</v>
      </c>
      <c r="I926" s="14" t="n">
        <v>27531.58</v>
      </c>
      <c r="J926" s="24" t="n">
        <v>1.26</v>
      </c>
      <c r="K926" s="19" t="n">
        <v>0</v>
      </c>
      <c r="L926" s="13" t="str">
        <f aca="false">IF(D926&gt;=Inputs!$C$14,"Near-prime","Non-prime")</f>
        <v>Non-prime</v>
      </c>
      <c r="M926" s="19" t="n">
        <f aca="false">IF(K926&lt;=Inputs!$C$19,1,0)</f>
        <v>1</v>
      </c>
      <c r="N926" s="19" t="n">
        <f aca="false">IF(F926&lt;=Inputs!$C$20,1,0)</f>
        <v>1</v>
      </c>
      <c r="O926" s="19" t="n">
        <f aca="false">IF(J926&lt;=Inputs!$C$21,1,0)</f>
        <v>1</v>
      </c>
      <c r="P926" s="19" t="n">
        <f aca="false">IF(D926&gt;=Inputs!$C$22,1,0)</f>
        <v>1</v>
      </c>
      <c r="Q926" s="19" t="n">
        <f aca="false">IF(I926&lt;=Inputs!$C$23,1,0)</f>
        <v>1</v>
      </c>
      <c r="R926" s="19" t="n">
        <f aca="false">M926*N926*O926*P926*Q926</f>
        <v>1</v>
      </c>
      <c r="S926" s="14" t="n">
        <f aca="false">I926*R926</f>
        <v>27531.58</v>
      </c>
      <c r="T926" s="19" t="n">
        <f aca="false">IF(F926&gt;72,1,0)</f>
        <v>0</v>
      </c>
      <c r="U926" s="19" t="n">
        <f aca="false">IF(J926&gt;1.25,1,0)</f>
        <v>1</v>
      </c>
    </row>
    <row r="927" customFormat="false" ht="15" hidden="false" customHeight="false" outlineLevel="0" collapsed="false">
      <c r="B927" s="13" t="s">
        <v>1147</v>
      </c>
      <c r="C927" s="13" t="s">
        <v>221</v>
      </c>
      <c r="D927" s="19" t="n">
        <v>690</v>
      </c>
      <c r="E927" s="23" t="n">
        <v>0.2234</v>
      </c>
      <c r="F927" s="19" t="n">
        <v>72</v>
      </c>
      <c r="G927" s="19" t="n">
        <v>6</v>
      </c>
      <c r="H927" s="14" t="n">
        <v>24540</v>
      </c>
      <c r="I927" s="14" t="n">
        <v>23504.62</v>
      </c>
      <c r="J927" s="24" t="n">
        <v>0.896</v>
      </c>
      <c r="K927" s="19" t="n">
        <v>0</v>
      </c>
      <c r="L927" s="13" t="str">
        <f aca="false">IF(D927&gt;=Inputs!$C$14,"Near-prime","Non-prime")</f>
        <v>Near-prime</v>
      </c>
      <c r="M927" s="19" t="n">
        <f aca="false">IF(K927&lt;=Inputs!$C$19,1,0)</f>
        <v>1</v>
      </c>
      <c r="N927" s="19" t="n">
        <f aca="false">IF(F927&lt;=Inputs!$C$20,1,0)</f>
        <v>1</v>
      </c>
      <c r="O927" s="19" t="n">
        <f aca="false">IF(J927&lt;=Inputs!$C$21,1,0)</f>
        <v>1</v>
      </c>
      <c r="P927" s="19" t="n">
        <f aca="false">IF(D927&gt;=Inputs!$C$22,1,0)</f>
        <v>1</v>
      </c>
      <c r="Q927" s="19" t="n">
        <f aca="false">IF(I927&lt;=Inputs!$C$23,1,0)</f>
        <v>1</v>
      </c>
      <c r="R927" s="19" t="n">
        <f aca="false">M927*N927*O927*P927*Q927</f>
        <v>1</v>
      </c>
      <c r="S927" s="14" t="n">
        <f aca="false">I927*R927</f>
        <v>23504.62</v>
      </c>
      <c r="T927" s="19" t="n">
        <f aca="false">IF(F927&gt;72,1,0)</f>
        <v>0</v>
      </c>
      <c r="U927" s="19" t="n">
        <f aca="false">IF(J927&gt;1.25,1,0)</f>
        <v>0</v>
      </c>
    </row>
    <row r="928" customFormat="false" ht="15" hidden="false" customHeight="false" outlineLevel="0" collapsed="false">
      <c r="B928" s="13" t="s">
        <v>1148</v>
      </c>
      <c r="C928" s="13" t="s">
        <v>228</v>
      </c>
      <c r="D928" s="19" t="n">
        <v>706</v>
      </c>
      <c r="E928" s="23" t="n">
        <v>0.1869</v>
      </c>
      <c r="F928" s="19" t="n">
        <v>72</v>
      </c>
      <c r="G928" s="19" t="n">
        <v>2</v>
      </c>
      <c r="H928" s="14" t="n">
        <v>32850</v>
      </c>
      <c r="I928" s="14" t="n">
        <v>32345.16</v>
      </c>
      <c r="J928" s="24" t="n">
        <v>1.065</v>
      </c>
      <c r="K928" s="19" t="n">
        <v>0</v>
      </c>
      <c r="L928" s="13" t="str">
        <f aca="false">IF(D928&gt;=Inputs!$C$14,"Near-prime","Non-prime")</f>
        <v>Near-prime</v>
      </c>
      <c r="M928" s="19" t="n">
        <f aca="false">IF(K928&lt;=Inputs!$C$19,1,0)</f>
        <v>1</v>
      </c>
      <c r="N928" s="19" t="n">
        <f aca="false">IF(F928&lt;=Inputs!$C$20,1,0)</f>
        <v>1</v>
      </c>
      <c r="O928" s="19" t="n">
        <f aca="false">IF(J928&lt;=Inputs!$C$21,1,0)</f>
        <v>1</v>
      </c>
      <c r="P928" s="19" t="n">
        <f aca="false">IF(D928&gt;=Inputs!$C$22,1,0)</f>
        <v>1</v>
      </c>
      <c r="Q928" s="19" t="n">
        <f aca="false">IF(I928&lt;=Inputs!$C$23,1,0)</f>
        <v>1</v>
      </c>
      <c r="R928" s="19" t="n">
        <f aca="false">M928*N928*O928*P928*Q928</f>
        <v>1</v>
      </c>
      <c r="S928" s="14" t="n">
        <f aca="false">I928*R928</f>
        <v>32345.16</v>
      </c>
      <c r="T928" s="19" t="n">
        <f aca="false">IF(F928&gt;72,1,0)</f>
        <v>0</v>
      </c>
      <c r="U928" s="19" t="n">
        <f aca="false">IF(J928&gt;1.25,1,0)</f>
        <v>0</v>
      </c>
    </row>
    <row r="929" customFormat="false" ht="15" hidden="false" customHeight="false" outlineLevel="0" collapsed="false">
      <c r="B929" s="13" t="s">
        <v>1149</v>
      </c>
      <c r="C929" s="13" t="s">
        <v>228</v>
      </c>
      <c r="D929" s="19" t="n">
        <v>665</v>
      </c>
      <c r="E929" s="23" t="n">
        <v>0.2229</v>
      </c>
      <c r="F929" s="19" t="n">
        <v>66</v>
      </c>
      <c r="G929" s="19" t="n">
        <v>7</v>
      </c>
      <c r="H929" s="14" t="n">
        <v>20770</v>
      </c>
      <c r="I929" s="14" t="n">
        <v>19564.64</v>
      </c>
      <c r="J929" s="24" t="n">
        <v>1.051</v>
      </c>
      <c r="K929" s="19" t="n">
        <v>0</v>
      </c>
      <c r="L929" s="13" t="str">
        <f aca="false">IF(D929&gt;=Inputs!$C$14,"Near-prime","Non-prime")</f>
        <v>Near-prime</v>
      </c>
      <c r="M929" s="19" t="n">
        <f aca="false">IF(K929&lt;=Inputs!$C$19,1,0)</f>
        <v>1</v>
      </c>
      <c r="N929" s="19" t="n">
        <f aca="false">IF(F929&lt;=Inputs!$C$20,1,0)</f>
        <v>1</v>
      </c>
      <c r="O929" s="19" t="n">
        <f aca="false">IF(J929&lt;=Inputs!$C$21,1,0)</f>
        <v>1</v>
      </c>
      <c r="P929" s="19" t="n">
        <f aca="false">IF(D929&gt;=Inputs!$C$22,1,0)</f>
        <v>1</v>
      </c>
      <c r="Q929" s="19" t="n">
        <f aca="false">IF(I929&lt;=Inputs!$C$23,1,0)</f>
        <v>1</v>
      </c>
      <c r="R929" s="19" t="n">
        <f aca="false">M929*N929*O929*P929*Q929</f>
        <v>1</v>
      </c>
      <c r="S929" s="14" t="n">
        <f aca="false">I929*R929</f>
        <v>19564.64</v>
      </c>
      <c r="T929" s="19" t="n">
        <f aca="false">IF(F929&gt;72,1,0)</f>
        <v>0</v>
      </c>
      <c r="U929" s="19" t="n">
        <f aca="false">IF(J929&gt;1.25,1,0)</f>
        <v>0</v>
      </c>
    </row>
    <row r="930" customFormat="false" ht="15" hidden="false" customHeight="false" outlineLevel="0" collapsed="false">
      <c r="B930" s="13" t="s">
        <v>1150</v>
      </c>
      <c r="C930" s="13" t="s">
        <v>252</v>
      </c>
      <c r="D930" s="19" t="n">
        <v>709</v>
      </c>
      <c r="E930" s="23" t="n">
        <v>0.2087</v>
      </c>
      <c r="F930" s="19" t="n">
        <v>72</v>
      </c>
      <c r="G930" s="19" t="n">
        <v>1</v>
      </c>
      <c r="H930" s="14" t="n">
        <v>25390</v>
      </c>
      <c r="I930" s="14" t="n">
        <v>25210.54</v>
      </c>
      <c r="J930" s="24" t="n">
        <v>0.898</v>
      </c>
      <c r="K930" s="19" t="n">
        <v>0</v>
      </c>
      <c r="L930" s="13" t="str">
        <f aca="false">IF(D930&gt;=Inputs!$C$14,"Near-prime","Non-prime")</f>
        <v>Near-prime</v>
      </c>
      <c r="M930" s="19" t="n">
        <f aca="false">IF(K930&lt;=Inputs!$C$19,1,0)</f>
        <v>1</v>
      </c>
      <c r="N930" s="19" t="n">
        <f aca="false">IF(F930&lt;=Inputs!$C$20,1,0)</f>
        <v>1</v>
      </c>
      <c r="O930" s="19" t="n">
        <f aca="false">IF(J930&lt;=Inputs!$C$21,1,0)</f>
        <v>1</v>
      </c>
      <c r="P930" s="19" t="n">
        <f aca="false">IF(D930&gt;=Inputs!$C$22,1,0)</f>
        <v>1</v>
      </c>
      <c r="Q930" s="19" t="n">
        <f aca="false">IF(I930&lt;=Inputs!$C$23,1,0)</f>
        <v>1</v>
      </c>
      <c r="R930" s="19" t="n">
        <f aca="false">M930*N930*O930*P930*Q930</f>
        <v>1</v>
      </c>
      <c r="S930" s="14" t="n">
        <f aca="false">I930*R930</f>
        <v>25210.54</v>
      </c>
      <c r="T930" s="19" t="n">
        <f aca="false">IF(F930&gt;72,1,0)</f>
        <v>0</v>
      </c>
      <c r="U930" s="19" t="n">
        <f aca="false">IF(J930&gt;1.25,1,0)</f>
        <v>0</v>
      </c>
    </row>
    <row r="931" customFormat="false" ht="15" hidden="false" customHeight="false" outlineLevel="0" collapsed="false">
      <c r="B931" s="13" t="s">
        <v>1151</v>
      </c>
      <c r="C931" s="13" t="s">
        <v>219</v>
      </c>
      <c r="D931" s="19" t="n">
        <v>631</v>
      </c>
      <c r="E931" s="23" t="n">
        <v>0.2252</v>
      </c>
      <c r="F931" s="19" t="n">
        <v>75</v>
      </c>
      <c r="G931" s="19" t="n">
        <v>7</v>
      </c>
      <c r="H931" s="14" t="n">
        <v>35770</v>
      </c>
      <c r="I931" s="14" t="n">
        <v>34130.59</v>
      </c>
      <c r="J931" s="24" t="n">
        <v>1.235</v>
      </c>
      <c r="K931" s="19" t="n">
        <v>0</v>
      </c>
      <c r="L931" s="13" t="str">
        <f aca="false">IF(D931&gt;=Inputs!$C$14,"Near-prime","Non-prime")</f>
        <v>Near-prime</v>
      </c>
      <c r="M931" s="19" t="n">
        <f aca="false">IF(K931&lt;=Inputs!$C$19,1,0)</f>
        <v>1</v>
      </c>
      <c r="N931" s="19" t="n">
        <f aca="false">IF(F931&lt;=Inputs!$C$20,1,0)</f>
        <v>1</v>
      </c>
      <c r="O931" s="19" t="n">
        <f aca="false">IF(J931&lt;=Inputs!$C$21,1,0)</f>
        <v>1</v>
      </c>
      <c r="P931" s="19" t="n">
        <f aca="false">IF(D931&gt;=Inputs!$C$22,1,0)</f>
        <v>1</v>
      </c>
      <c r="Q931" s="19" t="n">
        <f aca="false">IF(I931&lt;=Inputs!$C$23,1,0)</f>
        <v>1</v>
      </c>
      <c r="R931" s="19" t="n">
        <f aca="false">M931*N931*O931*P931*Q931</f>
        <v>1</v>
      </c>
      <c r="S931" s="14" t="n">
        <f aca="false">I931*R931</f>
        <v>34130.59</v>
      </c>
      <c r="T931" s="19" t="n">
        <f aca="false">IF(F931&gt;72,1,0)</f>
        <v>1</v>
      </c>
      <c r="U931" s="19" t="n">
        <f aca="false">IF(J931&gt;1.25,1,0)</f>
        <v>0</v>
      </c>
    </row>
    <row r="932" customFormat="false" ht="15" hidden="false" customHeight="false" outlineLevel="0" collapsed="false">
      <c r="B932" s="13" t="s">
        <v>1152</v>
      </c>
      <c r="C932" s="13" t="s">
        <v>217</v>
      </c>
      <c r="D932" s="19" t="n">
        <v>722</v>
      </c>
      <c r="E932" s="23" t="n">
        <v>0.2028</v>
      </c>
      <c r="F932" s="19" t="n">
        <v>60</v>
      </c>
      <c r="G932" s="19" t="n">
        <v>10</v>
      </c>
      <c r="H932" s="14" t="n">
        <v>17120</v>
      </c>
      <c r="I932" s="14" t="n">
        <v>15317.98</v>
      </c>
      <c r="J932" s="24" t="n">
        <v>1.343</v>
      </c>
      <c r="K932" s="19" t="n">
        <v>0</v>
      </c>
      <c r="L932" s="13" t="str">
        <f aca="false">IF(D932&gt;=Inputs!$C$14,"Near-prime","Non-prime")</f>
        <v>Near-prime</v>
      </c>
      <c r="M932" s="19" t="n">
        <f aca="false">IF(K932&lt;=Inputs!$C$19,1,0)</f>
        <v>1</v>
      </c>
      <c r="N932" s="19" t="n">
        <f aca="false">IF(F932&lt;=Inputs!$C$20,1,0)</f>
        <v>1</v>
      </c>
      <c r="O932" s="19" t="n">
        <f aca="false">IF(J932&lt;=Inputs!$C$21,1,0)</f>
        <v>1</v>
      </c>
      <c r="P932" s="19" t="n">
        <f aca="false">IF(D932&gt;=Inputs!$C$22,1,0)</f>
        <v>1</v>
      </c>
      <c r="Q932" s="19" t="n">
        <f aca="false">IF(I932&lt;=Inputs!$C$23,1,0)</f>
        <v>1</v>
      </c>
      <c r="R932" s="19" t="n">
        <f aca="false">M932*N932*O932*P932*Q932</f>
        <v>1</v>
      </c>
      <c r="S932" s="14" t="n">
        <f aca="false">I932*R932</f>
        <v>15317.98</v>
      </c>
      <c r="T932" s="19" t="n">
        <f aca="false">IF(F932&gt;72,1,0)</f>
        <v>0</v>
      </c>
      <c r="U932" s="19" t="n">
        <f aca="false">IF(J932&gt;1.25,1,0)</f>
        <v>1</v>
      </c>
    </row>
    <row r="933" customFormat="false" ht="15" hidden="false" customHeight="false" outlineLevel="0" collapsed="false">
      <c r="B933" s="13" t="s">
        <v>1153</v>
      </c>
      <c r="C933" s="13" t="s">
        <v>223</v>
      </c>
      <c r="D933" s="19" t="n">
        <v>692</v>
      </c>
      <c r="E933" s="23" t="n">
        <v>0.1961</v>
      </c>
      <c r="F933" s="19" t="n">
        <v>72</v>
      </c>
      <c r="G933" s="19" t="n">
        <v>9</v>
      </c>
      <c r="H933" s="14" t="n">
        <v>45720</v>
      </c>
      <c r="I933" s="14" t="n">
        <v>42474.54</v>
      </c>
      <c r="J933" s="24" t="n">
        <v>0.964</v>
      </c>
      <c r="K933" s="19" t="n">
        <v>0</v>
      </c>
      <c r="L933" s="13" t="str">
        <f aca="false">IF(D933&gt;=Inputs!$C$14,"Near-prime","Non-prime")</f>
        <v>Near-prime</v>
      </c>
      <c r="M933" s="19" t="n">
        <f aca="false">IF(K933&lt;=Inputs!$C$19,1,0)</f>
        <v>1</v>
      </c>
      <c r="N933" s="19" t="n">
        <f aca="false">IF(F933&lt;=Inputs!$C$20,1,0)</f>
        <v>1</v>
      </c>
      <c r="O933" s="19" t="n">
        <f aca="false">IF(J933&lt;=Inputs!$C$21,1,0)</f>
        <v>1</v>
      </c>
      <c r="P933" s="19" t="n">
        <f aca="false">IF(D933&gt;=Inputs!$C$22,1,0)</f>
        <v>1</v>
      </c>
      <c r="Q933" s="19" t="n">
        <f aca="false">IF(I933&lt;=Inputs!$C$23,1,0)</f>
        <v>1</v>
      </c>
      <c r="R933" s="19" t="n">
        <f aca="false">M933*N933*O933*P933*Q933</f>
        <v>1</v>
      </c>
      <c r="S933" s="14" t="n">
        <f aca="false">I933*R933</f>
        <v>42474.54</v>
      </c>
      <c r="T933" s="19" t="n">
        <f aca="false">IF(F933&gt;72,1,0)</f>
        <v>0</v>
      </c>
      <c r="U933" s="19" t="n">
        <f aca="false">IF(J933&gt;1.25,1,0)</f>
        <v>0</v>
      </c>
    </row>
    <row r="934" customFormat="false" ht="15" hidden="false" customHeight="false" outlineLevel="0" collapsed="false">
      <c r="B934" s="13" t="s">
        <v>1154</v>
      </c>
      <c r="C934" s="13" t="s">
        <v>252</v>
      </c>
      <c r="D934" s="19" t="n">
        <v>744</v>
      </c>
      <c r="E934" s="23" t="n">
        <v>0.1897</v>
      </c>
      <c r="F934" s="19" t="n">
        <v>66</v>
      </c>
      <c r="G934" s="19" t="n">
        <v>7</v>
      </c>
      <c r="H934" s="14" t="n">
        <v>25290</v>
      </c>
      <c r="I934" s="14" t="n">
        <v>23673.59</v>
      </c>
      <c r="J934" s="24" t="n">
        <v>0.959</v>
      </c>
      <c r="K934" s="19" t="n">
        <v>0</v>
      </c>
      <c r="L934" s="13" t="str">
        <f aca="false">IF(D934&gt;=Inputs!$C$14,"Near-prime","Non-prime")</f>
        <v>Near-prime</v>
      </c>
      <c r="M934" s="19" t="n">
        <f aca="false">IF(K934&lt;=Inputs!$C$19,1,0)</f>
        <v>1</v>
      </c>
      <c r="N934" s="19" t="n">
        <f aca="false">IF(F934&lt;=Inputs!$C$20,1,0)</f>
        <v>1</v>
      </c>
      <c r="O934" s="19" t="n">
        <f aca="false">IF(J934&lt;=Inputs!$C$21,1,0)</f>
        <v>1</v>
      </c>
      <c r="P934" s="19" t="n">
        <f aca="false">IF(D934&gt;=Inputs!$C$22,1,0)</f>
        <v>1</v>
      </c>
      <c r="Q934" s="19" t="n">
        <f aca="false">IF(I934&lt;=Inputs!$C$23,1,0)</f>
        <v>1</v>
      </c>
      <c r="R934" s="19" t="n">
        <f aca="false">M934*N934*O934*P934*Q934</f>
        <v>1</v>
      </c>
      <c r="S934" s="14" t="n">
        <f aca="false">I934*R934</f>
        <v>23673.59</v>
      </c>
      <c r="T934" s="19" t="n">
        <f aca="false">IF(F934&gt;72,1,0)</f>
        <v>0</v>
      </c>
      <c r="U934" s="19" t="n">
        <f aca="false">IF(J934&gt;1.25,1,0)</f>
        <v>0</v>
      </c>
    </row>
    <row r="935" customFormat="false" ht="15" hidden="false" customHeight="false" outlineLevel="0" collapsed="false">
      <c r="B935" s="13" t="s">
        <v>1155</v>
      </c>
      <c r="C935" s="13" t="s">
        <v>221</v>
      </c>
      <c r="D935" s="19" t="n">
        <v>565</v>
      </c>
      <c r="E935" s="23" t="n">
        <v>0.2445</v>
      </c>
      <c r="F935" s="19" t="n">
        <v>60</v>
      </c>
      <c r="G935" s="19" t="n">
        <v>4</v>
      </c>
      <c r="H935" s="14" t="n">
        <v>22390</v>
      </c>
      <c r="I935" s="14" t="n">
        <v>21590.87</v>
      </c>
      <c r="J935" s="24" t="n">
        <v>1.253</v>
      </c>
      <c r="K935" s="19" t="n">
        <v>0</v>
      </c>
      <c r="L935" s="13" t="str">
        <f aca="false">IF(D935&gt;=Inputs!$C$14,"Near-prime","Non-prime")</f>
        <v>Non-prime</v>
      </c>
      <c r="M935" s="19" t="n">
        <f aca="false">IF(K935&lt;=Inputs!$C$19,1,0)</f>
        <v>1</v>
      </c>
      <c r="N935" s="19" t="n">
        <f aca="false">IF(F935&lt;=Inputs!$C$20,1,0)</f>
        <v>1</v>
      </c>
      <c r="O935" s="19" t="n">
        <f aca="false">IF(J935&lt;=Inputs!$C$21,1,0)</f>
        <v>1</v>
      </c>
      <c r="P935" s="19" t="n">
        <f aca="false">IF(D935&gt;=Inputs!$C$22,1,0)</f>
        <v>1</v>
      </c>
      <c r="Q935" s="19" t="n">
        <f aca="false">IF(I935&lt;=Inputs!$C$23,1,0)</f>
        <v>1</v>
      </c>
      <c r="R935" s="19" t="n">
        <f aca="false">M935*N935*O935*P935*Q935</f>
        <v>1</v>
      </c>
      <c r="S935" s="14" t="n">
        <f aca="false">I935*R935</f>
        <v>21590.87</v>
      </c>
      <c r="T935" s="19" t="n">
        <f aca="false">IF(F935&gt;72,1,0)</f>
        <v>0</v>
      </c>
      <c r="U935" s="19" t="n">
        <f aca="false">IF(J935&gt;1.25,1,0)</f>
        <v>1</v>
      </c>
    </row>
    <row r="936" customFormat="false" ht="15" hidden="false" customHeight="false" outlineLevel="0" collapsed="false">
      <c r="B936" s="13" t="s">
        <v>1156</v>
      </c>
      <c r="C936" s="13" t="s">
        <v>223</v>
      </c>
      <c r="D936" s="19" t="n">
        <v>587</v>
      </c>
      <c r="E936" s="23" t="n">
        <v>0.2024</v>
      </c>
      <c r="F936" s="19" t="n">
        <v>72</v>
      </c>
      <c r="G936" s="19" t="n">
        <v>0</v>
      </c>
      <c r="H936" s="14" t="n">
        <v>28680</v>
      </c>
      <c r="I936" s="14" t="n">
        <v>28680</v>
      </c>
      <c r="J936" s="24" t="n">
        <v>1.167</v>
      </c>
      <c r="K936" s="19" t="n">
        <v>0</v>
      </c>
      <c r="L936" s="13" t="str">
        <f aca="false">IF(D936&gt;=Inputs!$C$14,"Near-prime","Non-prime")</f>
        <v>Non-prime</v>
      </c>
      <c r="M936" s="19" t="n">
        <f aca="false">IF(K936&lt;=Inputs!$C$19,1,0)</f>
        <v>1</v>
      </c>
      <c r="N936" s="19" t="n">
        <f aca="false">IF(F936&lt;=Inputs!$C$20,1,0)</f>
        <v>1</v>
      </c>
      <c r="O936" s="19" t="n">
        <f aca="false">IF(J936&lt;=Inputs!$C$21,1,0)</f>
        <v>1</v>
      </c>
      <c r="P936" s="19" t="n">
        <f aca="false">IF(D936&gt;=Inputs!$C$22,1,0)</f>
        <v>1</v>
      </c>
      <c r="Q936" s="19" t="n">
        <f aca="false">IF(I936&lt;=Inputs!$C$23,1,0)</f>
        <v>1</v>
      </c>
      <c r="R936" s="19" t="n">
        <f aca="false">M936*N936*O936*P936*Q936</f>
        <v>1</v>
      </c>
      <c r="S936" s="14" t="n">
        <f aca="false">I936*R936</f>
        <v>28680</v>
      </c>
      <c r="T936" s="19" t="n">
        <f aca="false">IF(F936&gt;72,1,0)</f>
        <v>0</v>
      </c>
      <c r="U936" s="19" t="n">
        <f aca="false">IF(J936&gt;1.25,1,0)</f>
        <v>0</v>
      </c>
    </row>
    <row r="937" customFormat="false" ht="15" hidden="false" customHeight="false" outlineLevel="0" collapsed="false">
      <c r="B937" s="13" t="s">
        <v>1157</v>
      </c>
      <c r="C937" s="13" t="s">
        <v>237</v>
      </c>
      <c r="D937" s="19" t="n">
        <v>698</v>
      </c>
      <c r="E937" s="23" t="n">
        <v>0.2132</v>
      </c>
      <c r="F937" s="19" t="n">
        <v>75</v>
      </c>
      <c r="G937" s="19" t="n">
        <v>10</v>
      </c>
      <c r="H937" s="14" t="n">
        <v>26120</v>
      </c>
      <c r="I937" s="14" t="n">
        <v>24288.6</v>
      </c>
      <c r="J937" s="24" t="n">
        <v>1.15</v>
      </c>
      <c r="K937" s="19" t="n">
        <v>15</v>
      </c>
      <c r="L937" s="13" t="str">
        <f aca="false">IF(D937&gt;=Inputs!$C$14,"Near-prime","Non-prime")</f>
        <v>Near-prime</v>
      </c>
      <c r="M937" s="19" t="n">
        <f aca="false">IF(K937&lt;=Inputs!$C$19,1,0)</f>
        <v>1</v>
      </c>
      <c r="N937" s="19" t="n">
        <f aca="false">IF(F937&lt;=Inputs!$C$20,1,0)</f>
        <v>1</v>
      </c>
      <c r="O937" s="19" t="n">
        <f aca="false">IF(J937&lt;=Inputs!$C$21,1,0)</f>
        <v>1</v>
      </c>
      <c r="P937" s="19" t="n">
        <f aca="false">IF(D937&gt;=Inputs!$C$22,1,0)</f>
        <v>1</v>
      </c>
      <c r="Q937" s="19" t="n">
        <f aca="false">IF(I937&lt;=Inputs!$C$23,1,0)</f>
        <v>1</v>
      </c>
      <c r="R937" s="19" t="n">
        <f aca="false">M937*N937*O937*P937*Q937</f>
        <v>1</v>
      </c>
      <c r="S937" s="14" t="n">
        <f aca="false">I937*R937</f>
        <v>24288.6</v>
      </c>
      <c r="T937" s="19" t="n">
        <f aca="false">IF(F937&gt;72,1,0)</f>
        <v>1</v>
      </c>
      <c r="U937" s="19" t="n">
        <f aca="false">IF(J937&gt;1.25,1,0)</f>
        <v>0</v>
      </c>
    </row>
    <row r="938" customFormat="false" ht="15" hidden="false" customHeight="false" outlineLevel="0" collapsed="false">
      <c r="B938" s="13" t="s">
        <v>1158</v>
      </c>
      <c r="C938" s="13" t="s">
        <v>217</v>
      </c>
      <c r="D938" s="19" t="n">
        <v>672</v>
      </c>
      <c r="E938" s="23" t="n">
        <v>0.1986</v>
      </c>
      <c r="F938" s="19" t="n">
        <v>72</v>
      </c>
      <c r="G938" s="19" t="n">
        <v>1</v>
      </c>
      <c r="H938" s="14" t="n">
        <v>21280</v>
      </c>
      <c r="I938" s="14" t="n">
        <v>21124.19</v>
      </c>
      <c r="J938" s="24" t="n">
        <v>1.094</v>
      </c>
      <c r="K938" s="19" t="n">
        <v>0</v>
      </c>
      <c r="L938" s="13" t="str">
        <f aca="false">IF(D938&gt;=Inputs!$C$14,"Near-prime","Non-prime")</f>
        <v>Near-prime</v>
      </c>
      <c r="M938" s="19" t="n">
        <f aca="false">IF(K938&lt;=Inputs!$C$19,1,0)</f>
        <v>1</v>
      </c>
      <c r="N938" s="19" t="n">
        <f aca="false">IF(F938&lt;=Inputs!$C$20,1,0)</f>
        <v>1</v>
      </c>
      <c r="O938" s="19" t="n">
        <f aca="false">IF(J938&lt;=Inputs!$C$21,1,0)</f>
        <v>1</v>
      </c>
      <c r="P938" s="19" t="n">
        <f aca="false">IF(D938&gt;=Inputs!$C$22,1,0)</f>
        <v>1</v>
      </c>
      <c r="Q938" s="19" t="n">
        <f aca="false">IF(I938&lt;=Inputs!$C$23,1,0)</f>
        <v>1</v>
      </c>
      <c r="R938" s="19" t="n">
        <f aca="false">M938*N938*O938*P938*Q938</f>
        <v>1</v>
      </c>
      <c r="S938" s="14" t="n">
        <f aca="false">I938*R938</f>
        <v>21124.19</v>
      </c>
      <c r="T938" s="19" t="n">
        <f aca="false">IF(F938&gt;72,1,0)</f>
        <v>0</v>
      </c>
      <c r="U938" s="19" t="n">
        <f aca="false">IF(J938&gt;1.25,1,0)</f>
        <v>0</v>
      </c>
    </row>
    <row r="939" customFormat="false" ht="15" hidden="false" customHeight="false" outlineLevel="0" collapsed="false">
      <c r="B939" s="13" t="s">
        <v>1159</v>
      </c>
      <c r="C939" s="13" t="s">
        <v>228</v>
      </c>
      <c r="D939" s="19" t="n">
        <v>605</v>
      </c>
      <c r="E939" s="23" t="n">
        <v>0.2378</v>
      </c>
      <c r="F939" s="19" t="n">
        <v>75</v>
      </c>
      <c r="G939" s="19" t="n">
        <v>2</v>
      </c>
      <c r="H939" s="14" t="n">
        <v>25110</v>
      </c>
      <c r="I939" s="14" t="n">
        <v>24810.58</v>
      </c>
      <c r="J939" s="24" t="n">
        <v>0.946</v>
      </c>
      <c r="K939" s="19" t="n">
        <v>0</v>
      </c>
      <c r="L939" s="13" t="str">
        <f aca="false">IF(D939&gt;=Inputs!$C$14,"Near-prime","Non-prime")</f>
        <v>Non-prime</v>
      </c>
      <c r="M939" s="19" t="n">
        <f aca="false">IF(K939&lt;=Inputs!$C$19,1,0)</f>
        <v>1</v>
      </c>
      <c r="N939" s="19" t="n">
        <f aca="false">IF(F939&lt;=Inputs!$C$20,1,0)</f>
        <v>1</v>
      </c>
      <c r="O939" s="19" t="n">
        <f aca="false">IF(J939&lt;=Inputs!$C$21,1,0)</f>
        <v>1</v>
      </c>
      <c r="P939" s="19" t="n">
        <f aca="false">IF(D939&gt;=Inputs!$C$22,1,0)</f>
        <v>1</v>
      </c>
      <c r="Q939" s="19" t="n">
        <f aca="false">IF(I939&lt;=Inputs!$C$23,1,0)</f>
        <v>1</v>
      </c>
      <c r="R939" s="19" t="n">
        <f aca="false">M939*N939*O939*P939*Q939</f>
        <v>1</v>
      </c>
      <c r="S939" s="14" t="n">
        <f aca="false">I939*R939</f>
        <v>24810.58</v>
      </c>
      <c r="T939" s="19" t="n">
        <f aca="false">IF(F939&gt;72,1,0)</f>
        <v>1</v>
      </c>
      <c r="U939" s="19" t="n">
        <f aca="false">IF(J939&gt;1.25,1,0)</f>
        <v>0</v>
      </c>
    </row>
    <row r="940" customFormat="false" ht="15" hidden="false" customHeight="false" outlineLevel="0" collapsed="false">
      <c r="B940" s="13" t="s">
        <v>1160</v>
      </c>
      <c r="C940" s="13" t="s">
        <v>217</v>
      </c>
      <c r="D940" s="19" t="n">
        <v>657</v>
      </c>
      <c r="E940" s="23" t="n">
        <v>0.2257</v>
      </c>
      <c r="F940" s="19" t="n">
        <v>60</v>
      </c>
      <c r="G940" s="19" t="n">
        <v>2</v>
      </c>
      <c r="H940" s="14" t="n">
        <v>31160</v>
      </c>
      <c r="I940" s="14" t="n">
        <v>30585.31</v>
      </c>
      <c r="J940" s="24" t="n">
        <v>0.962</v>
      </c>
      <c r="K940" s="19" t="n">
        <v>0</v>
      </c>
      <c r="L940" s="13" t="str">
        <f aca="false">IF(D940&gt;=Inputs!$C$14,"Near-prime","Non-prime")</f>
        <v>Near-prime</v>
      </c>
      <c r="M940" s="19" t="n">
        <f aca="false">IF(K940&lt;=Inputs!$C$19,1,0)</f>
        <v>1</v>
      </c>
      <c r="N940" s="19" t="n">
        <f aca="false">IF(F940&lt;=Inputs!$C$20,1,0)</f>
        <v>1</v>
      </c>
      <c r="O940" s="19" t="n">
        <f aca="false">IF(J940&lt;=Inputs!$C$21,1,0)</f>
        <v>1</v>
      </c>
      <c r="P940" s="19" t="n">
        <f aca="false">IF(D940&gt;=Inputs!$C$22,1,0)</f>
        <v>1</v>
      </c>
      <c r="Q940" s="19" t="n">
        <f aca="false">IF(I940&lt;=Inputs!$C$23,1,0)</f>
        <v>1</v>
      </c>
      <c r="R940" s="19" t="n">
        <f aca="false">M940*N940*O940*P940*Q940</f>
        <v>1</v>
      </c>
      <c r="S940" s="14" t="n">
        <f aca="false">I940*R940</f>
        <v>30585.31</v>
      </c>
      <c r="T940" s="19" t="n">
        <f aca="false">IF(F940&gt;72,1,0)</f>
        <v>0</v>
      </c>
      <c r="U940" s="19" t="n">
        <f aca="false">IF(J940&gt;1.25,1,0)</f>
        <v>0</v>
      </c>
    </row>
    <row r="941" customFormat="false" ht="15" hidden="false" customHeight="false" outlineLevel="0" collapsed="false">
      <c r="B941" s="13" t="s">
        <v>1161</v>
      </c>
      <c r="C941" s="13" t="s">
        <v>237</v>
      </c>
      <c r="D941" s="19" t="n">
        <v>701</v>
      </c>
      <c r="E941" s="23" t="n">
        <v>0.2051</v>
      </c>
      <c r="F941" s="19" t="n">
        <v>48</v>
      </c>
      <c r="G941" s="19" t="n">
        <v>2</v>
      </c>
      <c r="H941" s="14" t="n">
        <v>42600</v>
      </c>
      <c r="I941" s="14" t="n">
        <v>41430.43</v>
      </c>
      <c r="J941" s="24" t="n">
        <v>1.151</v>
      </c>
      <c r="K941" s="19" t="n">
        <v>0</v>
      </c>
      <c r="L941" s="13" t="str">
        <f aca="false">IF(D941&gt;=Inputs!$C$14,"Near-prime","Non-prime")</f>
        <v>Near-prime</v>
      </c>
      <c r="M941" s="19" t="n">
        <f aca="false">IF(K941&lt;=Inputs!$C$19,1,0)</f>
        <v>1</v>
      </c>
      <c r="N941" s="19" t="n">
        <f aca="false">IF(F941&lt;=Inputs!$C$20,1,0)</f>
        <v>1</v>
      </c>
      <c r="O941" s="19" t="n">
        <f aca="false">IF(J941&lt;=Inputs!$C$21,1,0)</f>
        <v>1</v>
      </c>
      <c r="P941" s="19" t="n">
        <f aca="false">IF(D941&gt;=Inputs!$C$22,1,0)</f>
        <v>1</v>
      </c>
      <c r="Q941" s="19" t="n">
        <f aca="false">IF(I941&lt;=Inputs!$C$23,1,0)</f>
        <v>1</v>
      </c>
      <c r="R941" s="19" t="n">
        <f aca="false">M941*N941*O941*P941*Q941</f>
        <v>1</v>
      </c>
      <c r="S941" s="14" t="n">
        <f aca="false">I941*R941</f>
        <v>41430.43</v>
      </c>
      <c r="T941" s="19" t="n">
        <f aca="false">IF(F941&gt;72,1,0)</f>
        <v>0</v>
      </c>
      <c r="U941" s="19" t="n">
        <f aca="false">IF(J941&gt;1.25,1,0)</f>
        <v>0</v>
      </c>
    </row>
    <row r="942" customFormat="false" ht="15" hidden="false" customHeight="false" outlineLevel="0" collapsed="false">
      <c r="B942" s="13" t="s">
        <v>1162</v>
      </c>
      <c r="C942" s="13" t="s">
        <v>221</v>
      </c>
      <c r="D942" s="19" t="n">
        <v>712</v>
      </c>
      <c r="E942" s="23" t="n">
        <v>0.2058</v>
      </c>
      <c r="F942" s="19" t="n">
        <v>72</v>
      </c>
      <c r="G942" s="19" t="n">
        <v>0</v>
      </c>
      <c r="H942" s="14" t="n">
        <v>36040</v>
      </c>
      <c r="I942" s="14" t="n">
        <v>36040</v>
      </c>
      <c r="J942" s="24" t="n">
        <v>1.115</v>
      </c>
      <c r="K942" s="19" t="n">
        <v>0</v>
      </c>
      <c r="L942" s="13" t="str">
        <f aca="false">IF(D942&gt;=Inputs!$C$14,"Near-prime","Non-prime")</f>
        <v>Near-prime</v>
      </c>
      <c r="M942" s="19" t="n">
        <f aca="false">IF(K942&lt;=Inputs!$C$19,1,0)</f>
        <v>1</v>
      </c>
      <c r="N942" s="19" t="n">
        <f aca="false">IF(F942&lt;=Inputs!$C$20,1,0)</f>
        <v>1</v>
      </c>
      <c r="O942" s="19" t="n">
        <f aca="false">IF(J942&lt;=Inputs!$C$21,1,0)</f>
        <v>1</v>
      </c>
      <c r="P942" s="19" t="n">
        <f aca="false">IF(D942&gt;=Inputs!$C$22,1,0)</f>
        <v>1</v>
      </c>
      <c r="Q942" s="19" t="n">
        <f aca="false">IF(I942&lt;=Inputs!$C$23,1,0)</f>
        <v>1</v>
      </c>
      <c r="R942" s="19" t="n">
        <f aca="false">M942*N942*O942*P942*Q942</f>
        <v>1</v>
      </c>
      <c r="S942" s="14" t="n">
        <f aca="false">I942*R942</f>
        <v>36040</v>
      </c>
      <c r="T942" s="19" t="n">
        <f aca="false">IF(F942&gt;72,1,0)</f>
        <v>0</v>
      </c>
      <c r="U942" s="19" t="n">
        <f aca="false">IF(J942&gt;1.25,1,0)</f>
        <v>0</v>
      </c>
    </row>
    <row r="943" customFormat="false" ht="15" hidden="false" customHeight="false" outlineLevel="0" collapsed="false">
      <c r="B943" s="13" t="s">
        <v>1163</v>
      </c>
      <c r="C943" s="13" t="s">
        <v>237</v>
      </c>
      <c r="D943" s="19" t="n">
        <v>667</v>
      </c>
      <c r="E943" s="23" t="n">
        <v>0.1953</v>
      </c>
      <c r="F943" s="19" t="n">
        <v>66</v>
      </c>
      <c r="G943" s="19" t="n">
        <v>9</v>
      </c>
      <c r="H943" s="14" t="n">
        <v>38300</v>
      </c>
      <c r="I943" s="14" t="n">
        <v>35151.48</v>
      </c>
      <c r="J943" s="24" t="n">
        <v>0.93</v>
      </c>
      <c r="K943" s="19" t="n">
        <v>0</v>
      </c>
      <c r="L943" s="13" t="str">
        <f aca="false">IF(D943&gt;=Inputs!$C$14,"Near-prime","Non-prime")</f>
        <v>Near-prime</v>
      </c>
      <c r="M943" s="19" t="n">
        <f aca="false">IF(K943&lt;=Inputs!$C$19,1,0)</f>
        <v>1</v>
      </c>
      <c r="N943" s="19" t="n">
        <f aca="false">IF(F943&lt;=Inputs!$C$20,1,0)</f>
        <v>1</v>
      </c>
      <c r="O943" s="19" t="n">
        <f aca="false">IF(J943&lt;=Inputs!$C$21,1,0)</f>
        <v>1</v>
      </c>
      <c r="P943" s="19" t="n">
        <f aca="false">IF(D943&gt;=Inputs!$C$22,1,0)</f>
        <v>1</v>
      </c>
      <c r="Q943" s="19" t="n">
        <f aca="false">IF(I943&lt;=Inputs!$C$23,1,0)</f>
        <v>1</v>
      </c>
      <c r="R943" s="19" t="n">
        <f aca="false">M943*N943*O943*P943*Q943</f>
        <v>1</v>
      </c>
      <c r="S943" s="14" t="n">
        <f aca="false">I943*R943</f>
        <v>35151.48</v>
      </c>
      <c r="T943" s="19" t="n">
        <f aca="false">IF(F943&gt;72,1,0)</f>
        <v>0</v>
      </c>
      <c r="U943" s="19" t="n">
        <f aca="false">IF(J943&gt;1.25,1,0)</f>
        <v>0</v>
      </c>
    </row>
    <row r="944" customFormat="false" ht="15" hidden="false" customHeight="false" outlineLevel="0" collapsed="false">
      <c r="B944" s="13" t="s">
        <v>1164</v>
      </c>
      <c r="C944" s="13" t="s">
        <v>221</v>
      </c>
      <c r="D944" s="19" t="n">
        <v>658</v>
      </c>
      <c r="E944" s="23" t="n">
        <v>0.2143</v>
      </c>
      <c r="F944" s="19" t="n">
        <v>48</v>
      </c>
      <c r="G944" s="19" t="n">
        <v>7</v>
      </c>
      <c r="H944" s="14" t="n">
        <v>31690</v>
      </c>
      <c r="I944" s="14" t="n">
        <v>28567.65</v>
      </c>
      <c r="J944" s="24" t="n">
        <v>1.235</v>
      </c>
      <c r="K944" s="19" t="n">
        <v>0</v>
      </c>
      <c r="L944" s="13" t="str">
        <f aca="false">IF(D944&gt;=Inputs!$C$14,"Near-prime","Non-prime")</f>
        <v>Near-prime</v>
      </c>
      <c r="M944" s="19" t="n">
        <f aca="false">IF(K944&lt;=Inputs!$C$19,1,0)</f>
        <v>1</v>
      </c>
      <c r="N944" s="19" t="n">
        <f aca="false">IF(F944&lt;=Inputs!$C$20,1,0)</f>
        <v>1</v>
      </c>
      <c r="O944" s="19" t="n">
        <f aca="false">IF(J944&lt;=Inputs!$C$21,1,0)</f>
        <v>1</v>
      </c>
      <c r="P944" s="19" t="n">
        <f aca="false">IF(D944&gt;=Inputs!$C$22,1,0)</f>
        <v>1</v>
      </c>
      <c r="Q944" s="19" t="n">
        <f aca="false">IF(I944&lt;=Inputs!$C$23,1,0)</f>
        <v>1</v>
      </c>
      <c r="R944" s="19" t="n">
        <f aca="false">M944*N944*O944*P944*Q944</f>
        <v>1</v>
      </c>
      <c r="S944" s="14" t="n">
        <f aca="false">I944*R944</f>
        <v>28567.65</v>
      </c>
      <c r="T944" s="19" t="n">
        <f aca="false">IF(F944&gt;72,1,0)</f>
        <v>0</v>
      </c>
      <c r="U944" s="19" t="n">
        <f aca="false">IF(J944&gt;1.25,1,0)</f>
        <v>0</v>
      </c>
    </row>
    <row r="945" customFormat="false" ht="15" hidden="false" customHeight="false" outlineLevel="0" collapsed="false">
      <c r="B945" s="13" t="s">
        <v>1165</v>
      </c>
      <c r="C945" s="13" t="s">
        <v>223</v>
      </c>
      <c r="D945" s="19" t="n">
        <v>678</v>
      </c>
      <c r="E945" s="23" t="n">
        <v>0.2063</v>
      </c>
      <c r="F945" s="19" t="n">
        <v>72</v>
      </c>
      <c r="G945" s="19" t="n">
        <v>4</v>
      </c>
      <c r="H945" s="14" t="n">
        <v>24790</v>
      </c>
      <c r="I945" s="14" t="n">
        <v>24064.78</v>
      </c>
      <c r="J945" s="24" t="n">
        <v>1.03</v>
      </c>
      <c r="K945" s="19" t="n">
        <v>0</v>
      </c>
      <c r="L945" s="13" t="str">
        <f aca="false">IF(D945&gt;=Inputs!$C$14,"Near-prime","Non-prime")</f>
        <v>Near-prime</v>
      </c>
      <c r="M945" s="19" t="n">
        <f aca="false">IF(K945&lt;=Inputs!$C$19,1,0)</f>
        <v>1</v>
      </c>
      <c r="N945" s="19" t="n">
        <f aca="false">IF(F945&lt;=Inputs!$C$20,1,0)</f>
        <v>1</v>
      </c>
      <c r="O945" s="19" t="n">
        <f aca="false">IF(J945&lt;=Inputs!$C$21,1,0)</f>
        <v>1</v>
      </c>
      <c r="P945" s="19" t="n">
        <f aca="false">IF(D945&gt;=Inputs!$C$22,1,0)</f>
        <v>1</v>
      </c>
      <c r="Q945" s="19" t="n">
        <f aca="false">IF(I945&lt;=Inputs!$C$23,1,0)</f>
        <v>1</v>
      </c>
      <c r="R945" s="19" t="n">
        <f aca="false">M945*N945*O945*P945*Q945</f>
        <v>1</v>
      </c>
      <c r="S945" s="14" t="n">
        <f aca="false">I945*R945</f>
        <v>24064.78</v>
      </c>
      <c r="T945" s="19" t="n">
        <f aca="false">IF(F945&gt;72,1,0)</f>
        <v>0</v>
      </c>
      <c r="U945" s="19" t="n">
        <f aca="false">IF(J945&gt;1.25,1,0)</f>
        <v>0</v>
      </c>
    </row>
    <row r="946" customFormat="false" ht="15" hidden="false" customHeight="false" outlineLevel="0" collapsed="false">
      <c r="B946" s="13" t="s">
        <v>1166</v>
      </c>
      <c r="C946" s="13" t="s">
        <v>219</v>
      </c>
      <c r="D946" s="19" t="n">
        <v>651</v>
      </c>
      <c r="E946" s="23" t="n">
        <v>0.2172</v>
      </c>
      <c r="F946" s="19" t="n">
        <v>75</v>
      </c>
      <c r="G946" s="19" t="n">
        <v>10</v>
      </c>
      <c r="H946" s="14" t="n">
        <v>17020</v>
      </c>
      <c r="I946" s="14" t="n">
        <v>15842.34</v>
      </c>
      <c r="J946" s="24" t="n">
        <v>1.276</v>
      </c>
      <c r="K946" s="19" t="n">
        <v>0</v>
      </c>
      <c r="L946" s="13" t="str">
        <f aca="false">IF(D946&gt;=Inputs!$C$14,"Near-prime","Non-prime")</f>
        <v>Near-prime</v>
      </c>
      <c r="M946" s="19" t="n">
        <f aca="false">IF(K946&lt;=Inputs!$C$19,1,0)</f>
        <v>1</v>
      </c>
      <c r="N946" s="19" t="n">
        <f aca="false">IF(F946&lt;=Inputs!$C$20,1,0)</f>
        <v>1</v>
      </c>
      <c r="O946" s="19" t="n">
        <f aca="false">IF(J946&lt;=Inputs!$C$21,1,0)</f>
        <v>1</v>
      </c>
      <c r="P946" s="19" t="n">
        <f aca="false">IF(D946&gt;=Inputs!$C$22,1,0)</f>
        <v>1</v>
      </c>
      <c r="Q946" s="19" t="n">
        <f aca="false">IF(I946&lt;=Inputs!$C$23,1,0)</f>
        <v>1</v>
      </c>
      <c r="R946" s="19" t="n">
        <f aca="false">M946*N946*O946*P946*Q946</f>
        <v>1</v>
      </c>
      <c r="S946" s="14" t="n">
        <f aca="false">I946*R946</f>
        <v>15842.34</v>
      </c>
      <c r="T946" s="19" t="n">
        <f aca="false">IF(F946&gt;72,1,0)</f>
        <v>1</v>
      </c>
      <c r="U946" s="19" t="n">
        <f aca="false">IF(J946&gt;1.25,1,0)</f>
        <v>1</v>
      </c>
    </row>
    <row r="947" customFormat="false" ht="15" hidden="false" customHeight="false" outlineLevel="0" collapsed="false">
      <c r="B947" s="13" t="s">
        <v>1167</v>
      </c>
      <c r="C947" s="13" t="s">
        <v>233</v>
      </c>
      <c r="D947" s="19" t="n">
        <v>753</v>
      </c>
      <c r="E947" s="23" t="n">
        <v>0.2033</v>
      </c>
      <c r="F947" s="19" t="n">
        <v>66</v>
      </c>
      <c r="G947" s="19" t="n">
        <v>3</v>
      </c>
      <c r="H947" s="14" t="n">
        <v>22220</v>
      </c>
      <c r="I947" s="14" t="n">
        <v>21654.39</v>
      </c>
      <c r="J947" s="24" t="n">
        <v>1.174</v>
      </c>
      <c r="K947" s="19" t="n">
        <v>0</v>
      </c>
      <c r="L947" s="13" t="str">
        <f aca="false">IF(D947&gt;=Inputs!$C$14,"Near-prime","Non-prime")</f>
        <v>Near-prime</v>
      </c>
      <c r="M947" s="19" t="n">
        <f aca="false">IF(K947&lt;=Inputs!$C$19,1,0)</f>
        <v>1</v>
      </c>
      <c r="N947" s="19" t="n">
        <f aca="false">IF(F947&lt;=Inputs!$C$20,1,0)</f>
        <v>1</v>
      </c>
      <c r="O947" s="19" t="n">
        <f aca="false">IF(J947&lt;=Inputs!$C$21,1,0)</f>
        <v>1</v>
      </c>
      <c r="P947" s="19" t="n">
        <f aca="false">IF(D947&gt;=Inputs!$C$22,1,0)</f>
        <v>1</v>
      </c>
      <c r="Q947" s="19" t="n">
        <f aca="false">IF(I947&lt;=Inputs!$C$23,1,0)</f>
        <v>1</v>
      </c>
      <c r="R947" s="19" t="n">
        <f aca="false">M947*N947*O947*P947*Q947</f>
        <v>1</v>
      </c>
      <c r="S947" s="14" t="n">
        <f aca="false">I947*R947</f>
        <v>21654.39</v>
      </c>
      <c r="T947" s="19" t="n">
        <f aca="false">IF(F947&gt;72,1,0)</f>
        <v>0</v>
      </c>
      <c r="U947" s="19" t="n">
        <f aca="false">IF(J947&gt;1.25,1,0)</f>
        <v>0</v>
      </c>
    </row>
    <row r="948" customFormat="false" ht="15" hidden="false" customHeight="false" outlineLevel="0" collapsed="false">
      <c r="B948" s="13" t="s">
        <v>1168</v>
      </c>
      <c r="C948" s="13" t="s">
        <v>219</v>
      </c>
      <c r="D948" s="19" t="n">
        <v>631</v>
      </c>
      <c r="E948" s="23" t="n">
        <v>0.2105</v>
      </c>
      <c r="F948" s="19" t="n">
        <v>60</v>
      </c>
      <c r="G948" s="19" t="n">
        <v>7</v>
      </c>
      <c r="H948" s="14" t="n">
        <v>19170</v>
      </c>
      <c r="I948" s="14" t="n">
        <v>17820.48</v>
      </c>
      <c r="J948" s="24" t="n">
        <v>1.196</v>
      </c>
      <c r="K948" s="19" t="n">
        <v>0</v>
      </c>
      <c r="L948" s="13" t="str">
        <f aca="false">IF(D948&gt;=Inputs!$C$14,"Near-prime","Non-prime")</f>
        <v>Near-prime</v>
      </c>
      <c r="M948" s="19" t="n">
        <f aca="false">IF(K948&lt;=Inputs!$C$19,1,0)</f>
        <v>1</v>
      </c>
      <c r="N948" s="19" t="n">
        <f aca="false">IF(F948&lt;=Inputs!$C$20,1,0)</f>
        <v>1</v>
      </c>
      <c r="O948" s="19" t="n">
        <f aca="false">IF(J948&lt;=Inputs!$C$21,1,0)</f>
        <v>1</v>
      </c>
      <c r="P948" s="19" t="n">
        <f aca="false">IF(D948&gt;=Inputs!$C$22,1,0)</f>
        <v>1</v>
      </c>
      <c r="Q948" s="19" t="n">
        <f aca="false">IF(I948&lt;=Inputs!$C$23,1,0)</f>
        <v>1</v>
      </c>
      <c r="R948" s="19" t="n">
        <f aca="false">M948*N948*O948*P948*Q948</f>
        <v>1</v>
      </c>
      <c r="S948" s="14" t="n">
        <f aca="false">I948*R948</f>
        <v>17820.48</v>
      </c>
      <c r="T948" s="19" t="n">
        <f aca="false">IF(F948&gt;72,1,0)</f>
        <v>0</v>
      </c>
      <c r="U948" s="19" t="n">
        <f aca="false">IF(J948&gt;1.25,1,0)</f>
        <v>0</v>
      </c>
    </row>
    <row r="949" customFormat="false" ht="15" hidden="false" customHeight="false" outlineLevel="0" collapsed="false">
      <c r="B949" s="13" t="s">
        <v>1169</v>
      </c>
      <c r="C949" s="13" t="s">
        <v>217</v>
      </c>
      <c r="D949" s="19" t="n">
        <v>654</v>
      </c>
      <c r="E949" s="23" t="n">
        <v>0.1978</v>
      </c>
      <c r="F949" s="19" t="n">
        <v>48</v>
      </c>
      <c r="G949" s="19" t="n">
        <v>1</v>
      </c>
      <c r="H949" s="14" t="n">
        <v>30600</v>
      </c>
      <c r="I949" s="14" t="n">
        <v>30176.8</v>
      </c>
      <c r="J949" s="24" t="n">
        <v>1.148</v>
      </c>
      <c r="K949" s="19" t="n">
        <v>0</v>
      </c>
      <c r="L949" s="13" t="str">
        <f aca="false">IF(D949&gt;=Inputs!$C$14,"Near-prime","Non-prime")</f>
        <v>Near-prime</v>
      </c>
      <c r="M949" s="19" t="n">
        <f aca="false">IF(K949&lt;=Inputs!$C$19,1,0)</f>
        <v>1</v>
      </c>
      <c r="N949" s="19" t="n">
        <f aca="false">IF(F949&lt;=Inputs!$C$20,1,0)</f>
        <v>1</v>
      </c>
      <c r="O949" s="19" t="n">
        <f aca="false">IF(J949&lt;=Inputs!$C$21,1,0)</f>
        <v>1</v>
      </c>
      <c r="P949" s="19" t="n">
        <f aca="false">IF(D949&gt;=Inputs!$C$22,1,0)</f>
        <v>1</v>
      </c>
      <c r="Q949" s="19" t="n">
        <f aca="false">IF(I949&lt;=Inputs!$C$23,1,0)</f>
        <v>1</v>
      </c>
      <c r="R949" s="19" t="n">
        <f aca="false">M949*N949*O949*P949*Q949</f>
        <v>1</v>
      </c>
      <c r="S949" s="14" t="n">
        <f aca="false">I949*R949</f>
        <v>30176.8</v>
      </c>
      <c r="T949" s="19" t="n">
        <f aca="false">IF(F949&gt;72,1,0)</f>
        <v>0</v>
      </c>
      <c r="U949" s="19" t="n">
        <f aca="false">IF(J949&gt;1.25,1,0)</f>
        <v>0</v>
      </c>
    </row>
    <row r="950" customFormat="false" ht="15" hidden="false" customHeight="false" outlineLevel="0" collapsed="false">
      <c r="B950" s="13" t="s">
        <v>1170</v>
      </c>
      <c r="C950" s="13" t="s">
        <v>217</v>
      </c>
      <c r="D950" s="19" t="n">
        <v>643</v>
      </c>
      <c r="E950" s="23" t="n">
        <v>0.2076</v>
      </c>
      <c r="F950" s="19" t="n">
        <v>75</v>
      </c>
      <c r="G950" s="19" t="n">
        <v>3</v>
      </c>
      <c r="H950" s="14" t="n">
        <v>10610</v>
      </c>
      <c r="I950" s="14" t="n">
        <v>10396.15</v>
      </c>
      <c r="J950" s="24" t="n">
        <v>1.166</v>
      </c>
      <c r="K950" s="19" t="n">
        <v>0</v>
      </c>
      <c r="L950" s="13" t="str">
        <f aca="false">IF(D950&gt;=Inputs!$C$14,"Near-prime","Non-prime")</f>
        <v>Near-prime</v>
      </c>
      <c r="M950" s="19" t="n">
        <f aca="false">IF(K950&lt;=Inputs!$C$19,1,0)</f>
        <v>1</v>
      </c>
      <c r="N950" s="19" t="n">
        <f aca="false">IF(F950&lt;=Inputs!$C$20,1,0)</f>
        <v>1</v>
      </c>
      <c r="O950" s="19" t="n">
        <f aca="false">IF(J950&lt;=Inputs!$C$21,1,0)</f>
        <v>1</v>
      </c>
      <c r="P950" s="19" t="n">
        <f aca="false">IF(D950&gt;=Inputs!$C$22,1,0)</f>
        <v>1</v>
      </c>
      <c r="Q950" s="19" t="n">
        <f aca="false">IF(I950&lt;=Inputs!$C$23,1,0)</f>
        <v>1</v>
      </c>
      <c r="R950" s="19" t="n">
        <f aca="false">M950*N950*O950*P950*Q950</f>
        <v>1</v>
      </c>
      <c r="S950" s="14" t="n">
        <f aca="false">I950*R950</f>
        <v>10396.15</v>
      </c>
      <c r="T950" s="19" t="n">
        <f aca="false">IF(F950&gt;72,1,0)</f>
        <v>1</v>
      </c>
      <c r="U950" s="19" t="n">
        <f aca="false">IF(J950&gt;1.25,1,0)</f>
        <v>0</v>
      </c>
    </row>
    <row r="951" customFormat="false" ht="15" hidden="false" customHeight="false" outlineLevel="0" collapsed="false">
      <c r="B951" s="13" t="s">
        <v>1171</v>
      </c>
      <c r="C951" s="13" t="s">
        <v>217</v>
      </c>
      <c r="D951" s="19" t="n">
        <v>734</v>
      </c>
      <c r="E951" s="23" t="n">
        <v>0.1914</v>
      </c>
      <c r="F951" s="19" t="n">
        <v>75</v>
      </c>
      <c r="G951" s="19" t="n">
        <v>9</v>
      </c>
      <c r="H951" s="14" t="n">
        <v>21080</v>
      </c>
      <c r="I951" s="14" t="n">
        <v>19662.78</v>
      </c>
      <c r="J951" s="24" t="n">
        <v>1.084</v>
      </c>
      <c r="K951" s="19" t="n">
        <v>0</v>
      </c>
      <c r="L951" s="13" t="str">
        <f aca="false">IF(D951&gt;=Inputs!$C$14,"Near-prime","Non-prime")</f>
        <v>Near-prime</v>
      </c>
      <c r="M951" s="19" t="n">
        <f aca="false">IF(K951&lt;=Inputs!$C$19,1,0)</f>
        <v>1</v>
      </c>
      <c r="N951" s="19" t="n">
        <f aca="false">IF(F951&lt;=Inputs!$C$20,1,0)</f>
        <v>1</v>
      </c>
      <c r="O951" s="19" t="n">
        <f aca="false">IF(J951&lt;=Inputs!$C$21,1,0)</f>
        <v>1</v>
      </c>
      <c r="P951" s="19" t="n">
        <f aca="false">IF(D951&gt;=Inputs!$C$22,1,0)</f>
        <v>1</v>
      </c>
      <c r="Q951" s="19" t="n">
        <f aca="false">IF(I951&lt;=Inputs!$C$23,1,0)</f>
        <v>1</v>
      </c>
      <c r="R951" s="19" t="n">
        <f aca="false">M951*N951*O951*P951*Q951</f>
        <v>1</v>
      </c>
      <c r="S951" s="14" t="n">
        <f aca="false">I951*R951</f>
        <v>19662.78</v>
      </c>
      <c r="T951" s="19" t="n">
        <f aca="false">IF(F951&gt;72,1,0)</f>
        <v>1</v>
      </c>
      <c r="U951" s="19" t="n">
        <f aca="false">IF(J951&gt;1.25,1,0)</f>
        <v>0</v>
      </c>
    </row>
    <row r="952" customFormat="false" ht="15" hidden="false" customHeight="false" outlineLevel="0" collapsed="false">
      <c r="B952" s="13" t="s">
        <v>1172</v>
      </c>
      <c r="C952" s="13" t="s">
        <v>223</v>
      </c>
      <c r="D952" s="19" t="n">
        <v>625</v>
      </c>
      <c r="E952" s="23" t="n">
        <v>0.2075</v>
      </c>
      <c r="F952" s="19" t="n">
        <v>72</v>
      </c>
      <c r="G952" s="19" t="n">
        <v>6</v>
      </c>
      <c r="H952" s="14" t="n">
        <v>28750</v>
      </c>
      <c r="I952" s="14" t="n">
        <v>27471.45</v>
      </c>
      <c r="J952" s="24" t="n">
        <v>0.879</v>
      </c>
      <c r="K952" s="19" t="n">
        <v>0</v>
      </c>
      <c r="L952" s="13" t="str">
        <f aca="false">IF(D952&gt;=Inputs!$C$14,"Near-prime","Non-prime")</f>
        <v>Near-prime</v>
      </c>
      <c r="M952" s="19" t="n">
        <f aca="false">IF(K952&lt;=Inputs!$C$19,1,0)</f>
        <v>1</v>
      </c>
      <c r="N952" s="19" t="n">
        <f aca="false">IF(F952&lt;=Inputs!$C$20,1,0)</f>
        <v>1</v>
      </c>
      <c r="O952" s="19" t="n">
        <f aca="false">IF(J952&lt;=Inputs!$C$21,1,0)</f>
        <v>1</v>
      </c>
      <c r="P952" s="19" t="n">
        <f aca="false">IF(D952&gt;=Inputs!$C$22,1,0)</f>
        <v>1</v>
      </c>
      <c r="Q952" s="19" t="n">
        <f aca="false">IF(I952&lt;=Inputs!$C$23,1,0)</f>
        <v>1</v>
      </c>
      <c r="R952" s="19" t="n">
        <f aca="false">M952*N952*O952*P952*Q952</f>
        <v>1</v>
      </c>
      <c r="S952" s="14" t="n">
        <f aca="false">I952*R952</f>
        <v>27471.45</v>
      </c>
      <c r="T952" s="19" t="n">
        <f aca="false">IF(F952&gt;72,1,0)</f>
        <v>0</v>
      </c>
      <c r="U952" s="19" t="n">
        <f aca="false">IF(J952&gt;1.25,1,0)</f>
        <v>0</v>
      </c>
    </row>
    <row r="953" customFormat="false" ht="15" hidden="false" customHeight="false" outlineLevel="0" collapsed="false">
      <c r="B953" s="13" t="s">
        <v>1173</v>
      </c>
      <c r="C953" s="13" t="s">
        <v>217</v>
      </c>
      <c r="D953" s="19" t="n">
        <v>699</v>
      </c>
      <c r="E953" s="23" t="n">
        <v>0.2013</v>
      </c>
      <c r="F953" s="19" t="n">
        <v>66</v>
      </c>
      <c r="G953" s="19" t="n">
        <v>9</v>
      </c>
      <c r="H953" s="14" t="n">
        <v>27180</v>
      </c>
      <c r="I953" s="14" t="n">
        <v>24982.92</v>
      </c>
      <c r="J953" s="24" t="n">
        <v>0.994</v>
      </c>
      <c r="K953" s="19" t="n">
        <v>0</v>
      </c>
      <c r="L953" s="13" t="str">
        <f aca="false">IF(D953&gt;=Inputs!$C$14,"Near-prime","Non-prime")</f>
        <v>Near-prime</v>
      </c>
      <c r="M953" s="19" t="n">
        <f aca="false">IF(K953&lt;=Inputs!$C$19,1,0)</f>
        <v>1</v>
      </c>
      <c r="N953" s="19" t="n">
        <f aca="false">IF(F953&lt;=Inputs!$C$20,1,0)</f>
        <v>1</v>
      </c>
      <c r="O953" s="19" t="n">
        <f aca="false">IF(J953&lt;=Inputs!$C$21,1,0)</f>
        <v>1</v>
      </c>
      <c r="P953" s="19" t="n">
        <f aca="false">IF(D953&gt;=Inputs!$C$22,1,0)</f>
        <v>1</v>
      </c>
      <c r="Q953" s="19" t="n">
        <f aca="false">IF(I953&lt;=Inputs!$C$23,1,0)</f>
        <v>1</v>
      </c>
      <c r="R953" s="19" t="n">
        <f aca="false">M953*N953*O953*P953*Q953</f>
        <v>1</v>
      </c>
      <c r="S953" s="14" t="n">
        <f aca="false">I953*R953</f>
        <v>24982.92</v>
      </c>
      <c r="T953" s="19" t="n">
        <f aca="false">IF(F953&gt;72,1,0)</f>
        <v>0</v>
      </c>
      <c r="U953" s="19" t="n">
        <f aca="false">IF(J953&gt;1.25,1,0)</f>
        <v>0</v>
      </c>
    </row>
    <row r="954" customFormat="false" ht="15" hidden="false" customHeight="false" outlineLevel="0" collapsed="false">
      <c r="B954" s="13" t="s">
        <v>1174</v>
      </c>
      <c r="C954" s="13" t="s">
        <v>233</v>
      </c>
      <c r="D954" s="19" t="n">
        <v>650</v>
      </c>
      <c r="E954" s="23" t="n">
        <v>0.2121</v>
      </c>
      <c r="F954" s="19" t="n">
        <v>60</v>
      </c>
      <c r="G954" s="19" t="n">
        <v>10</v>
      </c>
      <c r="H954" s="14" t="n">
        <v>27270</v>
      </c>
      <c r="I954" s="14" t="n">
        <v>24464.27</v>
      </c>
      <c r="J954" s="24" t="n">
        <v>1.169</v>
      </c>
      <c r="K954" s="19" t="n">
        <v>0</v>
      </c>
      <c r="L954" s="13" t="str">
        <f aca="false">IF(D954&gt;=Inputs!$C$14,"Near-prime","Non-prime")</f>
        <v>Near-prime</v>
      </c>
      <c r="M954" s="19" t="n">
        <f aca="false">IF(K954&lt;=Inputs!$C$19,1,0)</f>
        <v>1</v>
      </c>
      <c r="N954" s="19" t="n">
        <f aca="false">IF(F954&lt;=Inputs!$C$20,1,0)</f>
        <v>1</v>
      </c>
      <c r="O954" s="19" t="n">
        <f aca="false">IF(J954&lt;=Inputs!$C$21,1,0)</f>
        <v>1</v>
      </c>
      <c r="P954" s="19" t="n">
        <f aca="false">IF(D954&gt;=Inputs!$C$22,1,0)</f>
        <v>1</v>
      </c>
      <c r="Q954" s="19" t="n">
        <f aca="false">IF(I954&lt;=Inputs!$C$23,1,0)</f>
        <v>1</v>
      </c>
      <c r="R954" s="19" t="n">
        <f aca="false">M954*N954*O954*P954*Q954</f>
        <v>1</v>
      </c>
      <c r="S954" s="14" t="n">
        <f aca="false">I954*R954</f>
        <v>24464.27</v>
      </c>
      <c r="T954" s="19" t="n">
        <f aca="false">IF(F954&gt;72,1,0)</f>
        <v>0</v>
      </c>
      <c r="U954" s="19" t="n">
        <f aca="false">IF(J954&gt;1.25,1,0)</f>
        <v>0</v>
      </c>
    </row>
    <row r="955" customFormat="false" ht="15" hidden="false" customHeight="false" outlineLevel="0" collapsed="false">
      <c r="B955" s="13" t="s">
        <v>1175</v>
      </c>
      <c r="C955" s="13" t="s">
        <v>223</v>
      </c>
      <c r="D955" s="19" t="n">
        <v>629</v>
      </c>
      <c r="E955" s="23" t="n">
        <v>0.2086</v>
      </c>
      <c r="F955" s="19" t="n">
        <v>66</v>
      </c>
      <c r="G955" s="19" t="n">
        <v>7</v>
      </c>
      <c r="H955" s="14" t="n">
        <v>27100</v>
      </c>
      <c r="I955" s="14" t="n">
        <v>25460.07</v>
      </c>
      <c r="J955" s="24" t="n">
        <v>1.168</v>
      </c>
      <c r="K955" s="19" t="n">
        <v>0</v>
      </c>
      <c r="L955" s="13" t="str">
        <f aca="false">IF(D955&gt;=Inputs!$C$14,"Near-prime","Non-prime")</f>
        <v>Near-prime</v>
      </c>
      <c r="M955" s="19" t="n">
        <f aca="false">IF(K955&lt;=Inputs!$C$19,1,0)</f>
        <v>1</v>
      </c>
      <c r="N955" s="19" t="n">
        <f aca="false">IF(F955&lt;=Inputs!$C$20,1,0)</f>
        <v>1</v>
      </c>
      <c r="O955" s="19" t="n">
        <f aca="false">IF(J955&lt;=Inputs!$C$21,1,0)</f>
        <v>1</v>
      </c>
      <c r="P955" s="19" t="n">
        <f aca="false">IF(D955&gt;=Inputs!$C$22,1,0)</f>
        <v>1</v>
      </c>
      <c r="Q955" s="19" t="n">
        <f aca="false">IF(I955&lt;=Inputs!$C$23,1,0)</f>
        <v>1</v>
      </c>
      <c r="R955" s="19" t="n">
        <f aca="false">M955*N955*O955*P955*Q955</f>
        <v>1</v>
      </c>
      <c r="S955" s="14" t="n">
        <f aca="false">I955*R955</f>
        <v>25460.07</v>
      </c>
      <c r="T955" s="19" t="n">
        <f aca="false">IF(F955&gt;72,1,0)</f>
        <v>0</v>
      </c>
      <c r="U955" s="19" t="n">
        <f aca="false">IF(J955&gt;1.25,1,0)</f>
        <v>0</v>
      </c>
    </row>
    <row r="956" customFormat="false" ht="15" hidden="false" customHeight="false" outlineLevel="0" collapsed="false">
      <c r="B956" s="13" t="s">
        <v>1176</v>
      </c>
      <c r="C956" s="13" t="s">
        <v>221</v>
      </c>
      <c r="D956" s="19" t="n">
        <v>544</v>
      </c>
      <c r="E956" s="23" t="n">
        <v>0.2467</v>
      </c>
      <c r="F956" s="19" t="n">
        <v>60</v>
      </c>
      <c r="G956" s="19" t="n">
        <v>5</v>
      </c>
      <c r="H956" s="14" t="n">
        <v>14940</v>
      </c>
      <c r="I956" s="14" t="n">
        <v>14270.63</v>
      </c>
      <c r="J956" s="24" t="n">
        <v>1.27</v>
      </c>
      <c r="K956" s="19" t="n">
        <v>0</v>
      </c>
      <c r="L956" s="13" t="str">
        <f aca="false">IF(D956&gt;=Inputs!$C$14,"Near-prime","Non-prime")</f>
        <v>Non-prime</v>
      </c>
      <c r="M956" s="19" t="n">
        <f aca="false">IF(K956&lt;=Inputs!$C$19,1,0)</f>
        <v>1</v>
      </c>
      <c r="N956" s="19" t="n">
        <f aca="false">IF(F956&lt;=Inputs!$C$20,1,0)</f>
        <v>1</v>
      </c>
      <c r="O956" s="19" t="n">
        <f aca="false">IF(J956&lt;=Inputs!$C$21,1,0)</f>
        <v>1</v>
      </c>
      <c r="P956" s="19" t="n">
        <f aca="false">IF(D956&gt;=Inputs!$C$22,1,0)</f>
        <v>1</v>
      </c>
      <c r="Q956" s="19" t="n">
        <f aca="false">IF(I956&lt;=Inputs!$C$23,1,0)</f>
        <v>1</v>
      </c>
      <c r="R956" s="19" t="n">
        <f aca="false">M956*N956*O956*P956*Q956</f>
        <v>1</v>
      </c>
      <c r="S956" s="14" t="n">
        <f aca="false">I956*R956</f>
        <v>14270.63</v>
      </c>
      <c r="T956" s="19" t="n">
        <f aca="false">IF(F956&gt;72,1,0)</f>
        <v>0</v>
      </c>
      <c r="U956" s="19" t="n">
        <f aca="false">IF(J956&gt;1.25,1,0)</f>
        <v>1</v>
      </c>
    </row>
    <row r="957" customFormat="false" ht="15" hidden="false" customHeight="false" outlineLevel="0" collapsed="false">
      <c r="B957" s="13" t="s">
        <v>1177</v>
      </c>
      <c r="C957" s="13" t="s">
        <v>217</v>
      </c>
      <c r="D957" s="19" t="n">
        <v>650</v>
      </c>
      <c r="E957" s="23" t="n">
        <v>0.1956</v>
      </c>
      <c r="F957" s="19" t="n">
        <v>75</v>
      </c>
      <c r="G957" s="19" t="n">
        <v>8</v>
      </c>
      <c r="H957" s="14" t="n">
        <v>38400</v>
      </c>
      <c r="I957" s="14" t="n">
        <v>36155.41</v>
      </c>
      <c r="J957" s="24" t="n">
        <v>0.857</v>
      </c>
      <c r="K957" s="19" t="n">
        <v>45</v>
      </c>
      <c r="L957" s="13" t="str">
        <f aca="false">IF(D957&gt;=Inputs!$C$14,"Near-prime","Non-prime")</f>
        <v>Near-prime</v>
      </c>
      <c r="M957" s="19" t="n">
        <f aca="false">IF(K957&lt;=Inputs!$C$19,1,0)</f>
        <v>1</v>
      </c>
      <c r="N957" s="19" t="n">
        <f aca="false">IF(F957&lt;=Inputs!$C$20,1,0)</f>
        <v>1</v>
      </c>
      <c r="O957" s="19" t="n">
        <f aca="false">IF(J957&lt;=Inputs!$C$21,1,0)</f>
        <v>1</v>
      </c>
      <c r="P957" s="19" t="n">
        <f aca="false">IF(D957&gt;=Inputs!$C$22,1,0)</f>
        <v>1</v>
      </c>
      <c r="Q957" s="19" t="n">
        <f aca="false">IF(I957&lt;=Inputs!$C$23,1,0)</f>
        <v>1</v>
      </c>
      <c r="R957" s="19" t="n">
        <f aca="false">M957*N957*O957*P957*Q957</f>
        <v>1</v>
      </c>
      <c r="S957" s="14" t="n">
        <f aca="false">I957*R957</f>
        <v>36155.41</v>
      </c>
      <c r="T957" s="19" t="n">
        <f aca="false">IF(F957&gt;72,1,0)</f>
        <v>1</v>
      </c>
      <c r="U957" s="19" t="n">
        <f aca="false">IF(J957&gt;1.25,1,0)</f>
        <v>0</v>
      </c>
    </row>
    <row r="958" customFormat="false" ht="15" hidden="false" customHeight="false" outlineLevel="0" collapsed="false">
      <c r="B958" s="13" t="s">
        <v>1178</v>
      </c>
      <c r="C958" s="13" t="s">
        <v>223</v>
      </c>
      <c r="D958" s="19" t="n">
        <v>740</v>
      </c>
      <c r="E958" s="23" t="n">
        <v>0.196</v>
      </c>
      <c r="F958" s="19" t="n">
        <v>48</v>
      </c>
      <c r="G958" s="19" t="n">
        <v>2</v>
      </c>
      <c r="H958" s="14" t="n">
        <v>32310</v>
      </c>
      <c r="I958" s="14" t="n">
        <v>31405.47</v>
      </c>
      <c r="J958" s="24" t="n">
        <v>1.104</v>
      </c>
      <c r="K958" s="19" t="n">
        <v>0</v>
      </c>
      <c r="L958" s="13" t="str">
        <f aca="false">IF(D958&gt;=Inputs!$C$14,"Near-prime","Non-prime")</f>
        <v>Near-prime</v>
      </c>
      <c r="M958" s="19" t="n">
        <f aca="false">IF(K958&lt;=Inputs!$C$19,1,0)</f>
        <v>1</v>
      </c>
      <c r="N958" s="19" t="n">
        <f aca="false">IF(F958&lt;=Inputs!$C$20,1,0)</f>
        <v>1</v>
      </c>
      <c r="O958" s="19" t="n">
        <f aca="false">IF(J958&lt;=Inputs!$C$21,1,0)</f>
        <v>1</v>
      </c>
      <c r="P958" s="19" t="n">
        <f aca="false">IF(D958&gt;=Inputs!$C$22,1,0)</f>
        <v>1</v>
      </c>
      <c r="Q958" s="19" t="n">
        <f aca="false">IF(I958&lt;=Inputs!$C$23,1,0)</f>
        <v>1</v>
      </c>
      <c r="R958" s="19" t="n">
        <f aca="false">M958*N958*O958*P958*Q958</f>
        <v>1</v>
      </c>
      <c r="S958" s="14" t="n">
        <f aca="false">I958*R958</f>
        <v>31405.47</v>
      </c>
      <c r="T958" s="19" t="n">
        <f aca="false">IF(F958&gt;72,1,0)</f>
        <v>0</v>
      </c>
      <c r="U958" s="19" t="n">
        <f aca="false">IF(J958&gt;1.25,1,0)</f>
        <v>0</v>
      </c>
    </row>
    <row r="959" customFormat="false" ht="15" hidden="false" customHeight="false" outlineLevel="0" collapsed="false">
      <c r="B959" s="13" t="s">
        <v>1179</v>
      </c>
      <c r="C959" s="13" t="s">
        <v>252</v>
      </c>
      <c r="D959" s="19" t="n">
        <v>616</v>
      </c>
      <c r="E959" s="23" t="n">
        <v>0.2188</v>
      </c>
      <c r="F959" s="19" t="n">
        <v>48</v>
      </c>
      <c r="G959" s="19" t="n">
        <v>9</v>
      </c>
      <c r="H959" s="14" t="n">
        <v>36960</v>
      </c>
      <c r="I959" s="14" t="n">
        <v>32232.18</v>
      </c>
      <c r="J959" s="24" t="n">
        <v>1.145</v>
      </c>
      <c r="K959" s="19" t="n">
        <v>0</v>
      </c>
      <c r="L959" s="13" t="str">
        <f aca="false">IF(D959&gt;=Inputs!$C$14,"Near-prime","Non-prime")</f>
        <v>Non-prime</v>
      </c>
      <c r="M959" s="19" t="n">
        <f aca="false">IF(K959&lt;=Inputs!$C$19,1,0)</f>
        <v>1</v>
      </c>
      <c r="N959" s="19" t="n">
        <f aca="false">IF(F959&lt;=Inputs!$C$20,1,0)</f>
        <v>1</v>
      </c>
      <c r="O959" s="19" t="n">
        <f aca="false">IF(J959&lt;=Inputs!$C$21,1,0)</f>
        <v>1</v>
      </c>
      <c r="P959" s="19" t="n">
        <f aca="false">IF(D959&gt;=Inputs!$C$22,1,0)</f>
        <v>1</v>
      </c>
      <c r="Q959" s="19" t="n">
        <f aca="false">IF(I959&lt;=Inputs!$C$23,1,0)</f>
        <v>1</v>
      </c>
      <c r="R959" s="19" t="n">
        <f aca="false">M959*N959*O959*P959*Q959</f>
        <v>1</v>
      </c>
      <c r="S959" s="14" t="n">
        <f aca="false">I959*R959</f>
        <v>32232.18</v>
      </c>
      <c r="T959" s="19" t="n">
        <f aca="false">IF(F959&gt;72,1,0)</f>
        <v>0</v>
      </c>
      <c r="U959" s="19" t="n">
        <f aca="false">IF(J959&gt;1.25,1,0)</f>
        <v>0</v>
      </c>
    </row>
    <row r="960" customFormat="false" ht="15" hidden="false" customHeight="false" outlineLevel="0" collapsed="false">
      <c r="B960" s="13" t="s">
        <v>1180</v>
      </c>
      <c r="C960" s="13" t="s">
        <v>221</v>
      </c>
      <c r="D960" s="19" t="n">
        <v>520</v>
      </c>
      <c r="E960" s="23" t="n">
        <v>0.2308</v>
      </c>
      <c r="F960" s="19" t="n">
        <v>48</v>
      </c>
      <c r="G960" s="19" t="n">
        <v>9</v>
      </c>
      <c r="H960" s="14" t="n">
        <v>26140</v>
      </c>
      <c r="I960" s="14" t="n">
        <v>22870.54</v>
      </c>
      <c r="J960" s="24" t="n">
        <v>1.287</v>
      </c>
      <c r="K960" s="19" t="n">
        <v>0</v>
      </c>
      <c r="L960" s="13" t="str">
        <f aca="false">IF(D960&gt;=Inputs!$C$14,"Near-prime","Non-prime")</f>
        <v>Non-prime</v>
      </c>
      <c r="M960" s="19" t="n">
        <f aca="false">IF(K960&lt;=Inputs!$C$19,1,0)</f>
        <v>1</v>
      </c>
      <c r="N960" s="19" t="n">
        <f aca="false">IF(F960&lt;=Inputs!$C$20,1,0)</f>
        <v>1</v>
      </c>
      <c r="O960" s="19" t="n">
        <f aca="false">IF(J960&lt;=Inputs!$C$21,1,0)</f>
        <v>1</v>
      </c>
      <c r="P960" s="19" t="n">
        <f aca="false">IF(D960&gt;=Inputs!$C$22,1,0)</f>
        <v>0</v>
      </c>
      <c r="Q960" s="19" t="n">
        <f aca="false">IF(I960&lt;=Inputs!$C$23,1,0)</f>
        <v>1</v>
      </c>
      <c r="R960" s="19" t="n">
        <f aca="false">M960*N960*O960*P960*Q960</f>
        <v>0</v>
      </c>
      <c r="S960" s="14" t="n">
        <f aca="false">I960*R960</f>
        <v>0</v>
      </c>
      <c r="T960" s="19" t="n">
        <f aca="false">IF(F960&gt;72,1,0)</f>
        <v>0</v>
      </c>
      <c r="U960" s="19" t="n">
        <f aca="false">IF(J960&gt;1.25,1,0)</f>
        <v>1</v>
      </c>
    </row>
    <row r="961" customFormat="false" ht="15" hidden="false" customHeight="false" outlineLevel="0" collapsed="false">
      <c r="B961" s="13" t="s">
        <v>1181</v>
      </c>
      <c r="C961" s="13" t="s">
        <v>217</v>
      </c>
      <c r="D961" s="19" t="n">
        <v>668</v>
      </c>
      <c r="E961" s="23" t="n">
        <v>0.2093</v>
      </c>
      <c r="F961" s="19" t="n">
        <v>72</v>
      </c>
      <c r="G961" s="19" t="n">
        <v>0</v>
      </c>
      <c r="H961" s="14" t="n">
        <v>21200</v>
      </c>
      <c r="I961" s="14" t="n">
        <v>21200</v>
      </c>
      <c r="J961" s="24" t="n">
        <v>1.37</v>
      </c>
      <c r="K961" s="19" t="n">
        <v>0</v>
      </c>
      <c r="L961" s="13" t="str">
        <f aca="false">IF(D961&gt;=Inputs!$C$14,"Near-prime","Non-prime")</f>
        <v>Near-prime</v>
      </c>
      <c r="M961" s="19" t="n">
        <f aca="false">IF(K961&lt;=Inputs!$C$19,1,0)</f>
        <v>1</v>
      </c>
      <c r="N961" s="19" t="n">
        <f aca="false">IF(F961&lt;=Inputs!$C$20,1,0)</f>
        <v>1</v>
      </c>
      <c r="O961" s="19" t="n">
        <f aca="false">IF(J961&lt;=Inputs!$C$21,1,0)</f>
        <v>1</v>
      </c>
      <c r="P961" s="19" t="n">
        <f aca="false">IF(D961&gt;=Inputs!$C$22,1,0)</f>
        <v>1</v>
      </c>
      <c r="Q961" s="19" t="n">
        <f aca="false">IF(I961&lt;=Inputs!$C$23,1,0)</f>
        <v>1</v>
      </c>
      <c r="R961" s="19" t="n">
        <f aca="false">M961*N961*O961*P961*Q961</f>
        <v>1</v>
      </c>
      <c r="S961" s="14" t="n">
        <f aca="false">I961*R961</f>
        <v>21200</v>
      </c>
      <c r="T961" s="19" t="n">
        <f aca="false">IF(F961&gt;72,1,0)</f>
        <v>0</v>
      </c>
      <c r="U961" s="19" t="n">
        <f aca="false">IF(J961&gt;1.25,1,0)</f>
        <v>1</v>
      </c>
    </row>
    <row r="962" customFormat="false" ht="15" hidden="false" customHeight="false" outlineLevel="0" collapsed="false">
      <c r="B962" s="13" t="s">
        <v>1182</v>
      </c>
      <c r="C962" s="13" t="s">
        <v>237</v>
      </c>
      <c r="D962" s="19" t="n">
        <v>590</v>
      </c>
      <c r="E962" s="23" t="n">
        <v>0.1935</v>
      </c>
      <c r="F962" s="19" t="n">
        <v>66</v>
      </c>
      <c r="G962" s="19" t="n">
        <v>4</v>
      </c>
      <c r="H962" s="14" t="n">
        <v>32450</v>
      </c>
      <c r="I962" s="14" t="n">
        <v>31305.92</v>
      </c>
      <c r="J962" s="24" t="n">
        <v>0.841</v>
      </c>
      <c r="K962" s="19" t="n">
        <v>0</v>
      </c>
      <c r="L962" s="13" t="str">
        <f aca="false">IF(D962&gt;=Inputs!$C$14,"Near-prime","Non-prime")</f>
        <v>Non-prime</v>
      </c>
      <c r="M962" s="19" t="n">
        <f aca="false">IF(K962&lt;=Inputs!$C$19,1,0)</f>
        <v>1</v>
      </c>
      <c r="N962" s="19" t="n">
        <f aca="false">IF(F962&lt;=Inputs!$C$20,1,0)</f>
        <v>1</v>
      </c>
      <c r="O962" s="19" t="n">
        <f aca="false">IF(J962&lt;=Inputs!$C$21,1,0)</f>
        <v>1</v>
      </c>
      <c r="P962" s="19" t="n">
        <f aca="false">IF(D962&gt;=Inputs!$C$22,1,0)</f>
        <v>1</v>
      </c>
      <c r="Q962" s="19" t="n">
        <f aca="false">IF(I962&lt;=Inputs!$C$23,1,0)</f>
        <v>1</v>
      </c>
      <c r="R962" s="19" t="n">
        <f aca="false">M962*N962*O962*P962*Q962</f>
        <v>1</v>
      </c>
      <c r="S962" s="14" t="n">
        <f aca="false">I962*R962</f>
        <v>31305.92</v>
      </c>
      <c r="T962" s="19" t="n">
        <f aca="false">IF(F962&gt;72,1,0)</f>
        <v>0</v>
      </c>
      <c r="U962" s="19" t="n">
        <f aca="false">IF(J962&gt;1.25,1,0)</f>
        <v>0</v>
      </c>
    </row>
    <row r="963" customFormat="false" ht="15" hidden="false" customHeight="false" outlineLevel="0" collapsed="false">
      <c r="B963" s="13" t="s">
        <v>1183</v>
      </c>
      <c r="C963" s="13" t="s">
        <v>233</v>
      </c>
      <c r="D963" s="19" t="n">
        <v>559</v>
      </c>
      <c r="E963" s="23" t="n">
        <v>0.231</v>
      </c>
      <c r="F963" s="19" t="n">
        <v>60</v>
      </c>
      <c r="G963" s="19" t="n">
        <v>6</v>
      </c>
      <c r="H963" s="14" t="n">
        <v>19460</v>
      </c>
      <c r="I963" s="14" t="n">
        <v>18357.52</v>
      </c>
      <c r="J963" s="24" t="n">
        <v>1.136</v>
      </c>
      <c r="K963" s="19" t="n">
        <v>0</v>
      </c>
      <c r="L963" s="13" t="str">
        <f aca="false">IF(D963&gt;=Inputs!$C$14,"Near-prime","Non-prime")</f>
        <v>Non-prime</v>
      </c>
      <c r="M963" s="19" t="n">
        <f aca="false">IF(K963&lt;=Inputs!$C$19,1,0)</f>
        <v>1</v>
      </c>
      <c r="N963" s="19" t="n">
        <f aca="false">IF(F963&lt;=Inputs!$C$20,1,0)</f>
        <v>1</v>
      </c>
      <c r="O963" s="19" t="n">
        <f aca="false">IF(J963&lt;=Inputs!$C$21,1,0)</f>
        <v>1</v>
      </c>
      <c r="P963" s="19" t="n">
        <f aca="false">IF(D963&gt;=Inputs!$C$22,1,0)</f>
        <v>1</v>
      </c>
      <c r="Q963" s="19" t="n">
        <f aca="false">IF(I963&lt;=Inputs!$C$23,1,0)</f>
        <v>1</v>
      </c>
      <c r="R963" s="19" t="n">
        <f aca="false">M963*N963*O963*P963*Q963</f>
        <v>1</v>
      </c>
      <c r="S963" s="14" t="n">
        <f aca="false">I963*R963</f>
        <v>18357.52</v>
      </c>
      <c r="T963" s="19" t="n">
        <f aca="false">IF(F963&gt;72,1,0)</f>
        <v>0</v>
      </c>
      <c r="U963" s="19" t="n">
        <f aca="false">IF(J963&gt;1.25,1,0)</f>
        <v>0</v>
      </c>
    </row>
    <row r="964" customFormat="false" ht="15" hidden="false" customHeight="false" outlineLevel="0" collapsed="false">
      <c r="B964" s="13" t="s">
        <v>1184</v>
      </c>
      <c r="C964" s="13" t="s">
        <v>217</v>
      </c>
      <c r="D964" s="19" t="n">
        <v>624</v>
      </c>
      <c r="E964" s="23" t="n">
        <v>0.2184</v>
      </c>
      <c r="F964" s="19" t="n">
        <v>60</v>
      </c>
      <c r="G964" s="19" t="n">
        <v>2</v>
      </c>
      <c r="H964" s="14" t="n">
        <v>16520</v>
      </c>
      <c r="I964" s="14" t="n">
        <v>16209</v>
      </c>
      <c r="J964" s="24" t="n">
        <v>1.012</v>
      </c>
      <c r="K964" s="19" t="n">
        <v>0</v>
      </c>
      <c r="L964" s="13" t="str">
        <f aca="false">IF(D964&gt;=Inputs!$C$14,"Near-prime","Non-prime")</f>
        <v>Near-prime</v>
      </c>
      <c r="M964" s="19" t="n">
        <f aca="false">IF(K964&lt;=Inputs!$C$19,1,0)</f>
        <v>1</v>
      </c>
      <c r="N964" s="19" t="n">
        <f aca="false">IF(F964&lt;=Inputs!$C$20,1,0)</f>
        <v>1</v>
      </c>
      <c r="O964" s="19" t="n">
        <f aca="false">IF(J964&lt;=Inputs!$C$21,1,0)</f>
        <v>1</v>
      </c>
      <c r="P964" s="19" t="n">
        <f aca="false">IF(D964&gt;=Inputs!$C$22,1,0)</f>
        <v>1</v>
      </c>
      <c r="Q964" s="19" t="n">
        <f aca="false">IF(I964&lt;=Inputs!$C$23,1,0)</f>
        <v>1</v>
      </c>
      <c r="R964" s="19" t="n">
        <f aca="false">M964*N964*O964*P964*Q964</f>
        <v>1</v>
      </c>
      <c r="S964" s="14" t="n">
        <f aca="false">I964*R964</f>
        <v>16209</v>
      </c>
      <c r="T964" s="19" t="n">
        <f aca="false">IF(F964&gt;72,1,0)</f>
        <v>0</v>
      </c>
      <c r="U964" s="19" t="n">
        <f aca="false">IF(J964&gt;1.25,1,0)</f>
        <v>0</v>
      </c>
    </row>
    <row r="965" customFormat="false" ht="15" hidden="false" customHeight="false" outlineLevel="0" collapsed="false">
      <c r="B965" s="13" t="s">
        <v>1185</v>
      </c>
      <c r="C965" s="13" t="s">
        <v>217</v>
      </c>
      <c r="D965" s="19" t="n">
        <v>582</v>
      </c>
      <c r="E965" s="23" t="n">
        <v>0.2205</v>
      </c>
      <c r="F965" s="19" t="n">
        <v>60</v>
      </c>
      <c r="G965" s="19" t="n">
        <v>8</v>
      </c>
      <c r="H965" s="14" t="n">
        <v>12430</v>
      </c>
      <c r="I965" s="14" t="n">
        <v>11446.43</v>
      </c>
      <c r="J965" s="24" t="n">
        <v>0.938</v>
      </c>
      <c r="K965" s="19" t="n">
        <v>0</v>
      </c>
      <c r="L965" s="13" t="str">
        <f aca="false">IF(D965&gt;=Inputs!$C$14,"Near-prime","Non-prime")</f>
        <v>Non-prime</v>
      </c>
      <c r="M965" s="19" t="n">
        <f aca="false">IF(K965&lt;=Inputs!$C$19,1,0)</f>
        <v>1</v>
      </c>
      <c r="N965" s="19" t="n">
        <f aca="false">IF(F965&lt;=Inputs!$C$20,1,0)</f>
        <v>1</v>
      </c>
      <c r="O965" s="19" t="n">
        <f aca="false">IF(J965&lt;=Inputs!$C$21,1,0)</f>
        <v>1</v>
      </c>
      <c r="P965" s="19" t="n">
        <f aca="false">IF(D965&gt;=Inputs!$C$22,1,0)</f>
        <v>1</v>
      </c>
      <c r="Q965" s="19" t="n">
        <f aca="false">IF(I965&lt;=Inputs!$C$23,1,0)</f>
        <v>1</v>
      </c>
      <c r="R965" s="19" t="n">
        <f aca="false">M965*N965*O965*P965*Q965</f>
        <v>1</v>
      </c>
      <c r="S965" s="14" t="n">
        <f aca="false">I965*R965</f>
        <v>11446.43</v>
      </c>
      <c r="T965" s="19" t="n">
        <f aca="false">IF(F965&gt;72,1,0)</f>
        <v>0</v>
      </c>
      <c r="U965" s="19" t="n">
        <f aca="false">IF(J965&gt;1.25,1,0)</f>
        <v>0</v>
      </c>
    </row>
    <row r="966" customFormat="false" ht="15" hidden="false" customHeight="false" outlineLevel="0" collapsed="false">
      <c r="B966" s="13" t="s">
        <v>1186</v>
      </c>
      <c r="C966" s="13" t="s">
        <v>237</v>
      </c>
      <c r="D966" s="19" t="n">
        <v>706</v>
      </c>
      <c r="E966" s="23" t="n">
        <v>0.1939</v>
      </c>
      <c r="F966" s="19" t="n">
        <v>66</v>
      </c>
      <c r="G966" s="19" t="n">
        <v>1</v>
      </c>
      <c r="H966" s="14" t="n">
        <v>17770</v>
      </c>
      <c r="I966" s="14" t="n">
        <v>17617.3</v>
      </c>
      <c r="J966" s="24" t="n">
        <v>1.11</v>
      </c>
      <c r="K966" s="19" t="n">
        <v>0</v>
      </c>
      <c r="L966" s="13" t="str">
        <f aca="false">IF(D966&gt;=Inputs!$C$14,"Near-prime","Non-prime")</f>
        <v>Near-prime</v>
      </c>
      <c r="M966" s="19" t="n">
        <f aca="false">IF(K966&lt;=Inputs!$C$19,1,0)</f>
        <v>1</v>
      </c>
      <c r="N966" s="19" t="n">
        <f aca="false">IF(F966&lt;=Inputs!$C$20,1,0)</f>
        <v>1</v>
      </c>
      <c r="O966" s="19" t="n">
        <f aca="false">IF(J966&lt;=Inputs!$C$21,1,0)</f>
        <v>1</v>
      </c>
      <c r="P966" s="19" t="n">
        <f aca="false">IF(D966&gt;=Inputs!$C$22,1,0)</f>
        <v>1</v>
      </c>
      <c r="Q966" s="19" t="n">
        <f aca="false">IF(I966&lt;=Inputs!$C$23,1,0)</f>
        <v>1</v>
      </c>
      <c r="R966" s="19" t="n">
        <f aca="false">M966*N966*O966*P966*Q966</f>
        <v>1</v>
      </c>
      <c r="S966" s="14" t="n">
        <f aca="false">I966*R966</f>
        <v>17617.3</v>
      </c>
      <c r="T966" s="19" t="n">
        <f aca="false">IF(F966&gt;72,1,0)</f>
        <v>0</v>
      </c>
      <c r="U966" s="19" t="n">
        <f aca="false">IF(J966&gt;1.25,1,0)</f>
        <v>0</v>
      </c>
    </row>
    <row r="967" customFormat="false" ht="15" hidden="false" customHeight="false" outlineLevel="0" collapsed="false">
      <c r="B967" s="13" t="s">
        <v>1187</v>
      </c>
      <c r="C967" s="13" t="s">
        <v>221</v>
      </c>
      <c r="D967" s="19" t="n">
        <v>662</v>
      </c>
      <c r="E967" s="23" t="n">
        <v>0.1923</v>
      </c>
      <c r="F967" s="19" t="n">
        <v>48</v>
      </c>
      <c r="G967" s="19" t="n">
        <v>9</v>
      </c>
      <c r="H967" s="14" t="n">
        <v>22250</v>
      </c>
      <c r="I967" s="14" t="n">
        <v>19260.63</v>
      </c>
      <c r="J967" s="24" t="n">
        <v>1.31</v>
      </c>
      <c r="K967" s="19" t="n">
        <v>0</v>
      </c>
      <c r="L967" s="13" t="str">
        <f aca="false">IF(D967&gt;=Inputs!$C$14,"Near-prime","Non-prime")</f>
        <v>Near-prime</v>
      </c>
      <c r="M967" s="19" t="n">
        <f aca="false">IF(K967&lt;=Inputs!$C$19,1,0)</f>
        <v>1</v>
      </c>
      <c r="N967" s="19" t="n">
        <f aca="false">IF(F967&lt;=Inputs!$C$20,1,0)</f>
        <v>1</v>
      </c>
      <c r="O967" s="19" t="n">
        <f aca="false">IF(J967&lt;=Inputs!$C$21,1,0)</f>
        <v>1</v>
      </c>
      <c r="P967" s="19" t="n">
        <f aca="false">IF(D967&gt;=Inputs!$C$22,1,0)</f>
        <v>1</v>
      </c>
      <c r="Q967" s="19" t="n">
        <f aca="false">IF(I967&lt;=Inputs!$C$23,1,0)</f>
        <v>1</v>
      </c>
      <c r="R967" s="19" t="n">
        <f aca="false">M967*N967*O967*P967*Q967</f>
        <v>1</v>
      </c>
      <c r="S967" s="14" t="n">
        <f aca="false">I967*R967</f>
        <v>19260.63</v>
      </c>
      <c r="T967" s="19" t="n">
        <f aca="false">IF(F967&gt;72,1,0)</f>
        <v>0</v>
      </c>
      <c r="U967" s="19" t="n">
        <f aca="false">IF(J967&gt;1.25,1,0)</f>
        <v>1</v>
      </c>
    </row>
    <row r="968" customFormat="false" ht="15" hidden="false" customHeight="false" outlineLevel="0" collapsed="false">
      <c r="B968" s="13" t="s">
        <v>1188</v>
      </c>
      <c r="C968" s="13" t="s">
        <v>217</v>
      </c>
      <c r="D968" s="19" t="n">
        <v>683</v>
      </c>
      <c r="E968" s="23" t="n">
        <v>0.1844</v>
      </c>
      <c r="F968" s="19" t="n">
        <v>75</v>
      </c>
      <c r="G968" s="19" t="n">
        <v>7</v>
      </c>
      <c r="H968" s="14" t="n">
        <v>14040</v>
      </c>
      <c r="I968" s="14" t="n">
        <v>13300.37</v>
      </c>
      <c r="J968" s="24" t="n">
        <v>0.864</v>
      </c>
      <c r="K968" s="19" t="n">
        <v>0</v>
      </c>
      <c r="L968" s="13" t="str">
        <f aca="false">IF(D968&gt;=Inputs!$C$14,"Near-prime","Non-prime")</f>
        <v>Near-prime</v>
      </c>
      <c r="M968" s="19" t="n">
        <f aca="false">IF(K968&lt;=Inputs!$C$19,1,0)</f>
        <v>1</v>
      </c>
      <c r="N968" s="19" t="n">
        <f aca="false">IF(F968&lt;=Inputs!$C$20,1,0)</f>
        <v>1</v>
      </c>
      <c r="O968" s="19" t="n">
        <f aca="false">IF(J968&lt;=Inputs!$C$21,1,0)</f>
        <v>1</v>
      </c>
      <c r="P968" s="19" t="n">
        <f aca="false">IF(D968&gt;=Inputs!$C$22,1,0)</f>
        <v>1</v>
      </c>
      <c r="Q968" s="19" t="n">
        <f aca="false">IF(I968&lt;=Inputs!$C$23,1,0)</f>
        <v>1</v>
      </c>
      <c r="R968" s="19" t="n">
        <f aca="false">M968*N968*O968*P968*Q968</f>
        <v>1</v>
      </c>
      <c r="S968" s="14" t="n">
        <f aca="false">I968*R968</f>
        <v>13300.37</v>
      </c>
      <c r="T968" s="19" t="n">
        <f aca="false">IF(F968&gt;72,1,0)</f>
        <v>1</v>
      </c>
      <c r="U968" s="19" t="n">
        <f aca="false">IF(J968&gt;1.25,1,0)</f>
        <v>0</v>
      </c>
    </row>
    <row r="969" customFormat="false" ht="15" hidden="false" customHeight="false" outlineLevel="0" collapsed="false">
      <c r="B969" s="13" t="s">
        <v>1189</v>
      </c>
      <c r="C969" s="13" t="s">
        <v>217</v>
      </c>
      <c r="D969" s="19" t="n">
        <v>618</v>
      </c>
      <c r="E969" s="23" t="n">
        <v>0.1993</v>
      </c>
      <c r="F969" s="19" t="n">
        <v>75</v>
      </c>
      <c r="G969" s="19" t="n">
        <v>7</v>
      </c>
      <c r="H969" s="14" t="n">
        <v>13090</v>
      </c>
      <c r="I969" s="14" t="n">
        <v>12434.28</v>
      </c>
      <c r="J969" s="24" t="n">
        <v>1.067</v>
      </c>
      <c r="K969" s="19" t="n">
        <v>0</v>
      </c>
      <c r="L969" s="13" t="str">
        <f aca="false">IF(D969&gt;=Inputs!$C$14,"Near-prime","Non-prime")</f>
        <v>Non-prime</v>
      </c>
      <c r="M969" s="19" t="n">
        <f aca="false">IF(K969&lt;=Inputs!$C$19,1,0)</f>
        <v>1</v>
      </c>
      <c r="N969" s="19" t="n">
        <f aca="false">IF(F969&lt;=Inputs!$C$20,1,0)</f>
        <v>1</v>
      </c>
      <c r="O969" s="19" t="n">
        <f aca="false">IF(J969&lt;=Inputs!$C$21,1,0)</f>
        <v>1</v>
      </c>
      <c r="P969" s="19" t="n">
        <f aca="false">IF(D969&gt;=Inputs!$C$22,1,0)</f>
        <v>1</v>
      </c>
      <c r="Q969" s="19" t="n">
        <f aca="false">IF(I969&lt;=Inputs!$C$23,1,0)</f>
        <v>1</v>
      </c>
      <c r="R969" s="19" t="n">
        <f aca="false">M969*N969*O969*P969*Q969</f>
        <v>1</v>
      </c>
      <c r="S969" s="14" t="n">
        <f aca="false">I969*R969</f>
        <v>12434.28</v>
      </c>
      <c r="T969" s="19" t="n">
        <f aca="false">IF(F969&gt;72,1,0)</f>
        <v>1</v>
      </c>
      <c r="U969" s="19" t="n">
        <f aca="false">IF(J969&gt;1.25,1,0)</f>
        <v>0</v>
      </c>
    </row>
    <row r="970" customFormat="false" ht="15" hidden="false" customHeight="false" outlineLevel="0" collapsed="false">
      <c r="B970" s="13" t="s">
        <v>1190</v>
      </c>
      <c r="C970" s="13" t="s">
        <v>233</v>
      </c>
      <c r="D970" s="19" t="n">
        <v>645</v>
      </c>
      <c r="E970" s="23" t="n">
        <v>0.2045</v>
      </c>
      <c r="F970" s="19" t="n">
        <v>60</v>
      </c>
      <c r="G970" s="19" t="n">
        <v>7</v>
      </c>
      <c r="H970" s="14" t="n">
        <v>19190</v>
      </c>
      <c r="I970" s="14" t="n">
        <v>17818</v>
      </c>
      <c r="J970" s="24" t="n">
        <v>1.181</v>
      </c>
      <c r="K970" s="19" t="n">
        <v>0</v>
      </c>
      <c r="L970" s="13" t="str">
        <f aca="false">IF(D970&gt;=Inputs!$C$14,"Near-prime","Non-prime")</f>
        <v>Near-prime</v>
      </c>
      <c r="M970" s="19" t="n">
        <f aca="false">IF(K970&lt;=Inputs!$C$19,1,0)</f>
        <v>1</v>
      </c>
      <c r="N970" s="19" t="n">
        <f aca="false">IF(F970&lt;=Inputs!$C$20,1,0)</f>
        <v>1</v>
      </c>
      <c r="O970" s="19" t="n">
        <f aca="false">IF(J970&lt;=Inputs!$C$21,1,0)</f>
        <v>1</v>
      </c>
      <c r="P970" s="19" t="n">
        <f aca="false">IF(D970&gt;=Inputs!$C$22,1,0)</f>
        <v>1</v>
      </c>
      <c r="Q970" s="19" t="n">
        <f aca="false">IF(I970&lt;=Inputs!$C$23,1,0)</f>
        <v>1</v>
      </c>
      <c r="R970" s="19" t="n">
        <f aca="false">M970*N970*O970*P970*Q970</f>
        <v>1</v>
      </c>
      <c r="S970" s="14" t="n">
        <f aca="false">I970*R970</f>
        <v>17818</v>
      </c>
      <c r="T970" s="19" t="n">
        <f aca="false">IF(F970&gt;72,1,0)</f>
        <v>0</v>
      </c>
      <c r="U970" s="19" t="n">
        <f aca="false">IF(J970&gt;1.25,1,0)</f>
        <v>0</v>
      </c>
    </row>
    <row r="971" customFormat="false" ht="15" hidden="false" customHeight="false" outlineLevel="0" collapsed="false">
      <c r="B971" s="13" t="s">
        <v>1191</v>
      </c>
      <c r="C971" s="13" t="s">
        <v>237</v>
      </c>
      <c r="D971" s="19" t="n">
        <v>621</v>
      </c>
      <c r="E971" s="23" t="n">
        <v>0.1924</v>
      </c>
      <c r="F971" s="19" t="n">
        <v>72</v>
      </c>
      <c r="G971" s="19" t="n">
        <v>4</v>
      </c>
      <c r="H971" s="14" t="n">
        <v>33480</v>
      </c>
      <c r="I971" s="14" t="n">
        <v>32453.79</v>
      </c>
      <c r="J971" s="24" t="n">
        <v>0.9</v>
      </c>
      <c r="K971" s="19" t="n">
        <v>0</v>
      </c>
      <c r="L971" s="13" t="str">
        <f aca="false">IF(D971&gt;=Inputs!$C$14,"Near-prime","Non-prime")</f>
        <v>Near-prime</v>
      </c>
      <c r="M971" s="19" t="n">
        <f aca="false">IF(K971&lt;=Inputs!$C$19,1,0)</f>
        <v>1</v>
      </c>
      <c r="N971" s="19" t="n">
        <f aca="false">IF(F971&lt;=Inputs!$C$20,1,0)</f>
        <v>1</v>
      </c>
      <c r="O971" s="19" t="n">
        <f aca="false">IF(J971&lt;=Inputs!$C$21,1,0)</f>
        <v>1</v>
      </c>
      <c r="P971" s="19" t="n">
        <f aca="false">IF(D971&gt;=Inputs!$C$22,1,0)</f>
        <v>1</v>
      </c>
      <c r="Q971" s="19" t="n">
        <f aca="false">IF(I971&lt;=Inputs!$C$23,1,0)</f>
        <v>1</v>
      </c>
      <c r="R971" s="19" t="n">
        <f aca="false">M971*N971*O971*P971*Q971</f>
        <v>1</v>
      </c>
      <c r="S971" s="14" t="n">
        <f aca="false">I971*R971</f>
        <v>32453.79</v>
      </c>
      <c r="T971" s="19" t="n">
        <f aca="false">IF(F971&gt;72,1,0)</f>
        <v>0</v>
      </c>
      <c r="U971" s="19" t="n">
        <f aca="false">IF(J971&gt;1.25,1,0)</f>
        <v>0</v>
      </c>
    </row>
    <row r="972" customFormat="false" ht="15" hidden="false" customHeight="false" outlineLevel="0" collapsed="false">
      <c r="B972" s="13" t="s">
        <v>1192</v>
      </c>
      <c r="C972" s="13" t="s">
        <v>221</v>
      </c>
      <c r="D972" s="19" t="n">
        <v>663</v>
      </c>
      <c r="E972" s="23" t="n">
        <v>0.1942</v>
      </c>
      <c r="F972" s="19" t="n">
        <v>60</v>
      </c>
      <c r="G972" s="19" t="n">
        <v>3</v>
      </c>
      <c r="H972" s="14" t="n">
        <v>21170</v>
      </c>
      <c r="I972" s="14" t="n">
        <v>20525.29</v>
      </c>
      <c r="J972" s="24" t="n">
        <v>1.134</v>
      </c>
      <c r="K972" s="19" t="n">
        <v>0</v>
      </c>
      <c r="L972" s="13" t="str">
        <f aca="false">IF(D972&gt;=Inputs!$C$14,"Near-prime","Non-prime")</f>
        <v>Near-prime</v>
      </c>
      <c r="M972" s="19" t="n">
        <f aca="false">IF(K972&lt;=Inputs!$C$19,1,0)</f>
        <v>1</v>
      </c>
      <c r="N972" s="19" t="n">
        <f aca="false">IF(F972&lt;=Inputs!$C$20,1,0)</f>
        <v>1</v>
      </c>
      <c r="O972" s="19" t="n">
        <f aca="false">IF(J972&lt;=Inputs!$C$21,1,0)</f>
        <v>1</v>
      </c>
      <c r="P972" s="19" t="n">
        <f aca="false">IF(D972&gt;=Inputs!$C$22,1,0)</f>
        <v>1</v>
      </c>
      <c r="Q972" s="19" t="n">
        <f aca="false">IF(I972&lt;=Inputs!$C$23,1,0)</f>
        <v>1</v>
      </c>
      <c r="R972" s="19" t="n">
        <f aca="false">M972*N972*O972*P972*Q972</f>
        <v>1</v>
      </c>
      <c r="S972" s="14" t="n">
        <f aca="false">I972*R972</f>
        <v>20525.29</v>
      </c>
      <c r="T972" s="19" t="n">
        <f aca="false">IF(F972&gt;72,1,0)</f>
        <v>0</v>
      </c>
      <c r="U972" s="19" t="n">
        <f aca="false">IF(J972&gt;1.25,1,0)</f>
        <v>0</v>
      </c>
    </row>
    <row r="973" customFormat="false" ht="15" hidden="false" customHeight="false" outlineLevel="0" collapsed="false">
      <c r="B973" s="13" t="s">
        <v>1193</v>
      </c>
      <c r="C973" s="13" t="s">
        <v>217</v>
      </c>
      <c r="D973" s="19" t="n">
        <v>533</v>
      </c>
      <c r="E973" s="23" t="n">
        <v>0.2431</v>
      </c>
      <c r="F973" s="19" t="n">
        <v>60</v>
      </c>
      <c r="G973" s="19" t="n">
        <v>7</v>
      </c>
      <c r="H973" s="14" t="n">
        <v>25860</v>
      </c>
      <c r="I973" s="14" t="n">
        <v>24188.07</v>
      </c>
      <c r="J973" s="24" t="n">
        <v>0.9</v>
      </c>
      <c r="K973" s="19" t="n">
        <v>0</v>
      </c>
      <c r="L973" s="13" t="str">
        <f aca="false">IF(D973&gt;=Inputs!$C$14,"Near-prime","Non-prime")</f>
        <v>Non-prime</v>
      </c>
      <c r="M973" s="19" t="n">
        <f aca="false">IF(K973&lt;=Inputs!$C$19,1,0)</f>
        <v>1</v>
      </c>
      <c r="N973" s="19" t="n">
        <f aca="false">IF(F973&lt;=Inputs!$C$20,1,0)</f>
        <v>1</v>
      </c>
      <c r="O973" s="19" t="n">
        <f aca="false">IF(J973&lt;=Inputs!$C$21,1,0)</f>
        <v>1</v>
      </c>
      <c r="P973" s="19" t="n">
        <f aca="false">IF(D973&gt;=Inputs!$C$22,1,0)</f>
        <v>0</v>
      </c>
      <c r="Q973" s="19" t="n">
        <f aca="false">IF(I973&lt;=Inputs!$C$23,1,0)</f>
        <v>1</v>
      </c>
      <c r="R973" s="19" t="n">
        <f aca="false">M973*N973*O973*P973*Q973</f>
        <v>0</v>
      </c>
      <c r="S973" s="14" t="n">
        <f aca="false">I973*R973</f>
        <v>0</v>
      </c>
      <c r="T973" s="19" t="n">
        <f aca="false">IF(F973&gt;72,1,0)</f>
        <v>0</v>
      </c>
      <c r="U973" s="19" t="n">
        <f aca="false">IF(J973&gt;1.25,1,0)</f>
        <v>0</v>
      </c>
    </row>
    <row r="974" customFormat="false" ht="15" hidden="false" customHeight="false" outlineLevel="0" collapsed="false">
      <c r="B974" s="13" t="s">
        <v>1194</v>
      </c>
      <c r="C974" s="13" t="s">
        <v>228</v>
      </c>
      <c r="D974" s="19" t="n">
        <v>647</v>
      </c>
      <c r="E974" s="23" t="n">
        <v>0.2022</v>
      </c>
      <c r="F974" s="19" t="n">
        <v>60</v>
      </c>
      <c r="G974" s="19" t="n">
        <v>5</v>
      </c>
      <c r="H974" s="14" t="n">
        <v>16170</v>
      </c>
      <c r="I974" s="14" t="n">
        <v>15353.32</v>
      </c>
      <c r="J974" s="24" t="n">
        <v>1.079</v>
      </c>
      <c r="K974" s="19" t="n">
        <v>0</v>
      </c>
      <c r="L974" s="13" t="str">
        <f aca="false">IF(D974&gt;=Inputs!$C$14,"Near-prime","Non-prime")</f>
        <v>Near-prime</v>
      </c>
      <c r="M974" s="19" t="n">
        <f aca="false">IF(K974&lt;=Inputs!$C$19,1,0)</f>
        <v>1</v>
      </c>
      <c r="N974" s="19" t="n">
        <f aca="false">IF(F974&lt;=Inputs!$C$20,1,0)</f>
        <v>1</v>
      </c>
      <c r="O974" s="19" t="n">
        <f aca="false">IF(J974&lt;=Inputs!$C$21,1,0)</f>
        <v>1</v>
      </c>
      <c r="P974" s="19" t="n">
        <f aca="false">IF(D974&gt;=Inputs!$C$22,1,0)</f>
        <v>1</v>
      </c>
      <c r="Q974" s="19" t="n">
        <f aca="false">IF(I974&lt;=Inputs!$C$23,1,0)</f>
        <v>1</v>
      </c>
      <c r="R974" s="19" t="n">
        <f aca="false">M974*N974*O974*P974*Q974</f>
        <v>1</v>
      </c>
      <c r="S974" s="14" t="n">
        <f aca="false">I974*R974</f>
        <v>15353.32</v>
      </c>
      <c r="T974" s="19" t="n">
        <f aca="false">IF(F974&gt;72,1,0)</f>
        <v>0</v>
      </c>
      <c r="U974" s="19" t="n">
        <f aca="false">IF(J974&gt;1.25,1,0)</f>
        <v>0</v>
      </c>
    </row>
    <row r="975" customFormat="false" ht="15" hidden="false" customHeight="false" outlineLevel="0" collapsed="false">
      <c r="B975" s="13" t="s">
        <v>1195</v>
      </c>
      <c r="C975" s="13" t="s">
        <v>223</v>
      </c>
      <c r="D975" s="19" t="n">
        <v>702</v>
      </c>
      <c r="E975" s="23" t="n">
        <v>0.1786</v>
      </c>
      <c r="F975" s="19" t="n">
        <v>66</v>
      </c>
      <c r="G975" s="19" t="n">
        <v>7</v>
      </c>
      <c r="H975" s="14" t="n">
        <v>24740</v>
      </c>
      <c r="I975" s="14" t="n">
        <v>23107.69</v>
      </c>
      <c r="J975" s="24" t="n">
        <v>1.037</v>
      </c>
      <c r="K975" s="19" t="n">
        <v>100</v>
      </c>
      <c r="L975" s="13" t="str">
        <f aca="false">IF(D975&gt;=Inputs!$C$14,"Near-prime","Non-prime")</f>
        <v>Near-prime</v>
      </c>
      <c r="M975" s="19" t="n">
        <f aca="false">IF(K975&lt;=Inputs!$C$19,1,0)</f>
        <v>0</v>
      </c>
      <c r="N975" s="19" t="n">
        <f aca="false">IF(F975&lt;=Inputs!$C$20,1,0)</f>
        <v>1</v>
      </c>
      <c r="O975" s="19" t="n">
        <f aca="false">IF(J975&lt;=Inputs!$C$21,1,0)</f>
        <v>1</v>
      </c>
      <c r="P975" s="19" t="n">
        <f aca="false">IF(D975&gt;=Inputs!$C$22,1,0)</f>
        <v>1</v>
      </c>
      <c r="Q975" s="19" t="n">
        <f aca="false">IF(I975&lt;=Inputs!$C$23,1,0)</f>
        <v>1</v>
      </c>
      <c r="R975" s="19" t="n">
        <f aca="false">M975*N975*O975*P975*Q975</f>
        <v>0</v>
      </c>
      <c r="S975" s="14" t="n">
        <f aca="false">I975*R975</f>
        <v>0</v>
      </c>
      <c r="T975" s="19" t="n">
        <f aca="false">IF(F975&gt;72,1,0)</f>
        <v>0</v>
      </c>
      <c r="U975" s="19" t="n">
        <f aca="false">IF(J975&gt;1.25,1,0)</f>
        <v>0</v>
      </c>
    </row>
    <row r="976" customFormat="false" ht="15" hidden="false" customHeight="false" outlineLevel="0" collapsed="false">
      <c r="B976" s="13" t="s">
        <v>1196</v>
      </c>
      <c r="C976" s="13" t="s">
        <v>223</v>
      </c>
      <c r="D976" s="19" t="n">
        <v>737</v>
      </c>
      <c r="E976" s="23" t="n">
        <v>0.2026</v>
      </c>
      <c r="F976" s="19" t="n">
        <v>48</v>
      </c>
      <c r="G976" s="19" t="n">
        <v>10</v>
      </c>
      <c r="H976" s="14" t="n">
        <v>28370</v>
      </c>
      <c r="I976" s="14" t="n">
        <v>24178.69</v>
      </c>
      <c r="J976" s="24" t="n">
        <v>1.272</v>
      </c>
      <c r="K976" s="19" t="n">
        <v>0</v>
      </c>
      <c r="L976" s="13" t="str">
        <f aca="false">IF(D976&gt;=Inputs!$C$14,"Near-prime","Non-prime")</f>
        <v>Near-prime</v>
      </c>
      <c r="M976" s="19" t="n">
        <f aca="false">IF(K976&lt;=Inputs!$C$19,1,0)</f>
        <v>1</v>
      </c>
      <c r="N976" s="19" t="n">
        <f aca="false">IF(F976&lt;=Inputs!$C$20,1,0)</f>
        <v>1</v>
      </c>
      <c r="O976" s="19" t="n">
        <f aca="false">IF(J976&lt;=Inputs!$C$21,1,0)</f>
        <v>1</v>
      </c>
      <c r="P976" s="19" t="n">
        <f aca="false">IF(D976&gt;=Inputs!$C$22,1,0)</f>
        <v>1</v>
      </c>
      <c r="Q976" s="19" t="n">
        <f aca="false">IF(I976&lt;=Inputs!$C$23,1,0)</f>
        <v>1</v>
      </c>
      <c r="R976" s="19" t="n">
        <f aca="false">M976*N976*O976*P976*Q976</f>
        <v>1</v>
      </c>
      <c r="S976" s="14" t="n">
        <f aca="false">I976*R976</f>
        <v>24178.69</v>
      </c>
      <c r="T976" s="19" t="n">
        <f aca="false">IF(F976&gt;72,1,0)</f>
        <v>0</v>
      </c>
      <c r="U976" s="19" t="n">
        <f aca="false">IF(J976&gt;1.25,1,0)</f>
        <v>1</v>
      </c>
    </row>
    <row r="977" customFormat="false" ht="15" hidden="false" customHeight="false" outlineLevel="0" collapsed="false">
      <c r="B977" s="13" t="s">
        <v>1197</v>
      </c>
      <c r="C977" s="13" t="s">
        <v>226</v>
      </c>
      <c r="D977" s="19" t="n">
        <v>691</v>
      </c>
      <c r="E977" s="23" t="n">
        <v>0.1893</v>
      </c>
      <c r="F977" s="19" t="n">
        <v>72</v>
      </c>
      <c r="G977" s="19" t="n">
        <v>1</v>
      </c>
      <c r="H977" s="14" t="n">
        <v>14920</v>
      </c>
      <c r="I977" s="14" t="n">
        <v>14807.18</v>
      </c>
      <c r="J977" s="24" t="n">
        <v>1.176</v>
      </c>
      <c r="K977" s="19" t="n">
        <v>0</v>
      </c>
      <c r="L977" s="13" t="str">
        <f aca="false">IF(D977&gt;=Inputs!$C$14,"Near-prime","Non-prime")</f>
        <v>Near-prime</v>
      </c>
      <c r="M977" s="19" t="n">
        <f aca="false">IF(K977&lt;=Inputs!$C$19,1,0)</f>
        <v>1</v>
      </c>
      <c r="N977" s="19" t="n">
        <f aca="false">IF(F977&lt;=Inputs!$C$20,1,0)</f>
        <v>1</v>
      </c>
      <c r="O977" s="19" t="n">
        <f aca="false">IF(J977&lt;=Inputs!$C$21,1,0)</f>
        <v>1</v>
      </c>
      <c r="P977" s="19" t="n">
        <f aca="false">IF(D977&gt;=Inputs!$C$22,1,0)</f>
        <v>1</v>
      </c>
      <c r="Q977" s="19" t="n">
        <f aca="false">IF(I977&lt;=Inputs!$C$23,1,0)</f>
        <v>1</v>
      </c>
      <c r="R977" s="19" t="n">
        <f aca="false">M977*N977*O977*P977*Q977</f>
        <v>1</v>
      </c>
      <c r="S977" s="14" t="n">
        <f aca="false">I977*R977</f>
        <v>14807.18</v>
      </c>
      <c r="T977" s="19" t="n">
        <f aca="false">IF(F977&gt;72,1,0)</f>
        <v>0</v>
      </c>
      <c r="U977" s="19" t="n">
        <f aca="false">IF(J977&gt;1.25,1,0)</f>
        <v>0</v>
      </c>
    </row>
    <row r="978" customFormat="false" ht="15" hidden="false" customHeight="false" outlineLevel="0" collapsed="false">
      <c r="B978" s="13" t="s">
        <v>1198</v>
      </c>
      <c r="C978" s="13" t="s">
        <v>226</v>
      </c>
      <c r="D978" s="19" t="n">
        <v>656</v>
      </c>
      <c r="E978" s="23" t="n">
        <v>0.1927</v>
      </c>
      <c r="F978" s="19" t="n">
        <v>72</v>
      </c>
      <c r="G978" s="19" t="n">
        <v>9</v>
      </c>
      <c r="H978" s="14" t="n">
        <v>19710</v>
      </c>
      <c r="I978" s="14" t="n">
        <v>18295.9</v>
      </c>
      <c r="J978" s="24" t="n">
        <v>0.984</v>
      </c>
      <c r="K978" s="19" t="n">
        <v>0</v>
      </c>
      <c r="L978" s="13" t="str">
        <f aca="false">IF(D978&gt;=Inputs!$C$14,"Near-prime","Non-prime")</f>
        <v>Near-prime</v>
      </c>
      <c r="M978" s="19" t="n">
        <f aca="false">IF(K978&lt;=Inputs!$C$19,1,0)</f>
        <v>1</v>
      </c>
      <c r="N978" s="19" t="n">
        <f aca="false">IF(F978&lt;=Inputs!$C$20,1,0)</f>
        <v>1</v>
      </c>
      <c r="O978" s="19" t="n">
        <f aca="false">IF(J978&lt;=Inputs!$C$21,1,0)</f>
        <v>1</v>
      </c>
      <c r="P978" s="19" t="n">
        <f aca="false">IF(D978&gt;=Inputs!$C$22,1,0)</f>
        <v>1</v>
      </c>
      <c r="Q978" s="19" t="n">
        <f aca="false">IF(I978&lt;=Inputs!$C$23,1,0)</f>
        <v>1</v>
      </c>
      <c r="R978" s="19" t="n">
        <f aca="false">M978*N978*O978*P978*Q978</f>
        <v>1</v>
      </c>
      <c r="S978" s="14" t="n">
        <f aca="false">I978*R978</f>
        <v>18295.9</v>
      </c>
      <c r="T978" s="19" t="n">
        <f aca="false">IF(F978&gt;72,1,0)</f>
        <v>0</v>
      </c>
      <c r="U978" s="19" t="n">
        <f aca="false">IF(J978&gt;1.25,1,0)</f>
        <v>0</v>
      </c>
    </row>
    <row r="979" customFormat="false" ht="15" hidden="false" customHeight="false" outlineLevel="0" collapsed="false">
      <c r="B979" s="13" t="s">
        <v>1199</v>
      </c>
      <c r="C979" s="13" t="s">
        <v>217</v>
      </c>
      <c r="D979" s="19" t="n">
        <v>559</v>
      </c>
      <c r="E979" s="23" t="n">
        <v>0.2144</v>
      </c>
      <c r="F979" s="19" t="n">
        <v>84</v>
      </c>
      <c r="G979" s="19" t="n">
        <v>2</v>
      </c>
      <c r="H979" s="14" t="n">
        <v>20670</v>
      </c>
      <c r="I979" s="14" t="n">
        <v>20452.5</v>
      </c>
      <c r="J979" s="24" t="n">
        <v>1.028</v>
      </c>
      <c r="K979" s="19" t="n">
        <v>0</v>
      </c>
      <c r="L979" s="13" t="str">
        <f aca="false">IF(D979&gt;=Inputs!$C$14,"Near-prime","Non-prime")</f>
        <v>Non-prime</v>
      </c>
      <c r="M979" s="19" t="n">
        <f aca="false">IF(K979&lt;=Inputs!$C$19,1,0)</f>
        <v>1</v>
      </c>
      <c r="N979" s="19" t="n">
        <f aca="false">IF(F979&lt;=Inputs!$C$20,1,0)</f>
        <v>0</v>
      </c>
      <c r="O979" s="19" t="n">
        <f aca="false">IF(J979&lt;=Inputs!$C$21,1,0)</f>
        <v>1</v>
      </c>
      <c r="P979" s="19" t="n">
        <f aca="false">IF(D979&gt;=Inputs!$C$22,1,0)</f>
        <v>1</v>
      </c>
      <c r="Q979" s="19" t="n">
        <f aca="false">IF(I979&lt;=Inputs!$C$23,1,0)</f>
        <v>1</v>
      </c>
      <c r="R979" s="19" t="n">
        <f aca="false">M979*N979*O979*P979*Q979</f>
        <v>0</v>
      </c>
      <c r="S979" s="14" t="n">
        <f aca="false">I979*R979</f>
        <v>0</v>
      </c>
      <c r="T979" s="19" t="n">
        <f aca="false">IF(F979&gt;72,1,0)</f>
        <v>1</v>
      </c>
      <c r="U979" s="19" t="n">
        <f aca="false">IF(J979&gt;1.25,1,0)</f>
        <v>0</v>
      </c>
    </row>
    <row r="980" customFormat="false" ht="15" hidden="false" customHeight="false" outlineLevel="0" collapsed="false">
      <c r="B980" s="13" t="s">
        <v>1200</v>
      </c>
      <c r="C980" s="13" t="s">
        <v>252</v>
      </c>
      <c r="D980" s="19" t="n">
        <v>656</v>
      </c>
      <c r="E980" s="23" t="n">
        <v>0.2179</v>
      </c>
      <c r="F980" s="19" t="n">
        <v>75</v>
      </c>
      <c r="G980" s="19" t="n">
        <v>2</v>
      </c>
      <c r="H980" s="14" t="n">
        <v>26740</v>
      </c>
      <c r="I980" s="14" t="n">
        <v>26396.9</v>
      </c>
      <c r="J980" s="24" t="n">
        <v>0.877</v>
      </c>
      <c r="K980" s="19" t="n">
        <v>0</v>
      </c>
      <c r="L980" s="13" t="str">
        <f aca="false">IF(D980&gt;=Inputs!$C$14,"Near-prime","Non-prime")</f>
        <v>Near-prime</v>
      </c>
      <c r="M980" s="19" t="n">
        <f aca="false">IF(K980&lt;=Inputs!$C$19,1,0)</f>
        <v>1</v>
      </c>
      <c r="N980" s="19" t="n">
        <f aca="false">IF(F980&lt;=Inputs!$C$20,1,0)</f>
        <v>1</v>
      </c>
      <c r="O980" s="19" t="n">
        <f aca="false">IF(J980&lt;=Inputs!$C$21,1,0)</f>
        <v>1</v>
      </c>
      <c r="P980" s="19" t="n">
        <f aca="false">IF(D980&gt;=Inputs!$C$22,1,0)</f>
        <v>1</v>
      </c>
      <c r="Q980" s="19" t="n">
        <f aca="false">IF(I980&lt;=Inputs!$C$23,1,0)</f>
        <v>1</v>
      </c>
      <c r="R980" s="19" t="n">
        <f aca="false">M980*N980*O980*P980*Q980</f>
        <v>1</v>
      </c>
      <c r="S980" s="14" t="n">
        <f aca="false">I980*R980</f>
        <v>26396.9</v>
      </c>
      <c r="T980" s="19" t="n">
        <f aca="false">IF(F980&gt;72,1,0)</f>
        <v>1</v>
      </c>
      <c r="U980" s="19" t="n">
        <f aca="false">IF(J980&gt;1.25,1,0)</f>
        <v>0</v>
      </c>
    </row>
    <row r="981" customFormat="false" ht="15" hidden="false" customHeight="false" outlineLevel="0" collapsed="false">
      <c r="B981" s="13" t="s">
        <v>1201</v>
      </c>
      <c r="C981" s="13" t="s">
        <v>223</v>
      </c>
      <c r="D981" s="19" t="n">
        <v>546</v>
      </c>
      <c r="E981" s="23" t="n">
        <v>0.2294</v>
      </c>
      <c r="F981" s="19" t="n">
        <v>66</v>
      </c>
      <c r="G981" s="19" t="n">
        <v>4</v>
      </c>
      <c r="H981" s="14" t="n">
        <v>19040</v>
      </c>
      <c r="I981" s="14" t="n">
        <v>18438.22</v>
      </c>
      <c r="J981" s="24" t="n">
        <v>1.164</v>
      </c>
      <c r="K981" s="19" t="n">
        <v>0</v>
      </c>
      <c r="L981" s="13" t="str">
        <f aca="false">IF(D981&gt;=Inputs!$C$14,"Near-prime","Non-prime")</f>
        <v>Non-prime</v>
      </c>
      <c r="M981" s="19" t="n">
        <f aca="false">IF(K981&lt;=Inputs!$C$19,1,0)</f>
        <v>1</v>
      </c>
      <c r="N981" s="19" t="n">
        <f aca="false">IF(F981&lt;=Inputs!$C$20,1,0)</f>
        <v>1</v>
      </c>
      <c r="O981" s="19" t="n">
        <f aca="false">IF(J981&lt;=Inputs!$C$21,1,0)</f>
        <v>1</v>
      </c>
      <c r="P981" s="19" t="n">
        <f aca="false">IF(D981&gt;=Inputs!$C$22,1,0)</f>
        <v>1</v>
      </c>
      <c r="Q981" s="19" t="n">
        <f aca="false">IF(I981&lt;=Inputs!$C$23,1,0)</f>
        <v>1</v>
      </c>
      <c r="R981" s="19" t="n">
        <f aca="false">M981*N981*O981*P981*Q981</f>
        <v>1</v>
      </c>
      <c r="S981" s="14" t="n">
        <f aca="false">I981*R981</f>
        <v>18438.22</v>
      </c>
      <c r="T981" s="19" t="n">
        <f aca="false">IF(F981&gt;72,1,0)</f>
        <v>0</v>
      </c>
      <c r="U981" s="19" t="n">
        <f aca="false">IF(J981&gt;1.25,1,0)</f>
        <v>0</v>
      </c>
    </row>
    <row r="982" customFormat="false" ht="15" hidden="false" customHeight="false" outlineLevel="0" collapsed="false">
      <c r="B982" s="13" t="s">
        <v>1202</v>
      </c>
      <c r="C982" s="13" t="s">
        <v>233</v>
      </c>
      <c r="D982" s="19" t="n">
        <v>601</v>
      </c>
      <c r="E982" s="23" t="n">
        <v>0.2158</v>
      </c>
      <c r="F982" s="19" t="n">
        <v>72</v>
      </c>
      <c r="G982" s="19" t="n">
        <v>7</v>
      </c>
      <c r="H982" s="14" t="n">
        <v>12970</v>
      </c>
      <c r="I982" s="14" t="n">
        <v>12309.29</v>
      </c>
      <c r="J982" s="24" t="n">
        <v>0.69</v>
      </c>
      <c r="K982" s="19" t="n">
        <v>15</v>
      </c>
      <c r="L982" s="13" t="str">
        <f aca="false">IF(D982&gt;=Inputs!$C$14,"Near-prime","Non-prime")</f>
        <v>Non-prime</v>
      </c>
      <c r="M982" s="19" t="n">
        <f aca="false">IF(K982&lt;=Inputs!$C$19,1,0)</f>
        <v>1</v>
      </c>
      <c r="N982" s="19" t="n">
        <f aca="false">IF(F982&lt;=Inputs!$C$20,1,0)</f>
        <v>1</v>
      </c>
      <c r="O982" s="19" t="n">
        <f aca="false">IF(J982&lt;=Inputs!$C$21,1,0)</f>
        <v>1</v>
      </c>
      <c r="P982" s="19" t="n">
        <f aca="false">IF(D982&gt;=Inputs!$C$22,1,0)</f>
        <v>1</v>
      </c>
      <c r="Q982" s="19" t="n">
        <f aca="false">IF(I982&lt;=Inputs!$C$23,1,0)</f>
        <v>1</v>
      </c>
      <c r="R982" s="19" t="n">
        <f aca="false">M982*N982*O982*P982*Q982</f>
        <v>1</v>
      </c>
      <c r="S982" s="14" t="n">
        <f aca="false">I982*R982</f>
        <v>12309.29</v>
      </c>
      <c r="T982" s="19" t="n">
        <f aca="false">IF(F982&gt;72,1,0)</f>
        <v>0</v>
      </c>
      <c r="U982" s="19" t="n">
        <f aca="false">IF(J982&gt;1.25,1,0)</f>
        <v>0</v>
      </c>
    </row>
    <row r="983" customFormat="false" ht="15" hidden="false" customHeight="false" outlineLevel="0" collapsed="false">
      <c r="B983" s="13" t="s">
        <v>1203</v>
      </c>
      <c r="C983" s="13" t="s">
        <v>223</v>
      </c>
      <c r="D983" s="19" t="n">
        <v>637</v>
      </c>
      <c r="E983" s="23" t="n">
        <v>0.2162</v>
      </c>
      <c r="F983" s="19" t="n">
        <v>72</v>
      </c>
      <c r="G983" s="19" t="n">
        <v>9</v>
      </c>
      <c r="H983" s="14" t="n">
        <v>19420</v>
      </c>
      <c r="I983" s="14" t="n">
        <v>18126.28</v>
      </c>
      <c r="J983" s="24" t="n">
        <v>1.215</v>
      </c>
      <c r="K983" s="19" t="n">
        <v>45</v>
      </c>
      <c r="L983" s="13" t="str">
        <f aca="false">IF(D983&gt;=Inputs!$C$14,"Near-prime","Non-prime")</f>
        <v>Near-prime</v>
      </c>
      <c r="M983" s="19" t="n">
        <f aca="false">IF(K983&lt;=Inputs!$C$19,1,0)</f>
        <v>1</v>
      </c>
      <c r="N983" s="19" t="n">
        <f aca="false">IF(F983&lt;=Inputs!$C$20,1,0)</f>
        <v>1</v>
      </c>
      <c r="O983" s="19" t="n">
        <f aca="false">IF(J983&lt;=Inputs!$C$21,1,0)</f>
        <v>1</v>
      </c>
      <c r="P983" s="19" t="n">
        <f aca="false">IF(D983&gt;=Inputs!$C$22,1,0)</f>
        <v>1</v>
      </c>
      <c r="Q983" s="19" t="n">
        <f aca="false">IF(I983&lt;=Inputs!$C$23,1,0)</f>
        <v>1</v>
      </c>
      <c r="R983" s="19" t="n">
        <f aca="false">M983*N983*O983*P983*Q983</f>
        <v>1</v>
      </c>
      <c r="S983" s="14" t="n">
        <f aca="false">I983*R983</f>
        <v>18126.28</v>
      </c>
      <c r="T983" s="19" t="n">
        <f aca="false">IF(F983&gt;72,1,0)</f>
        <v>0</v>
      </c>
      <c r="U983" s="19" t="n">
        <f aca="false">IF(J983&gt;1.25,1,0)</f>
        <v>0</v>
      </c>
    </row>
    <row r="984" customFormat="false" ht="15" hidden="false" customHeight="false" outlineLevel="0" collapsed="false">
      <c r="B984" s="13" t="s">
        <v>1204</v>
      </c>
      <c r="C984" s="13" t="s">
        <v>223</v>
      </c>
      <c r="D984" s="19" t="n">
        <v>633</v>
      </c>
      <c r="E984" s="23" t="n">
        <v>0.209</v>
      </c>
      <c r="F984" s="19" t="n">
        <v>60</v>
      </c>
      <c r="G984" s="19" t="n">
        <v>2</v>
      </c>
      <c r="H984" s="14" t="n">
        <v>38660</v>
      </c>
      <c r="I984" s="14" t="n">
        <v>37912.79</v>
      </c>
      <c r="J984" s="24" t="n">
        <v>0.89</v>
      </c>
      <c r="K984" s="19" t="n">
        <v>0</v>
      </c>
      <c r="L984" s="13" t="str">
        <f aca="false">IF(D984&gt;=Inputs!$C$14,"Near-prime","Non-prime")</f>
        <v>Near-prime</v>
      </c>
      <c r="M984" s="19" t="n">
        <f aca="false">IF(K984&lt;=Inputs!$C$19,1,0)</f>
        <v>1</v>
      </c>
      <c r="N984" s="19" t="n">
        <f aca="false">IF(F984&lt;=Inputs!$C$20,1,0)</f>
        <v>1</v>
      </c>
      <c r="O984" s="19" t="n">
        <f aca="false">IF(J984&lt;=Inputs!$C$21,1,0)</f>
        <v>1</v>
      </c>
      <c r="P984" s="19" t="n">
        <f aca="false">IF(D984&gt;=Inputs!$C$22,1,0)</f>
        <v>1</v>
      </c>
      <c r="Q984" s="19" t="n">
        <f aca="false">IF(I984&lt;=Inputs!$C$23,1,0)</f>
        <v>1</v>
      </c>
      <c r="R984" s="19" t="n">
        <f aca="false">M984*N984*O984*P984*Q984</f>
        <v>1</v>
      </c>
      <c r="S984" s="14" t="n">
        <f aca="false">I984*R984</f>
        <v>37912.79</v>
      </c>
      <c r="T984" s="19" t="n">
        <f aca="false">IF(F984&gt;72,1,0)</f>
        <v>0</v>
      </c>
      <c r="U984" s="19" t="n">
        <f aca="false">IF(J984&gt;1.25,1,0)</f>
        <v>0</v>
      </c>
    </row>
    <row r="985" customFormat="false" ht="15" hidden="false" customHeight="false" outlineLevel="0" collapsed="false">
      <c r="B985" s="13" t="s">
        <v>1205</v>
      </c>
      <c r="C985" s="13" t="s">
        <v>219</v>
      </c>
      <c r="D985" s="19" t="n">
        <v>694</v>
      </c>
      <c r="E985" s="23" t="n">
        <v>0.199</v>
      </c>
      <c r="F985" s="19" t="n">
        <v>66</v>
      </c>
      <c r="G985" s="19" t="n">
        <v>3</v>
      </c>
      <c r="H985" s="14" t="n">
        <v>37250</v>
      </c>
      <c r="I985" s="14" t="n">
        <v>36289.22</v>
      </c>
      <c r="J985" s="24" t="n">
        <v>0.924</v>
      </c>
      <c r="K985" s="19" t="n">
        <v>0</v>
      </c>
      <c r="L985" s="13" t="str">
        <f aca="false">IF(D985&gt;=Inputs!$C$14,"Near-prime","Non-prime")</f>
        <v>Near-prime</v>
      </c>
      <c r="M985" s="19" t="n">
        <f aca="false">IF(K985&lt;=Inputs!$C$19,1,0)</f>
        <v>1</v>
      </c>
      <c r="N985" s="19" t="n">
        <f aca="false">IF(F985&lt;=Inputs!$C$20,1,0)</f>
        <v>1</v>
      </c>
      <c r="O985" s="19" t="n">
        <f aca="false">IF(J985&lt;=Inputs!$C$21,1,0)</f>
        <v>1</v>
      </c>
      <c r="P985" s="19" t="n">
        <f aca="false">IF(D985&gt;=Inputs!$C$22,1,0)</f>
        <v>1</v>
      </c>
      <c r="Q985" s="19" t="n">
        <f aca="false">IF(I985&lt;=Inputs!$C$23,1,0)</f>
        <v>1</v>
      </c>
      <c r="R985" s="19" t="n">
        <f aca="false">M985*N985*O985*P985*Q985</f>
        <v>1</v>
      </c>
      <c r="S985" s="14" t="n">
        <f aca="false">I985*R985</f>
        <v>36289.22</v>
      </c>
      <c r="T985" s="19" t="n">
        <f aca="false">IF(F985&gt;72,1,0)</f>
        <v>0</v>
      </c>
      <c r="U985" s="19" t="n">
        <f aca="false">IF(J985&gt;1.25,1,0)</f>
        <v>0</v>
      </c>
    </row>
    <row r="986" customFormat="false" ht="15" hidden="false" customHeight="false" outlineLevel="0" collapsed="false">
      <c r="B986" s="13" t="s">
        <v>1206</v>
      </c>
      <c r="C986" s="13" t="s">
        <v>228</v>
      </c>
      <c r="D986" s="19" t="n">
        <v>633</v>
      </c>
      <c r="E986" s="23" t="n">
        <v>0.1995</v>
      </c>
      <c r="F986" s="19" t="n">
        <v>60</v>
      </c>
      <c r="G986" s="19" t="n">
        <v>0</v>
      </c>
      <c r="H986" s="14" t="n">
        <v>19300</v>
      </c>
      <c r="I986" s="14" t="n">
        <v>19300</v>
      </c>
      <c r="J986" s="24" t="n">
        <v>1.093</v>
      </c>
      <c r="K986" s="19" t="n">
        <v>30</v>
      </c>
      <c r="L986" s="13" t="str">
        <f aca="false">IF(D986&gt;=Inputs!$C$14,"Near-prime","Non-prime")</f>
        <v>Near-prime</v>
      </c>
      <c r="M986" s="19" t="n">
        <f aca="false">IF(K986&lt;=Inputs!$C$19,1,0)</f>
        <v>1</v>
      </c>
      <c r="N986" s="19" t="n">
        <f aca="false">IF(F986&lt;=Inputs!$C$20,1,0)</f>
        <v>1</v>
      </c>
      <c r="O986" s="19" t="n">
        <f aca="false">IF(J986&lt;=Inputs!$C$21,1,0)</f>
        <v>1</v>
      </c>
      <c r="P986" s="19" t="n">
        <f aca="false">IF(D986&gt;=Inputs!$C$22,1,0)</f>
        <v>1</v>
      </c>
      <c r="Q986" s="19" t="n">
        <f aca="false">IF(I986&lt;=Inputs!$C$23,1,0)</f>
        <v>1</v>
      </c>
      <c r="R986" s="19" t="n">
        <f aca="false">M986*N986*O986*P986*Q986</f>
        <v>1</v>
      </c>
      <c r="S986" s="14" t="n">
        <f aca="false">I986*R986</f>
        <v>19300</v>
      </c>
      <c r="T986" s="19" t="n">
        <f aca="false">IF(F986&gt;72,1,0)</f>
        <v>0</v>
      </c>
      <c r="U986" s="19" t="n">
        <f aca="false">IF(J986&gt;1.25,1,0)</f>
        <v>0</v>
      </c>
    </row>
    <row r="987" customFormat="false" ht="15" hidden="false" customHeight="false" outlineLevel="0" collapsed="false">
      <c r="B987" s="13" t="s">
        <v>1207</v>
      </c>
      <c r="C987" s="13" t="s">
        <v>219</v>
      </c>
      <c r="D987" s="19" t="n">
        <v>582</v>
      </c>
      <c r="E987" s="23" t="n">
        <v>0.2255</v>
      </c>
      <c r="F987" s="19" t="n">
        <v>60</v>
      </c>
      <c r="G987" s="19" t="n">
        <v>5</v>
      </c>
      <c r="H987" s="14" t="n">
        <v>17500</v>
      </c>
      <c r="I987" s="14" t="n">
        <v>16669.54</v>
      </c>
      <c r="J987" s="24" t="n">
        <v>1.009</v>
      </c>
      <c r="K987" s="19" t="n">
        <v>0</v>
      </c>
      <c r="L987" s="13" t="str">
        <f aca="false">IF(D987&gt;=Inputs!$C$14,"Near-prime","Non-prime")</f>
        <v>Non-prime</v>
      </c>
      <c r="M987" s="19" t="n">
        <f aca="false">IF(K987&lt;=Inputs!$C$19,1,0)</f>
        <v>1</v>
      </c>
      <c r="N987" s="19" t="n">
        <f aca="false">IF(F987&lt;=Inputs!$C$20,1,0)</f>
        <v>1</v>
      </c>
      <c r="O987" s="19" t="n">
        <f aca="false">IF(J987&lt;=Inputs!$C$21,1,0)</f>
        <v>1</v>
      </c>
      <c r="P987" s="19" t="n">
        <f aca="false">IF(D987&gt;=Inputs!$C$22,1,0)</f>
        <v>1</v>
      </c>
      <c r="Q987" s="19" t="n">
        <f aca="false">IF(I987&lt;=Inputs!$C$23,1,0)</f>
        <v>1</v>
      </c>
      <c r="R987" s="19" t="n">
        <f aca="false">M987*N987*O987*P987*Q987</f>
        <v>1</v>
      </c>
      <c r="S987" s="14" t="n">
        <f aca="false">I987*R987</f>
        <v>16669.54</v>
      </c>
      <c r="T987" s="19" t="n">
        <f aca="false">IF(F987&gt;72,1,0)</f>
        <v>0</v>
      </c>
      <c r="U987" s="19" t="n">
        <f aca="false">IF(J987&gt;1.25,1,0)</f>
        <v>0</v>
      </c>
    </row>
    <row r="988" customFormat="false" ht="15" hidden="false" customHeight="false" outlineLevel="0" collapsed="false">
      <c r="B988" s="13" t="s">
        <v>1208</v>
      </c>
      <c r="C988" s="13" t="s">
        <v>252</v>
      </c>
      <c r="D988" s="19" t="n">
        <v>622</v>
      </c>
      <c r="E988" s="23" t="n">
        <v>0.2003</v>
      </c>
      <c r="F988" s="19" t="n">
        <v>72</v>
      </c>
      <c r="G988" s="19" t="n">
        <v>5</v>
      </c>
      <c r="H988" s="14" t="n">
        <v>16710</v>
      </c>
      <c r="I988" s="14" t="n">
        <v>16081.23</v>
      </c>
      <c r="J988" s="24" t="n">
        <v>0.896</v>
      </c>
      <c r="K988" s="19" t="n">
        <v>0</v>
      </c>
      <c r="L988" s="13" t="str">
        <f aca="false">IF(D988&gt;=Inputs!$C$14,"Near-prime","Non-prime")</f>
        <v>Near-prime</v>
      </c>
      <c r="M988" s="19" t="n">
        <f aca="false">IF(K988&lt;=Inputs!$C$19,1,0)</f>
        <v>1</v>
      </c>
      <c r="N988" s="19" t="n">
        <f aca="false">IF(F988&lt;=Inputs!$C$20,1,0)</f>
        <v>1</v>
      </c>
      <c r="O988" s="19" t="n">
        <f aca="false">IF(J988&lt;=Inputs!$C$21,1,0)</f>
        <v>1</v>
      </c>
      <c r="P988" s="19" t="n">
        <f aca="false">IF(D988&gt;=Inputs!$C$22,1,0)</f>
        <v>1</v>
      </c>
      <c r="Q988" s="19" t="n">
        <f aca="false">IF(I988&lt;=Inputs!$C$23,1,0)</f>
        <v>1</v>
      </c>
      <c r="R988" s="19" t="n">
        <f aca="false">M988*N988*O988*P988*Q988</f>
        <v>1</v>
      </c>
      <c r="S988" s="14" t="n">
        <f aca="false">I988*R988</f>
        <v>16081.23</v>
      </c>
      <c r="T988" s="19" t="n">
        <f aca="false">IF(F988&gt;72,1,0)</f>
        <v>0</v>
      </c>
      <c r="U988" s="19" t="n">
        <f aca="false">IF(J988&gt;1.25,1,0)</f>
        <v>0</v>
      </c>
    </row>
    <row r="989" customFormat="false" ht="15" hidden="false" customHeight="false" outlineLevel="0" collapsed="false">
      <c r="B989" s="13" t="s">
        <v>1209</v>
      </c>
      <c r="C989" s="13" t="s">
        <v>217</v>
      </c>
      <c r="D989" s="19" t="n">
        <v>608</v>
      </c>
      <c r="E989" s="23" t="n">
        <v>0.2164</v>
      </c>
      <c r="F989" s="19" t="n">
        <v>72</v>
      </c>
      <c r="G989" s="19" t="n">
        <v>6</v>
      </c>
      <c r="H989" s="14" t="n">
        <v>20410</v>
      </c>
      <c r="I989" s="14" t="n">
        <v>19528.62</v>
      </c>
      <c r="J989" s="24" t="n">
        <v>1.022</v>
      </c>
      <c r="K989" s="19" t="n">
        <v>0</v>
      </c>
      <c r="L989" s="13" t="str">
        <f aca="false">IF(D989&gt;=Inputs!$C$14,"Near-prime","Non-prime")</f>
        <v>Non-prime</v>
      </c>
      <c r="M989" s="19" t="n">
        <f aca="false">IF(K989&lt;=Inputs!$C$19,1,0)</f>
        <v>1</v>
      </c>
      <c r="N989" s="19" t="n">
        <f aca="false">IF(F989&lt;=Inputs!$C$20,1,0)</f>
        <v>1</v>
      </c>
      <c r="O989" s="19" t="n">
        <f aca="false">IF(J989&lt;=Inputs!$C$21,1,0)</f>
        <v>1</v>
      </c>
      <c r="P989" s="19" t="n">
        <f aca="false">IF(D989&gt;=Inputs!$C$22,1,0)</f>
        <v>1</v>
      </c>
      <c r="Q989" s="19" t="n">
        <f aca="false">IF(I989&lt;=Inputs!$C$23,1,0)</f>
        <v>1</v>
      </c>
      <c r="R989" s="19" t="n">
        <f aca="false">M989*N989*O989*P989*Q989</f>
        <v>1</v>
      </c>
      <c r="S989" s="14" t="n">
        <f aca="false">I989*R989</f>
        <v>19528.62</v>
      </c>
      <c r="T989" s="19" t="n">
        <f aca="false">IF(F989&gt;72,1,0)</f>
        <v>0</v>
      </c>
      <c r="U989" s="19" t="n">
        <f aca="false">IF(J989&gt;1.25,1,0)</f>
        <v>0</v>
      </c>
    </row>
    <row r="990" customFormat="false" ht="15" hidden="false" customHeight="false" outlineLevel="0" collapsed="false">
      <c r="B990" s="13" t="s">
        <v>1210</v>
      </c>
      <c r="C990" s="13" t="s">
        <v>223</v>
      </c>
      <c r="D990" s="19" t="n">
        <v>704</v>
      </c>
      <c r="E990" s="23" t="n">
        <v>0.1742</v>
      </c>
      <c r="F990" s="19" t="n">
        <v>60</v>
      </c>
      <c r="G990" s="19" t="n">
        <v>4</v>
      </c>
      <c r="H990" s="14" t="n">
        <v>24970</v>
      </c>
      <c r="I990" s="14" t="n">
        <v>23891.84</v>
      </c>
      <c r="J990" s="24" t="n">
        <v>1.293</v>
      </c>
      <c r="K990" s="19" t="n">
        <v>0</v>
      </c>
      <c r="L990" s="13" t="str">
        <f aca="false">IF(D990&gt;=Inputs!$C$14,"Near-prime","Non-prime")</f>
        <v>Near-prime</v>
      </c>
      <c r="M990" s="19" t="n">
        <f aca="false">IF(K990&lt;=Inputs!$C$19,1,0)</f>
        <v>1</v>
      </c>
      <c r="N990" s="19" t="n">
        <f aca="false">IF(F990&lt;=Inputs!$C$20,1,0)</f>
        <v>1</v>
      </c>
      <c r="O990" s="19" t="n">
        <f aca="false">IF(J990&lt;=Inputs!$C$21,1,0)</f>
        <v>1</v>
      </c>
      <c r="P990" s="19" t="n">
        <f aca="false">IF(D990&gt;=Inputs!$C$22,1,0)</f>
        <v>1</v>
      </c>
      <c r="Q990" s="19" t="n">
        <f aca="false">IF(I990&lt;=Inputs!$C$23,1,0)</f>
        <v>1</v>
      </c>
      <c r="R990" s="19" t="n">
        <f aca="false">M990*N990*O990*P990*Q990</f>
        <v>1</v>
      </c>
      <c r="S990" s="14" t="n">
        <f aca="false">I990*R990</f>
        <v>23891.84</v>
      </c>
      <c r="T990" s="19" t="n">
        <f aca="false">IF(F990&gt;72,1,0)</f>
        <v>0</v>
      </c>
      <c r="U990" s="19" t="n">
        <f aca="false">IF(J990&gt;1.25,1,0)</f>
        <v>1</v>
      </c>
    </row>
    <row r="991" customFormat="false" ht="15" hidden="false" customHeight="false" outlineLevel="0" collapsed="false">
      <c r="B991" s="13" t="s">
        <v>1211</v>
      </c>
      <c r="C991" s="13" t="s">
        <v>226</v>
      </c>
      <c r="D991" s="19" t="n">
        <v>571</v>
      </c>
      <c r="E991" s="23" t="n">
        <v>0.2263</v>
      </c>
      <c r="F991" s="19" t="n">
        <v>72</v>
      </c>
      <c r="G991" s="19" t="n">
        <v>7</v>
      </c>
      <c r="H991" s="14" t="n">
        <v>30840</v>
      </c>
      <c r="I991" s="14" t="n">
        <v>29322.15</v>
      </c>
      <c r="J991" s="24" t="n">
        <v>0.981</v>
      </c>
      <c r="K991" s="19" t="n">
        <v>0</v>
      </c>
      <c r="L991" s="13" t="str">
        <f aca="false">IF(D991&gt;=Inputs!$C$14,"Near-prime","Non-prime")</f>
        <v>Non-prime</v>
      </c>
      <c r="M991" s="19" t="n">
        <f aca="false">IF(K991&lt;=Inputs!$C$19,1,0)</f>
        <v>1</v>
      </c>
      <c r="N991" s="19" t="n">
        <f aca="false">IF(F991&lt;=Inputs!$C$20,1,0)</f>
        <v>1</v>
      </c>
      <c r="O991" s="19" t="n">
        <f aca="false">IF(J991&lt;=Inputs!$C$21,1,0)</f>
        <v>1</v>
      </c>
      <c r="P991" s="19" t="n">
        <f aca="false">IF(D991&gt;=Inputs!$C$22,1,0)</f>
        <v>1</v>
      </c>
      <c r="Q991" s="19" t="n">
        <f aca="false">IF(I991&lt;=Inputs!$C$23,1,0)</f>
        <v>1</v>
      </c>
      <c r="R991" s="19" t="n">
        <f aca="false">M991*N991*O991*P991*Q991</f>
        <v>1</v>
      </c>
      <c r="S991" s="14" t="n">
        <f aca="false">I991*R991</f>
        <v>29322.15</v>
      </c>
      <c r="T991" s="19" t="n">
        <f aca="false">IF(F991&gt;72,1,0)</f>
        <v>0</v>
      </c>
      <c r="U991" s="19" t="n">
        <f aca="false">IF(J991&gt;1.25,1,0)</f>
        <v>0</v>
      </c>
    </row>
    <row r="992" customFormat="false" ht="15" hidden="false" customHeight="false" outlineLevel="0" collapsed="false">
      <c r="B992" s="13" t="s">
        <v>1212</v>
      </c>
      <c r="C992" s="13" t="s">
        <v>217</v>
      </c>
      <c r="D992" s="19" t="n">
        <v>622</v>
      </c>
      <c r="E992" s="23" t="n">
        <v>0.2259</v>
      </c>
      <c r="F992" s="19" t="n">
        <v>60</v>
      </c>
      <c r="G992" s="19" t="n">
        <v>8</v>
      </c>
      <c r="H992" s="14" t="n">
        <v>42380</v>
      </c>
      <c r="I992" s="14" t="n">
        <v>39072.6</v>
      </c>
      <c r="J992" s="24" t="n">
        <v>0.786</v>
      </c>
      <c r="K992" s="19" t="n">
        <v>0</v>
      </c>
      <c r="L992" s="13" t="str">
        <f aca="false">IF(D992&gt;=Inputs!$C$14,"Near-prime","Non-prime")</f>
        <v>Near-prime</v>
      </c>
      <c r="M992" s="19" t="n">
        <f aca="false">IF(K992&lt;=Inputs!$C$19,1,0)</f>
        <v>1</v>
      </c>
      <c r="N992" s="19" t="n">
        <f aca="false">IF(F992&lt;=Inputs!$C$20,1,0)</f>
        <v>1</v>
      </c>
      <c r="O992" s="19" t="n">
        <f aca="false">IF(J992&lt;=Inputs!$C$21,1,0)</f>
        <v>1</v>
      </c>
      <c r="P992" s="19" t="n">
        <f aca="false">IF(D992&gt;=Inputs!$C$22,1,0)</f>
        <v>1</v>
      </c>
      <c r="Q992" s="19" t="n">
        <f aca="false">IF(I992&lt;=Inputs!$C$23,1,0)</f>
        <v>1</v>
      </c>
      <c r="R992" s="19" t="n">
        <f aca="false">M992*N992*O992*P992*Q992</f>
        <v>1</v>
      </c>
      <c r="S992" s="14" t="n">
        <f aca="false">I992*R992</f>
        <v>39072.6</v>
      </c>
      <c r="T992" s="19" t="n">
        <f aca="false">IF(F992&gt;72,1,0)</f>
        <v>0</v>
      </c>
      <c r="U992" s="19" t="n">
        <f aca="false">IF(J992&gt;1.25,1,0)</f>
        <v>0</v>
      </c>
    </row>
    <row r="993" customFormat="false" ht="15" hidden="false" customHeight="false" outlineLevel="0" collapsed="false">
      <c r="B993" s="13" t="s">
        <v>1213</v>
      </c>
      <c r="C993" s="13" t="s">
        <v>228</v>
      </c>
      <c r="D993" s="19" t="n">
        <v>695</v>
      </c>
      <c r="E993" s="23" t="n">
        <v>0.2014</v>
      </c>
      <c r="F993" s="19" t="n">
        <v>66</v>
      </c>
      <c r="G993" s="19" t="n">
        <v>3</v>
      </c>
      <c r="H993" s="14" t="n">
        <v>21980</v>
      </c>
      <c r="I993" s="14" t="n">
        <v>21417.23</v>
      </c>
      <c r="J993" s="24" t="n">
        <v>1.287</v>
      </c>
      <c r="K993" s="19" t="n">
        <v>0</v>
      </c>
      <c r="L993" s="13" t="str">
        <f aca="false">IF(D993&gt;=Inputs!$C$14,"Near-prime","Non-prime")</f>
        <v>Near-prime</v>
      </c>
      <c r="M993" s="19" t="n">
        <f aca="false">IF(K993&lt;=Inputs!$C$19,1,0)</f>
        <v>1</v>
      </c>
      <c r="N993" s="19" t="n">
        <f aca="false">IF(F993&lt;=Inputs!$C$20,1,0)</f>
        <v>1</v>
      </c>
      <c r="O993" s="19" t="n">
        <f aca="false">IF(J993&lt;=Inputs!$C$21,1,0)</f>
        <v>1</v>
      </c>
      <c r="P993" s="19" t="n">
        <f aca="false">IF(D993&gt;=Inputs!$C$22,1,0)</f>
        <v>1</v>
      </c>
      <c r="Q993" s="19" t="n">
        <f aca="false">IF(I993&lt;=Inputs!$C$23,1,0)</f>
        <v>1</v>
      </c>
      <c r="R993" s="19" t="n">
        <f aca="false">M993*N993*O993*P993*Q993</f>
        <v>1</v>
      </c>
      <c r="S993" s="14" t="n">
        <f aca="false">I993*R993</f>
        <v>21417.23</v>
      </c>
      <c r="T993" s="19" t="n">
        <f aca="false">IF(F993&gt;72,1,0)</f>
        <v>0</v>
      </c>
      <c r="U993" s="19" t="n">
        <f aca="false">IF(J993&gt;1.25,1,0)</f>
        <v>1</v>
      </c>
    </row>
    <row r="994" customFormat="false" ht="15" hidden="false" customHeight="false" outlineLevel="0" collapsed="false">
      <c r="B994" s="13" t="s">
        <v>1214</v>
      </c>
      <c r="C994" s="13" t="s">
        <v>228</v>
      </c>
      <c r="D994" s="19" t="n">
        <v>603</v>
      </c>
      <c r="E994" s="23" t="n">
        <v>0.216</v>
      </c>
      <c r="F994" s="19" t="n">
        <v>60</v>
      </c>
      <c r="G994" s="19" t="n">
        <v>2</v>
      </c>
      <c r="H994" s="14" t="n">
        <v>43400</v>
      </c>
      <c r="I994" s="14" t="n">
        <v>42577.44</v>
      </c>
      <c r="J994" s="24" t="n">
        <v>0.872</v>
      </c>
      <c r="K994" s="19" t="n">
        <v>75</v>
      </c>
      <c r="L994" s="13" t="str">
        <f aca="false">IF(D994&gt;=Inputs!$C$14,"Near-prime","Non-prime")</f>
        <v>Non-prime</v>
      </c>
      <c r="M994" s="19" t="n">
        <f aca="false">IF(K994&lt;=Inputs!$C$19,1,0)</f>
        <v>0</v>
      </c>
      <c r="N994" s="19" t="n">
        <f aca="false">IF(F994&lt;=Inputs!$C$20,1,0)</f>
        <v>1</v>
      </c>
      <c r="O994" s="19" t="n">
        <f aca="false">IF(J994&lt;=Inputs!$C$21,1,0)</f>
        <v>1</v>
      </c>
      <c r="P994" s="19" t="n">
        <f aca="false">IF(D994&gt;=Inputs!$C$22,1,0)</f>
        <v>1</v>
      </c>
      <c r="Q994" s="19" t="n">
        <f aca="false">IF(I994&lt;=Inputs!$C$23,1,0)</f>
        <v>1</v>
      </c>
      <c r="R994" s="19" t="n">
        <f aca="false">M994*N994*O994*P994*Q994</f>
        <v>0</v>
      </c>
      <c r="S994" s="14" t="n">
        <f aca="false">I994*R994</f>
        <v>0</v>
      </c>
      <c r="T994" s="19" t="n">
        <f aca="false">IF(F994&gt;72,1,0)</f>
        <v>0</v>
      </c>
      <c r="U994" s="19" t="n">
        <f aca="false">IF(J994&gt;1.25,1,0)</f>
        <v>0</v>
      </c>
    </row>
    <row r="995" customFormat="false" ht="15" hidden="false" customHeight="false" outlineLevel="0" collapsed="false">
      <c r="B995" s="13" t="s">
        <v>1215</v>
      </c>
      <c r="C995" s="13" t="s">
        <v>219</v>
      </c>
      <c r="D995" s="19" t="n">
        <v>667</v>
      </c>
      <c r="E995" s="23" t="n">
        <v>0.202</v>
      </c>
      <c r="F995" s="19" t="n">
        <v>60</v>
      </c>
      <c r="G995" s="19" t="n">
        <v>0</v>
      </c>
      <c r="H995" s="14" t="n">
        <v>34260</v>
      </c>
      <c r="I995" s="14" t="n">
        <v>34260</v>
      </c>
      <c r="J995" s="24" t="n">
        <v>0.967</v>
      </c>
      <c r="K995" s="19" t="n">
        <v>0</v>
      </c>
      <c r="L995" s="13" t="str">
        <f aca="false">IF(D995&gt;=Inputs!$C$14,"Near-prime","Non-prime")</f>
        <v>Near-prime</v>
      </c>
      <c r="M995" s="19" t="n">
        <f aca="false">IF(K995&lt;=Inputs!$C$19,1,0)</f>
        <v>1</v>
      </c>
      <c r="N995" s="19" t="n">
        <f aca="false">IF(F995&lt;=Inputs!$C$20,1,0)</f>
        <v>1</v>
      </c>
      <c r="O995" s="19" t="n">
        <f aca="false">IF(J995&lt;=Inputs!$C$21,1,0)</f>
        <v>1</v>
      </c>
      <c r="P995" s="19" t="n">
        <f aca="false">IF(D995&gt;=Inputs!$C$22,1,0)</f>
        <v>1</v>
      </c>
      <c r="Q995" s="19" t="n">
        <f aca="false">IF(I995&lt;=Inputs!$C$23,1,0)</f>
        <v>1</v>
      </c>
      <c r="R995" s="19" t="n">
        <f aca="false">M995*N995*O995*P995*Q995</f>
        <v>1</v>
      </c>
      <c r="S995" s="14" t="n">
        <f aca="false">I995*R995</f>
        <v>34260</v>
      </c>
      <c r="T995" s="19" t="n">
        <f aca="false">IF(F995&gt;72,1,0)</f>
        <v>0</v>
      </c>
      <c r="U995" s="19" t="n">
        <f aca="false">IF(J995&gt;1.25,1,0)</f>
        <v>0</v>
      </c>
    </row>
    <row r="996" customFormat="false" ht="15" hidden="false" customHeight="false" outlineLevel="0" collapsed="false">
      <c r="B996" s="13" t="s">
        <v>1216</v>
      </c>
      <c r="C996" s="13" t="s">
        <v>223</v>
      </c>
      <c r="D996" s="19" t="n">
        <v>649</v>
      </c>
      <c r="E996" s="23" t="n">
        <v>0.2031</v>
      </c>
      <c r="F996" s="19" t="n">
        <v>72</v>
      </c>
      <c r="G996" s="19" t="n">
        <v>4</v>
      </c>
      <c r="H996" s="14" t="n">
        <v>21540</v>
      </c>
      <c r="I996" s="14" t="n">
        <v>20903.03</v>
      </c>
      <c r="J996" s="24" t="n">
        <v>1.207</v>
      </c>
      <c r="K996" s="19" t="n">
        <v>0</v>
      </c>
      <c r="L996" s="13" t="str">
        <f aca="false">IF(D996&gt;=Inputs!$C$14,"Near-prime","Non-prime")</f>
        <v>Near-prime</v>
      </c>
      <c r="M996" s="19" t="n">
        <f aca="false">IF(K996&lt;=Inputs!$C$19,1,0)</f>
        <v>1</v>
      </c>
      <c r="N996" s="19" t="n">
        <f aca="false">IF(F996&lt;=Inputs!$C$20,1,0)</f>
        <v>1</v>
      </c>
      <c r="O996" s="19" t="n">
        <f aca="false">IF(J996&lt;=Inputs!$C$21,1,0)</f>
        <v>1</v>
      </c>
      <c r="P996" s="19" t="n">
        <f aca="false">IF(D996&gt;=Inputs!$C$22,1,0)</f>
        <v>1</v>
      </c>
      <c r="Q996" s="19" t="n">
        <f aca="false">IF(I996&lt;=Inputs!$C$23,1,0)</f>
        <v>1</v>
      </c>
      <c r="R996" s="19" t="n">
        <f aca="false">M996*N996*O996*P996*Q996</f>
        <v>1</v>
      </c>
      <c r="S996" s="14" t="n">
        <f aca="false">I996*R996</f>
        <v>20903.03</v>
      </c>
      <c r="T996" s="19" t="n">
        <f aca="false">IF(F996&gt;72,1,0)</f>
        <v>0</v>
      </c>
      <c r="U996" s="19" t="n">
        <f aca="false">IF(J996&gt;1.25,1,0)</f>
        <v>0</v>
      </c>
    </row>
    <row r="997" customFormat="false" ht="15" hidden="false" customHeight="false" outlineLevel="0" collapsed="false">
      <c r="B997" s="13" t="s">
        <v>1217</v>
      </c>
      <c r="C997" s="13" t="s">
        <v>228</v>
      </c>
      <c r="D997" s="19" t="n">
        <v>630</v>
      </c>
      <c r="E997" s="23" t="n">
        <v>0.1818</v>
      </c>
      <c r="F997" s="19" t="n">
        <v>75</v>
      </c>
      <c r="G997" s="19" t="n">
        <v>9</v>
      </c>
      <c r="H997" s="14" t="n">
        <v>14390</v>
      </c>
      <c r="I997" s="14" t="n">
        <v>13391.61</v>
      </c>
      <c r="J997" s="24" t="n">
        <v>1.085</v>
      </c>
      <c r="K997" s="19" t="n">
        <v>0</v>
      </c>
      <c r="L997" s="13" t="str">
        <f aca="false">IF(D997&gt;=Inputs!$C$14,"Near-prime","Non-prime")</f>
        <v>Near-prime</v>
      </c>
      <c r="M997" s="19" t="n">
        <f aca="false">IF(K997&lt;=Inputs!$C$19,1,0)</f>
        <v>1</v>
      </c>
      <c r="N997" s="19" t="n">
        <f aca="false">IF(F997&lt;=Inputs!$C$20,1,0)</f>
        <v>1</v>
      </c>
      <c r="O997" s="19" t="n">
        <f aca="false">IF(J997&lt;=Inputs!$C$21,1,0)</f>
        <v>1</v>
      </c>
      <c r="P997" s="19" t="n">
        <f aca="false">IF(D997&gt;=Inputs!$C$22,1,0)</f>
        <v>1</v>
      </c>
      <c r="Q997" s="19" t="n">
        <f aca="false">IF(I997&lt;=Inputs!$C$23,1,0)</f>
        <v>1</v>
      </c>
      <c r="R997" s="19" t="n">
        <f aca="false">M997*N997*O997*P997*Q997</f>
        <v>1</v>
      </c>
      <c r="S997" s="14" t="n">
        <f aca="false">I997*R997</f>
        <v>13391.61</v>
      </c>
      <c r="T997" s="19" t="n">
        <f aca="false">IF(F997&gt;72,1,0)</f>
        <v>1</v>
      </c>
      <c r="U997" s="19" t="n">
        <f aca="false">IF(J997&gt;1.25,1,0)</f>
        <v>0</v>
      </c>
    </row>
    <row r="998" customFormat="false" ht="15" hidden="false" customHeight="false" outlineLevel="0" collapsed="false">
      <c r="B998" s="13" t="s">
        <v>1218</v>
      </c>
      <c r="C998" s="13" t="s">
        <v>226</v>
      </c>
      <c r="D998" s="19" t="n">
        <v>556</v>
      </c>
      <c r="E998" s="23" t="n">
        <v>0.2379</v>
      </c>
      <c r="F998" s="19" t="n">
        <v>60</v>
      </c>
      <c r="G998" s="19" t="n">
        <v>4</v>
      </c>
      <c r="H998" s="14" t="n">
        <v>22880</v>
      </c>
      <c r="I998" s="14" t="n">
        <v>22048.36</v>
      </c>
      <c r="J998" s="24" t="n">
        <v>1.122</v>
      </c>
      <c r="K998" s="19" t="n">
        <v>0</v>
      </c>
      <c r="L998" s="13" t="str">
        <f aca="false">IF(D998&gt;=Inputs!$C$14,"Near-prime","Non-prime")</f>
        <v>Non-prime</v>
      </c>
      <c r="M998" s="19" t="n">
        <f aca="false">IF(K998&lt;=Inputs!$C$19,1,0)</f>
        <v>1</v>
      </c>
      <c r="N998" s="19" t="n">
        <f aca="false">IF(F998&lt;=Inputs!$C$20,1,0)</f>
        <v>1</v>
      </c>
      <c r="O998" s="19" t="n">
        <f aca="false">IF(J998&lt;=Inputs!$C$21,1,0)</f>
        <v>1</v>
      </c>
      <c r="P998" s="19" t="n">
        <f aca="false">IF(D998&gt;=Inputs!$C$22,1,0)</f>
        <v>1</v>
      </c>
      <c r="Q998" s="19" t="n">
        <f aca="false">IF(I998&lt;=Inputs!$C$23,1,0)</f>
        <v>1</v>
      </c>
      <c r="R998" s="19" t="n">
        <f aca="false">M998*N998*O998*P998*Q998</f>
        <v>1</v>
      </c>
      <c r="S998" s="14" t="n">
        <f aca="false">I998*R998</f>
        <v>22048.36</v>
      </c>
      <c r="T998" s="19" t="n">
        <f aca="false">IF(F998&gt;72,1,0)</f>
        <v>0</v>
      </c>
      <c r="U998" s="19" t="n">
        <f aca="false">IF(J998&gt;1.25,1,0)</f>
        <v>0</v>
      </c>
    </row>
    <row r="999" customFormat="false" ht="15" hidden="false" customHeight="false" outlineLevel="0" collapsed="false">
      <c r="B999" s="13" t="s">
        <v>1219</v>
      </c>
      <c r="C999" s="13" t="s">
        <v>237</v>
      </c>
      <c r="D999" s="19" t="n">
        <v>649</v>
      </c>
      <c r="E999" s="23" t="n">
        <v>0.2125</v>
      </c>
      <c r="F999" s="19" t="n">
        <v>60</v>
      </c>
      <c r="G999" s="19" t="n">
        <v>0</v>
      </c>
      <c r="H999" s="14" t="n">
        <v>40950</v>
      </c>
      <c r="I999" s="14" t="n">
        <v>40950</v>
      </c>
      <c r="J999" s="24" t="n">
        <v>1.083</v>
      </c>
      <c r="K999" s="19" t="n">
        <v>100</v>
      </c>
      <c r="L999" s="13" t="str">
        <f aca="false">IF(D999&gt;=Inputs!$C$14,"Near-prime","Non-prime")</f>
        <v>Near-prime</v>
      </c>
      <c r="M999" s="19" t="n">
        <f aca="false">IF(K999&lt;=Inputs!$C$19,1,0)</f>
        <v>0</v>
      </c>
      <c r="N999" s="19" t="n">
        <f aca="false">IF(F999&lt;=Inputs!$C$20,1,0)</f>
        <v>1</v>
      </c>
      <c r="O999" s="19" t="n">
        <f aca="false">IF(J999&lt;=Inputs!$C$21,1,0)</f>
        <v>1</v>
      </c>
      <c r="P999" s="19" t="n">
        <f aca="false">IF(D999&gt;=Inputs!$C$22,1,0)</f>
        <v>1</v>
      </c>
      <c r="Q999" s="19" t="n">
        <f aca="false">IF(I999&lt;=Inputs!$C$23,1,0)</f>
        <v>1</v>
      </c>
      <c r="R999" s="19" t="n">
        <f aca="false">M999*N999*O999*P999*Q999</f>
        <v>0</v>
      </c>
      <c r="S999" s="14" t="n">
        <f aca="false">I999*R999</f>
        <v>0</v>
      </c>
      <c r="T999" s="19" t="n">
        <f aca="false">IF(F999&gt;72,1,0)</f>
        <v>0</v>
      </c>
      <c r="U999" s="19" t="n">
        <f aca="false">IF(J999&gt;1.25,1,0)</f>
        <v>0</v>
      </c>
    </row>
    <row r="1000" customFormat="false" ht="15" hidden="false" customHeight="false" outlineLevel="0" collapsed="false">
      <c r="B1000" s="13" t="s">
        <v>1220</v>
      </c>
      <c r="C1000" s="13" t="s">
        <v>217</v>
      </c>
      <c r="D1000" s="19" t="n">
        <v>620</v>
      </c>
      <c r="E1000" s="23" t="n">
        <v>0.2014</v>
      </c>
      <c r="F1000" s="19" t="n">
        <v>60</v>
      </c>
      <c r="G1000" s="19" t="n">
        <v>0</v>
      </c>
      <c r="H1000" s="14" t="n">
        <v>22260</v>
      </c>
      <c r="I1000" s="14" t="n">
        <v>22260</v>
      </c>
      <c r="J1000" s="24" t="n">
        <v>0.965</v>
      </c>
      <c r="K1000" s="19" t="n">
        <v>0</v>
      </c>
      <c r="L1000" s="13" t="str">
        <f aca="false">IF(D1000&gt;=Inputs!$C$14,"Near-prime","Non-prime")</f>
        <v>Near-prime</v>
      </c>
      <c r="M1000" s="19" t="n">
        <f aca="false">IF(K1000&lt;=Inputs!$C$19,1,0)</f>
        <v>1</v>
      </c>
      <c r="N1000" s="19" t="n">
        <f aca="false">IF(F1000&lt;=Inputs!$C$20,1,0)</f>
        <v>1</v>
      </c>
      <c r="O1000" s="19" t="n">
        <f aca="false">IF(J1000&lt;=Inputs!$C$21,1,0)</f>
        <v>1</v>
      </c>
      <c r="P1000" s="19" t="n">
        <f aca="false">IF(D1000&gt;=Inputs!$C$22,1,0)</f>
        <v>1</v>
      </c>
      <c r="Q1000" s="19" t="n">
        <f aca="false">IF(I1000&lt;=Inputs!$C$23,1,0)</f>
        <v>1</v>
      </c>
      <c r="R1000" s="19" t="n">
        <f aca="false">M1000*N1000*O1000*P1000*Q1000</f>
        <v>1</v>
      </c>
      <c r="S1000" s="14" t="n">
        <f aca="false">I1000*R1000</f>
        <v>22260</v>
      </c>
      <c r="T1000" s="19" t="n">
        <f aca="false">IF(F1000&gt;72,1,0)</f>
        <v>0</v>
      </c>
      <c r="U1000" s="19" t="n">
        <f aca="false">IF(J1000&gt;1.25,1,0)</f>
        <v>0</v>
      </c>
    </row>
    <row r="1001" customFormat="false" ht="15" hidden="false" customHeight="false" outlineLevel="0" collapsed="false">
      <c r="B1001" s="13" t="s">
        <v>1221</v>
      </c>
      <c r="C1001" s="13" t="s">
        <v>252</v>
      </c>
      <c r="D1001" s="19" t="n">
        <v>662</v>
      </c>
      <c r="E1001" s="23" t="n">
        <v>0.2027</v>
      </c>
      <c r="F1001" s="19" t="n">
        <v>66</v>
      </c>
      <c r="G1001" s="19" t="n">
        <v>10</v>
      </c>
      <c r="H1001" s="14" t="n">
        <v>43610</v>
      </c>
      <c r="I1001" s="14" t="n">
        <v>39674.84</v>
      </c>
      <c r="J1001" s="24" t="n">
        <v>1.164</v>
      </c>
      <c r="K1001" s="19" t="n">
        <v>15</v>
      </c>
      <c r="L1001" s="13" t="str">
        <f aca="false">IF(D1001&gt;=Inputs!$C$14,"Near-prime","Non-prime")</f>
        <v>Near-prime</v>
      </c>
      <c r="M1001" s="19" t="n">
        <f aca="false">IF(K1001&lt;=Inputs!$C$19,1,0)</f>
        <v>1</v>
      </c>
      <c r="N1001" s="19" t="n">
        <f aca="false">IF(F1001&lt;=Inputs!$C$20,1,0)</f>
        <v>1</v>
      </c>
      <c r="O1001" s="19" t="n">
        <f aca="false">IF(J1001&lt;=Inputs!$C$21,1,0)</f>
        <v>1</v>
      </c>
      <c r="P1001" s="19" t="n">
        <f aca="false">IF(D1001&gt;=Inputs!$C$22,1,0)</f>
        <v>1</v>
      </c>
      <c r="Q1001" s="19" t="n">
        <f aca="false">IF(I1001&lt;=Inputs!$C$23,1,0)</f>
        <v>1</v>
      </c>
      <c r="R1001" s="19" t="n">
        <f aca="false">M1001*N1001*O1001*P1001*Q1001</f>
        <v>1</v>
      </c>
      <c r="S1001" s="14" t="n">
        <f aca="false">I1001*R1001</f>
        <v>39674.84</v>
      </c>
      <c r="T1001" s="19" t="n">
        <f aca="false">IF(F1001&gt;72,1,0)</f>
        <v>0</v>
      </c>
      <c r="U1001" s="19" t="n">
        <f aca="false">IF(J1001&gt;1.25,1,0)</f>
        <v>0</v>
      </c>
    </row>
    <row r="1002" customFormat="false" ht="15" hidden="false" customHeight="false" outlineLevel="0" collapsed="false">
      <c r="B1002" s="13" t="s">
        <v>1222</v>
      </c>
      <c r="C1002" s="13" t="s">
        <v>226</v>
      </c>
      <c r="D1002" s="19" t="n">
        <v>572</v>
      </c>
      <c r="E1002" s="23" t="n">
        <v>0.2378</v>
      </c>
      <c r="F1002" s="19" t="n">
        <v>72</v>
      </c>
      <c r="G1002" s="19" t="n">
        <v>8</v>
      </c>
      <c r="H1002" s="14" t="n">
        <v>16190</v>
      </c>
      <c r="I1002" s="14" t="n">
        <v>15304.47</v>
      </c>
      <c r="J1002" s="24" t="n">
        <v>1.057</v>
      </c>
      <c r="K1002" s="19" t="n">
        <v>0</v>
      </c>
      <c r="L1002" s="13" t="str">
        <f aca="false">IF(D1002&gt;=Inputs!$C$14,"Near-prime","Non-prime")</f>
        <v>Non-prime</v>
      </c>
      <c r="M1002" s="19" t="n">
        <f aca="false">IF(K1002&lt;=Inputs!$C$19,1,0)</f>
        <v>1</v>
      </c>
      <c r="N1002" s="19" t="n">
        <f aca="false">IF(F1002&lt;=Inputs!$C$20,1,0)</f>
        <v>1</v>
      </c>
      <c r="O1002" s="19" t="n">
        <f aca="false">IF(J1002&lt;=Inputs!$C$21,1,0)</f>
        <v>1</v>
      </c>
      <c r="P1002" s="19" t="n">
        <f aca="false">IF(D1002&gt;=Inputs!$C$22,1,0)</f>
        <v>1</v>
      </c>
      <c r="Q1002" s="19" t="n">
        <f aca="false">IF(I1002&lt;=Inputs!$C$23,1,0)</f>
        <v>1</v>
      </c>
      <c r="R1002" s="19" t="n">
        <f aca="false">M1002*N1002*O1002*P1002*Q1002</f>
        <v>1</v>
      </c>
      <c r="S1002" s="14" t="n">
        <f aca="false">I1002*R1002</f>
        <v>15304.47</v>
      </c>
      <c r="T1002" s="19" t="n">
        <f aca="false">IF(F1002&gt;72,1,0)</f>
        <v>0</v>
      </c>
      <c r="U1002" s="19" t="n">
        <f aca="false">IF(J1002&gt;1.25,1,0)</f>
        <v>0</v>
      </c>
    </row>
    <row r="1003" customFormat="false" ht="15" hidden="false" customHeight="false" outlineLevel="0" collapsed="false">
      <c r="B1003" s="13" t="s">
        <v>1223</v>
      </c>
      <c r="C1003" s="13" t="s">
        <v>217</v>
      </c>
      <c r="D1003" s="19" t="n">
        <v>675</v>
      </c>
      <c r="E1003" s="23" t="n">
        <v>0.1859</v>
      </c>
      <c r="F1003" s="19" t="n">
        <v>60</v>
      </c>
      <c r="G1003" s="19" t="n">
        <v>3</v>
      </c>
      <c r="H1003" s="14" t="n">
        <v>44880</v>
      </c>
      <c r="I1003" s="14" t="n">
        <v>43482.03</v>
      </c>
      <c r="J1003" s="24" t="n">
        <v>0.803</v>
      </c>
      <c r="K1003" s="19" t="n">
        <v>0</v>
      </c>
      <c r="L1003" s="13" t="str">
        <f aca="false">IF(D1003&gt;=Inputs!$C$14,"Near-prime","Non-prime")</f>
        <v>Near-prime</v>
      </c>
      <c r="M1003" s="19" t="n">
        <f aca="false">IF(K1003&lt;=Inputs!$C$19,1,0)</f>
        <v>1</v>
      </c>
      <c r="N1003" s="19" t="n">
        <f aca="false">IF(F1003&lt;=Inputs!$C$20,1,0)</f>
        <v>1</v>
      </c>
      <c r="O1003" s="19" t="n">
        <f aca="false">IF(J1003&lt;=Inputs!$C$21,1,0)</f>
        <v>1</v>
      </c>
      <c r="P1003" s="19" t="n">
        <f aca="false">IF(D1003&gt;=Inputs!$C$22,1,0)</f>
        <v>1</v>
      </c>
      <c r="Q1003" s="19" t="n">
        <f aca="false">IF(I1003&lt;=Inputs!$C$23,1,0)</f>
        <v>1</v>
      </c>
      <c r="R1003" s="19" t="n">
        <f aca="false">M1003*N1003*O1003*P1003*Q1003</f>
        <v>1</v>
      </c>
      <c r="S1003" s="14" t="n">
        <f aca="false">I1003*R1003</f>
        <v>43482.03</v>
      </c>
      <c r="T1003" s="19" t="n">
        <f aca="false">IF(F1003&gt;72,1,0)</f>
        <v>0</v>
      </c>
      <c r="U1003" s="19" t="n">
        <f aca="false">IF(J1003&gt;1.25,1,0)</f>
        <v>0</v>
      </c>
    </row>
    <row r="1004" customFormat="false" ht="15" hidden="false" customHeight="false" outlineLevel="0" collapsed="false">
      <c r="B1004" s="13" t="s">
        <v>1224</v>
      </c>
      <c r="C1004" s="13" t="s">
        <v>223</v>
      </c>
      <c r="D1004" s="19" t="n">
        <v>682</v>
      </c>
      <c r="E1004" s="23" t="n">
        <v>0.1994</v>
      </c>
      <c r="F1004" s="19" t="n">
        <v>84</v>
      </c>
      <c r="G1004" s="19" t="n">
        <v>10</v>
      </c>
      <c r="H1004" s="14" t="n">
        <v>20020</v>
      </c>
      <c r="I1004" s="14" t="n">
        <v>18821.28</v>
      </c>
      <c r="J1004" s="24" t="n">
        <v>1.126</v>
      </c>
      <c r="K1004" s="19" t="n">
        <v>0</v>
      </c>
      <c r="L1004" s="13" t="str">
        <f aca="false">IF(D1004&gt;=Inputs!$C$14,"Near-prime","Non-prime")</f>
        <v>Near-prime</v>
      </c>
      <c r="M1004" s="19" t="n">
        <f aca="false">IF(K1004&lt;=Inputs!$C$19,1,0)</f>
        <v>1</v>
      </c>
      <c r="N1004" s="19" t="n">
        <f aca="false">IF(F1004&lt;=Inputs!$C$20,1,0)</f>
        <v>0</v>
      </c>
      <c r="O1004" s="19" t="n">
        <f aca="false">IF(J1004&lt;=Inputs!$C$21,1,0)</f>
        <v>1</v>
      </c>
      <c r="P1004" s="19" t="n">
        <f aca="false">IF(D1004&gt;=Inputs!$C$22,1,0)</f>
        <v>1</v>
      </c>
      <c r="Q1004" s="19" t="n">
        <f aca="false">IF(I1004&lt;=Inputs!$C$23,1,0)</f>
        <v>1</v>
      </c>
      <c r="R1004" s="19" t="n">
        <f aca="false">M1004*N1004*O1004*P1004*Q1004</f>
        <v>0</v>
      </c>
      <c r="S1004" s="14" t="n">
        <f aca="false">I1004*R1004</f>
        <v>0</v>
      </c>
      <c r="T1004" s="19" t="n">
        <f aca="false">IF(F1004&gt;72,1,0)</f>
        <v>1</v>
      </c>
      <c r="U1004" s="19" t="n">
        <f aca="false">IF(J1004&gt;1.25,1,0)</f>
        <v>0</v>
      </c>
    </row>
    <row r="1005" customFormat="false" ht="15" hidden="false" customHeight="false" outlineLevel="0" collapsed="false">
      <c r="B1005" s="13" t="s">
        <v>1225</v>
      </c>
      <c r="C1005" s="13" t="s">
        <v>221</v>
      </c>
      <c r="D1005" s="19" t="n">
        <v>720</v>
      </c>
      <c r="E1005" s="23" t="n">
        <v>0.1981</v>
      </c>
      <c r="F1005" s="19" t="n">
        <v>72</v>
      </c>
      <c r="G1005" s="19" t="n">
        <v>3</v>
      </c>
      <c r="H1005" s="14" t="n">
        <v>17190</v>
      </c>
      <c r="I1005" s="14" t="n">
        <v>16805.48</v>
      </c>
      <c r="J1005" s="24" t="n">
        <v>1.008</v>
      </c>
      <c r="K1005" s="19" t="n">
        <v>75</v>
      </c>
      <c r="L1005" s="13" t="str">
        <f aca="false">IF(D1005&gt;=Inputs!$C$14,"Near-prime","Non-prime")</f>
        <v>Near-prime</v>
      </c>
      <c r="M1005" s="19" t="n">
        <f aca="false">IF(K1005&lt;=Inputs!$C$19,1,0)</f>
        <v>0</v>
      </c>
      <c r="N1005" s="19" t="n">
        <f aca="false">IF(F1005&lt;=Inputs!$C$20,1,0)</f>
        <v>1</v>
      </c>
      <c r="O1005" s="19" t="n">
        <f aca="false">IF(J1005&lt;=Inputs!$C$21,1,0)</f>
        <v>1</v>
      </c>
      <c r="P1005" s="19" t="n">
        <f aca="false">IF(D1005&gt;=Inputs!$C$22,1,0)</f>
        <v>1</v>
      </c>
      <c r="Q1005" s="19" t="n">
        <f aca="false">IF(I1005&lt;=Inputs!$C$23,1,0)</f>
        <v>1</v>
      </c>
      <c r="R1005" s="19" t="n">
        <f aca="false">M1005*N1005*O1005*P1005*Q1005</f>
        <v>0</v>
      </c>
      <c r="S1005" s="14" t="n">
        <f aca="false">I1005*R1005</f>
        <v>0</v>
      </c>
      <c r="T1005" s="19" t="n">
        <f aca="false">IF(F1005&gt;72,1,0)</f>
        <v>0</v>
      </c>
      <c r="U1005" s="19" t="n">
        <f aca="false">IF(J1005&gt;1.25,1,0)</f>
        <v>0</v>
      </c>
    </row>
    <row r="1006" customFormat="false" ht="15" hidden="false" customHeight="false" outlineLevel="0" collapsed="false">
      <c r="B1006" s="13" t="s">
        <v>1226</v>
      </c>
      <c r="C1006" s="13" t="s">
        <v>226</v>
      </c>
      <c r="D1006" s="19" t="n">
        <v>622</v>
      </c>
      <c r="E1006" s="23" t="n">
        <v>0.2034</v>
      </c>
      <c r="F1006" s="19" t="n">
        <v>75</v>
      </c>
      <c r="G1006" s="19" t="n">
        <v>0</v>
      </c>
      <c r="H1006" s="14" t="n">
        <v>19820</v>
      </c>
      <c r="I1006" s="14" t="n">
        <v>19820</v>
      </c>
      <c r="J1006" s="24" t="n">
        <v>1.164</v>
      </c>
      <c r="K1006" s="19" t="n">
        <v>0</v>
      </c>
      <c r="L1006" s="13" t="str">
        <f aca="false">IF(D1006&gt;=Inputs!$C$14,"Near-prime","Non-prime")</f>
        <v>Near-prime</v>
      </c>
      <c r="M1006" s="19" t="n">
        <f aca="false">IF(K1006&lt;=Inputs!$C$19,1,0)</f>
        <v>1</v>
      </c>
      <c r="N1006" s="19" t="n">
        <f aca="false">IF(F1006&lt;=Inputs!$C$20,1,0)</f>
        <v>1</v>
      </c>
      <c r="O1006" s="19" t="n">
        <f aca="false">IF(J1006&lt;=Inputs!$C$21,1,0)</f>
        <v>1</v>
      </c>
      <c r="P1006" s="19" t="n">
        <f aca="false">IF(D1006&gt;=Inputs!$C$22,1,0)</f>
        <v>1</v>
      </c>
      <c r="Q1006" s="19" t="n">
        <f aca="false">IF(I1006&lt;=Inputs!$C$23,1,0)</f>
        <v>1</v>
      </c>
      <c r="R1006" s="19" t="n">
        <f aca="false">M1006*N1006*O1006*P1006*Q1006</f>
        <v>1</v>
      </c>
      <c r="S1006" s="14" t="n">
        <f aca="false">I1006*R1006</f>
        <v>19820</v>
      </c>
      <c r="T1006" s="19" t="n">
        <f aca="false">IF(F1006&gt;72,1,0)</f>
        <v>1</v>
      </c>
      <c r="U1006" s="19" t="n">
        <f aca="false">IF(J1006&gt;1.25,1,0)</f>
        <v>0</v>
      </c>
    </row>
    <row r="1007" customFormat="false" ht="15" hidden="false" customHeight="false" outlineLevel="0" collapsed="false">
      <c r="B1007" s="13" t="s">
        <v>1227</v>
      </c>
      <c r="C1007" s="13" t="s">
        <v>217</v>
      </c>
      <c r="D1007" s="19" t="n">
        <v>611</v>
      </c>
      <c r="E1007" s="23" t="n">
        <v>0.2216</v>
      </c>
      <c r="F1007" s="19" t="n">
        <v>75</v>
      </c>
      <c r="G1007" s="19" t="n">
        <v>3</v>
      </c>
      <c r="H1007" s="14" t="n">
        <v>19250</v>
      </c>
      <c r="I1007" s="14" t="n">
        <v>18881.11</v>
      </c>
      <c r="J1007" s="24" t="n">
        <v>1.075</v>
      </c>
      <c r="K1007" s="19" t="n">
        <v>0</v>
      </c>
      <c r="L1007" s="13" t="str">
        <f aca="false">IF(D1007&gt;=Inputs!$C$14,"Near-prime","Non-prime")</f>
        <v>Non-prime</v>
      </c>
      <c r="M1007" s="19" t="n">
        <f aca="false">IF(K1007&lt;=Inputs!$C$19,1,0)</f>
        <v>1</v>
      </c>
      <c r="N1007" s="19" t="n">
        <f aca="false">IF(F1007&lt;=Inputs!$C$20,1,0)</f>
        <v>1</v>
      </c>
      <c r="O1007" s="19" t="n">
        <f aca="false">IF(J1007&lt;=Inputs!$C$21,1,0)</f>
        <v>1</v>
      </c>
      <c r="P1007" s="19" t="n">
        <f aca="false">IF(D1007&gt;=Inputs!$C$22,1,0)</f>
        <v>1</v>
      </c>
      <c r="Q1007" s="19" t="n">
        <f aca="false">IF(I1007&lt;=Inputs!$C$23,1,0)</f>
        <v>1</v>
      </c>
      <c r="R1007" s="19" t="n">
        <f aca="false">M1007*N1007*O1007*P1007*Q1007</f>
        <v>1</v>
      </c>
      <c r="S1007" s="14" t="n">
        <f aca="false">I1007*R1007</f>
        <v>18881.11</v>
      </c>
      <c r="T1007" s="19" t="n">
        <f aca="false">IF(F1007&gt;72,1,0)</f>
        <v>1</v>
      </c>
      <c r="U1007" s="19" t="n">
        <f aca="false">IF(J1007&gt;1.25,1,0)</f>
        <v>0</v>
      </c>
    </row>
    <row r="1008" customFormat="false" ht="15" hidden="false" customHeight="false" outlineLevel="0" collapsed="false">
      <c r="B1008" s="13" t="s">
        <v>1228</v>
      </c>
      <c r="C1008" s="13" t="s">
        <v>237</v>
      </c>
      <c r="D1008" s="19" t="n">
        <v>694</v>
      </c>
      <c r="E1008" s="23" t="n">
        <v>0.1858</v>
      </c>
      <c r="F1008" s="19" t="n">
        <v>72</v>
      </c>
      <c r="G1008" s="19" t="n">
        <v>1</v>
      </c>
      <c r="H1008" s="14" t="n">
        <v>13700</v>
      </c>
      <c r="I1008" s="14" t="n">
        <v>13595.15</v>
      </c>
      <c r="J1008" s="24" t="n">
        <v>0.873</v>
      </c>
      <c r="K1008" s="19" t="n">
        <v>0</v>
      </c>
      <c r="L1008" s="13" t="str">
        <f aca="false">IF(D1008&gt;=Inputs!$C$14,"Near-prime","Non-prime")</f>
        <v>Near-prime</v>
      </c>
      <c r="M1008" s="19" t="n">
        <f aca="false">IF(K1008&lt;=Inputs!$C$19,1,0)</f>
        <v>1</v>
      </c>
      <c r="N1008" s="19" t="n">
        <f aca="false">IF(F1008&lt;=Inputs!$C$20,1,0)</f>
        <v>1</v>
      </c>
      <c r="O1008" s="19" t="n">
        <f aca="false">IF(J1008&lt;=Inputs!$C$21,1,0)</f>
        <v>1</v>
      </c>
      <c r="P1008" s="19" t="n">
        <f aca="false">IF(D1008&gt;=Inputs!$C$22,1,0)</f>
        <v>1</v>
      </c>
      <c r="Q1008" s="19" t="n">
        <f aca="false">IF(I1008&lt;=Inputs!$C$23,1,0)</f>
        <v>1</v>
      </c>
      <c r="R1008" s="19" t="n">
        <f aca="false">M1008*N1008*O1008*P1008*Q1008</f>
        <v>1</v>
      </c>
      <c r="S1008" s="14" t="n">
        <f aca="false">I1008*R1008</f>
        <v>13595.15</v>
      </c>
      <c r="T1008" s="19" t="n">
        <f aca="false">IF(F1008&gt;72,1,0)</f>
        <v>0</v>
      </c>
      <c r="U1008" s="19" t="n">
        <f aca="false">IF(J1008&gt;1.25,1,0)</f>
        <v>0</v>
      </c>
    </row>
    <row r="1009" customFormat="false" ht="15" hidden="false" customHeight="false" outlineLevel="0" collapsed="false">
      <c r="B1009" s="13" t="s">
        <v>1229</v>
      </c>
      <c r="C1009" s="13" t="s">
        <v>252</v>
      </c>
      <c r="D1009" s="19" t="n">
        <v>593</v>
      </c>
      <c r="E1009" s="23" t="n">
        <v>0.2328</v>
      </c>
      <c r="F1009" s="19" t="n">
        <v>60</v>
      </c>
      <c r="G1009" s="19" t="n">
        <v>0</v>
      </c>
      <c r="H1009" s="14" t="n">
        <v>17370</v>
      </c>
      <c r="I1009" s="14" t="n">
        <v>17370</v>
      </c>
      <c r="J1009" s="24" t="n">
        <v>0.848</v>
      </c>
      <c r="K1009" s="19" t="n">
        <v>0</v>
      </c>
      <c r="L1009" s="13" t="str">
        <f aca="false">IF(D1009&gt;=Inputs!$C$14,"Near-prime","Non-prime")</f>
        <v>Non-prime</v>
      </c>
      <c r="M1009" s="19" t="n">
        <f aca="false">IF(K1009&lt;=Inputs!$C$19,1,0)</f>
        <v>1</v>
      </c>
      <c r="N1009" s="19" t="n">
        <f aca="false">IF(F1009&lt;=Inputs!$C$20,1,0)</f>
        <v>1</v>
      </c>
      <c r="O1009" s="19" t="n">
        <f aca="false">IF(J1009&lt;=Inputs!$C$21,1,0)</f>
        <v>1</v>
      </c>
      <c r="P1009" s="19" t="n">
        <f aca="false">IF(D1009&gt;=Inputs!$C$22,1,0)</f>
        <v>1</v>
      </c>
      <c r="Q1009" s="19" t="n">
        <f aca="false">IF(I1009&lt;=Inputs!$C$23,1,0)</f>
        <v>1</v>
      </c>
      <c r="R1009" s="19" t="n">
        <f aca="false">M1009*N1009*O1009*P1009*Q1009</f>
        <v>1</v>
      </c>
      <c r="S1009" s="14" t="n">
        <f aca="false">I1009*R1009</f>
        <v>17370</v>
      </c>
      <c r="T1009" s="19" t="n">
        <f aca="false">IF(F1009&gt;72,1,0)</f>
        <v>0</v>
      </c>
      <c r="U1009" s="19" t="n">
        <f aca="false">IF(J1009&gt;1.25,1,0)</f>
        <v>0</v>
      </c>
    </row>
    <row r="1010" customFormat="false" ht="15" hidden="false" customHeight="false" outlineLevel="0" collapsed="false">
      <c r="B1010" s="13" t="s">
        <v>1230</v>
      </c>
      <c r="C1010" s="13" t="s">
        <v>237</v>
      </c>
      <c r="D1010" s="19" t="n">
        <v>603</v>
      </c>
      <c r="E1010" s="23" t="n">
        <v>0.2119</v>
      </c>
      <c r="F1010" s="19" t="n">
        <v>72</v>
      </c>
      <c r="G1010" s="19" t="n">
        <v>2</v>
      </c>
      <c r="H1010" s="14" t="n">
        <v>10490</v>
      </c>
      <c r="I1010" s="14" t="n">
        <v>10342.07</v>
      </c>
      <c r="J1010" s="24" t="n">
        <v>1.163</v>
      </c>
      <c r="K1010" s="19" t="n">
        <v>0</v>
      </c>
      <c r="L1010" s="13" t="str">
        <f aca="false">IF(D1010&gt;=Inputs!$C$14,"Near-prime","Non-prime")</f>
        <v>Non-prime</v>
      </c>
      <c r="M1010" s="19" t="n">
        <f aca="false">IF(K1010&lt;=Inputs!$C$19,1,0)</f>
        <v>1</v>
      </c>
      <c r="N1010" s="19" t="n">
        <f aca="false">IF(F1010&lt;=Inputs!$C$20,1,0)</f>
        <v>1</v>
      </c>
      <c r="O1010" s="19" t="n">
        <f aca="false">IF(J1010&lt;=Inputs!$C$21,1,0)</f>
        <v>1</v>
      </c>
      <c r="P1010" s="19" t="n">
        <f aca="false">IF(D1010&gt;=Inputs!$C$22,1,0)</f>
        <v>1</v>
      </c>
      <c r="Q1010" s="19" t="n">
        <f aca="false">IF(I1010&lt;=Inputs!$C$23,1,0)</f>
        <v>1</v>
      </c>
      <c r="R1010" s="19" t="n">
        <f aca="false">M1010*N1010*O1010*P1010*Q1010</f>
        <v>1</v>
      </c>
      <c r="S1010" s="14" t="n">
        <f aca="false">I1010*R1010</f>
        <v>10342.07</v>
      </c>
      <c r="T1010" s="19" t="n">
        <f aca="false">IF(F1010&gt;72,1,0)</f>
        <v>0</v>
      </c>
      <c r="U1010" s="19" t="n">
        <f aca="false">IF(J1010&gt;1.25,1,0)</f>
        <v>0</v>
      </c>
    </row>
    <row r="1011" customFormat="false" ht="15" hidden="false" customHeight="false" outlineLevel="0" collapsed="false">
      <c r="B1011" s="13" t="s">
        <v>1231</v>
      </c>
      <c r="C1011" s="13" t="s">
        <v>217</v>
      </c>
      <c r="D1011" s="19" t="n">
        <v>631</v>
      </c>
      <c r="E1011" s="23" t="n">
        <v>0.2002</v>
      </c>
      <c r="F1011" s="19" t="n">
        <v>60</v>
      </c>
      <c r="G1011" s="19" t="n">
        <v>7</v>
      </c>
      <c r="H1011" s="14" t="n">
        <v>36250</v>
      </c>
      <c r="I1011" s="14" t="n">
        <v>33629.48</v>
      </c>
      <c r="J1011" s="24" t="n">
        <v>0.945</v>
      </c>
      <c r="K1011" s="19" t="n">
        <v>0</v>
      </c>
      <c r="L1011" s="13" t="str">
        <f aca="false">IF(D1011&gt;=Inputs!$C$14,"Near-prime","Non-prime")</f>
        <v>Near-prime</v>
      </c>
      <c r="M1011" s="19" t="n">
        <f aca="false">IF(K1011&lt;=Inputs!$C$19,1,0)</f>
        <v>1</v>
      </c>
      <c r="N1011" s="19" t="n">
        <f aca="false">IF(F1011&lt;=Inputs!$C$20,1,0)</f>
        <v>1</v>
      </c>
      <c r="O1011" s="19" t="n">
        <f aca="false">IF(J1011&lt;=Inputs!$C$21,1,0)</f>
        <v>1</v>
      </c>
      <c r="P1011" s="19" t="n">
        <f aca="false">IF(D1011&gt;=Inputs!$C$22,1,0)</f>
        <v>1</v>
      </c>
      <c r="Q1011" s="19" t="n">
        <f aca="false">IF(I1011&lt;=Inputs!$C$23,1,0)</f>
        <v>1</v>
      </c>
      <c r="R1011" s="19" t="n">
        <f aca="false">M1011*N1011*O1011*P1011*Q1011</f>
        <v>1</v>
      </c>
      <c r="S1011" s="14" t="n">
        <f aca="false">I1011*R1011</f>
        <v>33629.48</v>
      </c>
      <c r="T1011" s="19" t="n">
        <f aca="false">IF(F1011&gt;72,1,0)</f>
        <v>0</v>
      </c>
      <c r="U1011" s="19" t="n">
        <f aca="false">IF(J1011&gt;1.25,1,0)</f>
        <v>0</v>
      </c>
    </row>
    <row r="1012" customFormat="false" ht="15" hidden="false" customHeight="false" outlineLevel="0" collapsed="false">
      <c r="B1012" s="13" t="s">
        <v>1232</v>
      </c>
      <c r="C1012" s="13" t="s">
        <v>233</v>
      </c>
      <c r="D1012" s="19" t="n">
        <v>589</v>
      </c>
      <c r="E1012" s="23" t="n">
        <v>0.2234</v>
      </c>
      <c r="F1012" s="19" t="n">
        <v>66</v>
      </c>
      <c r="G1012" s="19" t="n">
        <v>8</v>
      </c>
      <c r="H1012" s="14" t="n">
        <v>29230</v>
      </c>
      <c r="I1012" s="14" t="n">
        <v>27275.84</v>
      </c>
      <c r="J1012" s="24" t="n">
        <v>0.899</v>
      </c>
      <c r="K1012" s="19" t="n">
        <v>0</v>
      </c>
      <c r="L1012" s="13" t="str">
        <f aca="false">IF(D1012&gt;=Inputs!$C$14,"Near-prime","Non-prime")</f>
        <v>Non-prime</v>
      </c>
      <c r="M1012" s="19" t="n">
        <f aca="false">IF(K1012&lt;=Inputs!$C$19,1,0)</f>
        <v>1</v>
      </c>
      <c r="N1012" s="19" t="n">
        <f aca="false">IF(F1012&lt;=Inputs!$C$20,1,0)</f>
        <v>1</v>
      </c>
      <c r="O1012" s="19" t="n">
        <f aca="false">IF(J1012&lt;=Inputs!$C$21,1,0)</f>
        <v>1</v>
      </c>
      <c r="P1012" s="19" t="n">
        <f aca="false">IF(D1012&gt;=Inputs!$C$22,1,0)</f>
        <v>1</v>
      </c>
      <c r="Q1012" s="19" t="n">
        <f aca="false">IF(I1012&lt;=Inputs!$C$23,1,0)</f>
        <v>1</v>
      </c>
      <c r="R1012" s="19" t="n">
        <f aca="false">M1012*N1012*O1012*P1012*Q1012</f>
        <v>1</v>
      </c>
      <c r="S1012" s="14" t="n">
        <f aca="false">I1012*R1012</f>
        <v>27275.84</v>
      </c>
      <c r="T1012" s="19" t="n">
        <f aca="false">IF(F1012&gt;72,1,0)</f>
        <v>0</v>
      </c>
      <c r="U1012" s="19" t="n">
        <f aca="false">IF(J1012&gt;1.25,1,0)</f>
        <v>0</v>
      </c>
    </row>
    <row r="1013" customFormat="false" ht="15" hidden="false" customHeight="false" outlineLevel="0" collapsed="false">
      <c r="B1013" s="13" t="s">
        <v>1233</v>
      </c>
      <c r="C1013" s="13" t="s">
        <v>217</v>
      </c>
      <c r="D1013" s="19" t="n">
        <v>722</v>
      </c>
      <c r="E1013" s="23" t="n">
        <v>0.1689</v>
      </c>
      <c r="F1013" s="19" t="n">
        <v>66</v>
      </c>
      <c r="G1013" s="19" t="n">
        <v>7</v>
      </c>
      <c r="H1013" s="14" t="n">
        <v>19370</v>
      </c>
      <c r="I1013" s="14" t="n">
        <v>18056.29</v>
      </c>
      <c r="J1013" s="24" t="n">
        <v>1.031</v>
      </c>
      <c r="K1013" s="19" t="n">
        <v>0</v>
      </c>
      <c r="L1013" s="13" t="str">
        <f aca="false">IF(D1013&gt;=Inputs!$C$14,"Near-prime","Non-prime")</f>
        <v>Near-prime</v>
      </c>
      <c r="M1013" s="19" t="n">
        <f aca="false">IF(K1013&lt;=Inputs!$C$19,1,0)</f>
        <v>1</v>
      </c>
      <c r="N1013" s="19" t="n">
        <f aca="false">IF(F1013&lt;=Inputs!$C$20,1,0)</f>
        <v>1</v>
      </c>
      <c r="O1013" s="19" t="n">
        <f aca="false">IF(J1013&lt;=Inputs!$C$21,1,0)</f>
        <v>1</v>
      </c>
      <c r="P1013" s="19" t="n">
        <f aca="false">IF(D1013&gt;=Inputs!$C$22,1,0)</f>
        <v>1</v>
      </c>
      <c r="Q1013" s="19" t="n">
        <f aca="false">IF(I1013&lt;=Inputs!$C$23,1,0)</f>
        <v>1</v>
      </c>
      <c r="R1013" s="19" t="n">
        <f aca="false">M1013*N1013*O1013*P1013*Q1013</f>
        <v>1</v>
      </c>
      <c r="S1013" s="14" t="n">
        <f aca="false">I1013*R1013</f>
        <v>18056.29</v>
      </c>
      <c r="T1013" s="19" t="n">
        <f aca="false">IF(F1013&gt;72,1,0)</f>
        <v>0</v>
      </c>
      <c r="U1013" s="19" t="n">
        <f aca="false">IF(J1013&gt;1.25,1,0)</f>
        <v>0</v>
      </c>
    </row>
    <row r="1014" customFormat="false" ht="15" hidden="false" customHeight="false" outlineLevel="0" collapsed="false">
      <c r="B1014" s="13" t="s">
        <v>1234</v>
      </c>
      <c r="C1014" s="13" t="s">
        <v>226</v>
      </c>
      <c r="D1014" s="19" t="n">
        <v>698</v>
      </c>
      <c r="E1014" s="23" t="n">
        <v>0.1935</v>
      </c>
      <c r="F1014" s="19" t="n">
        <v>48</v>
      </c>
      <c r="G1014" s="19" t="n">
        <v>4</v>
      </c>
      <c r="H1014" s="14" t="n">
        <v>18050</v>
      </c>
      <c r="I1014" s="14" t="n">
        <v>17017.44</v>
      </c>
      <c r="J1014" s="24" t="n">
        <v>1.145</v>
      </c>
      <c r="K1014" s="19" t="n">
        <v>0</v>
      </c>
      <c r="L1014" s="13" t="str">
        <f aca="false">IF(D1014&gt;=Inputs!$C$14,"Near-prime","Non-prime")</f>
        <v>Near-prime</v>
      </c>
      <c r="M1014" s="19" t="n">
        <f aca="false">IF(K1014&lt;=Inputs!$C$19,1,0)</f>
        <v>1</v>
      </c>
      <c r="N1014" s="19" t="n">
        <f aca="false">IF(F1014&lt;=Inputs!$C$20,1,0)</f>
        <v>1</v>
      </c>
      <c r="O1014" s="19" t="n">
        <f aca="false">IF(J1014&lt;=Inputs!$C$21,1,0)</f>
        <v>1</v>
      </c>
      <c r="P1014" s="19" t="n">
        <f aca="false">IF(D1014&gt;=Inputs!$C$22,1,0)</f>
        <v>1</v>
      </c>
      <c r="Q1014" s="19" t="n">
        <f aca="false">IF(I1014&lt;=Inputs!$C$23,1,0)</f>
        <v>1</v>
      </c>
      <c r="R1014" s="19" t="n">
        <f aca="false">M1014*N1014*O1014*P1014*Q1014</f>
        <v>1</v>
      </c>
      <c r="S1014" s="14" t="n">
        <f aca="false">I1014*R1014</f>
        <v>17017.44</v>
      </c>
      <c r="T1014" s="19" t="n">
        <f aca="false">IF(F1014&gt;72,1,0)</f>
        <v>0</v>
      </c>
      <c r="U1014" s="19" t="n">
        <f aca="false">IF(J1014&gt;1.25,1,0)</f>
        <v>0</v>
      </c>
    </row>
    <row r="1015" customFormat="false" ht="15" hidden="false" customHeight="false" outlineLevel="0" collapsed="false">
      <c r="B1015" s="13" t="s">
        <v>1235</v>
      </c>
      <c r="C1015" s="13" t="s">
        <v>217</v>
      </c>
      <c r="D1015" s="19" t="n">
        <v>535</v>
      </c>
      <c r="E1015" s="23" t="n">
        <v>0.2293</v>
      </c>
      <c r="F1015" s="19" t="n">
        <v>66</v>
      </c>
      <c r="G1015" s="19" t="n">
        <v>1</v>
      </c>
      <c r="H1015" s="14" t="n">
        <v>38450</v>
      </c>
      <c r="I1015" s="14" t="n">
        <v>38154.66</v>
      </c>
      <c r="J1015" s="24" t="n">
        <v>1.153</v>
      </c>
      <c r="K1015" s="19" t="n">
        <v>0</v>
      </c>
      <c r="L1015" s="13" t="str">
        <f aca="false">IF(D1015&gt;=Inputs!$C$14,"Near-prime","Non-prime")</f>
        <v>Non-prime</v>
      </c>
      <c r="M1015" s="19" t="n">
        <f aca="false">IF(K1015&lt;=Inputs!$C$19,1,0)</f>
        <v>1</v>
      </c>
      <c r="N1015" s="19" t="n">
        <f aca="false">IF(F1015&lt;=Inputs!$C$20,1,0)</f>
        <v>1</v>
      </c>
      <c r="O1015" s="19" t="n">
        <f aca="false">IF(J1015&lt;=Inputs!$C$21,1,0)</f>
        <v>1</v>
      </c>
      <c r="P1015" s="19" t="n">
        <f aca="false">IF(D1015&gt;=Inputs!$C$22,1,0)</f>
        <v>0</v>
      </c>
      <c r="Q1015" s="19" t="n">
        <f aca="false">IF(I1015&lt;=Inputs!$C$23,1,0)</f>
        <v>1</v>
      </c>
      <c r="R1015" s="19" t="n">
        <f aca="false">M1015*N1015*O1015*P1015*Q1015</f>
        <v>0</v>
      </c>
      <c r="S1015" s="14" t="n">
        <f aca="false">I1015*R1015</f>
        <v>0</v>
      </c>
      <c r="T1015" s="19" t="n">
        <f aca="false">IF(F1015&gt;72,1,0)</f>
        <v>0</v>
      </c>
      <c r="U1015" s="19" t="n">
        <f aca="false">IF(J1015&gt;1.25,1,0)</f>
        <v>0</v>
      </c>
    </row>
    <row r="1016" customFormat="false" ht="15" hidden="false" customHeight="false" outlineLevel="0" collapsed="false">
      <c r="B1016" s="13" t="s">
        <v>1236</v>
      </c>
      <c r="C1016" s="13" t="s">
        <v>237</v>
      </c>
      <c r="D1016" s="19" t="n">
        <v>536</v>
      </c>
      <c r="E1016" s="23" t="n">
        <v>0.2553</v>
      </c>
      <c r="F1016" s="19" t="n">
        <v>48</v>
      </c>
      <c r="G1016" s="19" t="n">
        <v>8</v>
      </c>
      <c r="H1016" s="14" t="n">
        <v>16510</v>
      </c>
      <c r="I1016" s="14" t="n">
        <v>14776.47</v>
      </c>
      <c r="J1016" s="24" t="n">
        <v>0.98</v>
      </c>
      <c r="K1016" s="19" t="n">
        <v>0</v>
      </c>
      <c r="L1016" s="13" t="str">
        <f aca="false">IF(D1016&gt;=Inputs!$C$14,"Near-prime","Non-prime")</f>
        <v>Non-prime</v>
      </c>
      <c r="M1016" s="19" t="n">
        <f aca="false">IF(K1016&lt;=Inputs!$C$19,1,0)</f>
        <v>1</v>
      </c>
      <c r="N1016" s="19" t="n">
        <f aca="false">IF(F1016&lt;=Inputs!$C$20,1,0)</f>
        <v>1</v>
      </c>
      <c r="O1016" s="19" t="n">
        <f aca="false">IF(J1016&lt;=Inputs!$C$21,1,0)</f>
        <v>1</v>
      </c>
      <c r="P1016" s="19" t="n">
        <f aca="false">IF(D1016&gt;=Inputs!$C$22,1,0)</f>
        <v>0</v>
      </c>
      <c r="Q1016" s="19" t="n">
        <f aca="false">IF(I1016&lt;=Inputs!$C$23,1,0)</f>
        <v>1</v>
      </c>
      <c r="R1016" s="19" t="n">
        <f aca="false">M1016*N1016*O1016*P1016*Q1016</f>
        <v>0</v>
      </c>
      <c r="S1016" s="14" t="n">
        <f aca="false">I1016*R1016</f>
        <v>0</v>
      </c>
      <c r="T1016" s="19" t="n">
        <f aca="false">IF(F1016&gt;72,1,0)</f>
        <v>0</v>
      </c>
      <c r="U1016" s="19" t="n">
        <f aca="false">IF(J1016&gt;1.25,1,0)</f>
        <v>0</v>
      </c>
    </row>
    <row r="1017" customFormat="false" ht="15" hidden="false" customHeight="false" outlineLevel="0" collapsed="false">
      <c r="B1017" s="13" t="s">
        <v>1237</v>
      </c>
      <c r="C1017" s="13" t="s">
        <v>223</v>
      </c>
      <c r="D1017" s="19" t="n">
        <v>614</v>
      </c>
      <c r="E1017" s="23" t="n">
        <v>0.2215</v>
      </c>
      <c r="F1017" s="19" t="n">
        <v>75</v>
      </c>
      <c r="G1017" s="19" t="n">
        <v>1</v>
      </c>
      <c r="H1017" s="14" t="n">
        <v>32650</v>
      </c>
      <c r="I1017" s="14" t="n">
        <v>32445.17</v>
      </c>
      <c r="J1017" s="24" t="n">
        <v>1.03</v>
      </c>
      <c r="K1017" s="19" t="n">
        <v>0</v>
      </c>
      <c r="L1017" s="13" t="str">
        <f aca="false">IF(D1017&gt;=Inputs!$C$14,"Near-prime","Non-prime")</f>
        <v>Non-prime</v>
      </c>
      <c r="M1017" s="19" t="n">
        <f aca="false">IF(K1017&lt;=Inputs!$C$19,1,0)</f>
        <v>1</v>
      </c>
      <c r="N1017" s="19" t="n">
        <f aca="false">IF(F1017&lt;=Inputs!$C$20,1,0)</f>
        <v>1</v>
      </c>
      <c r="O1017" s="19" t="n">
        <f aca="false">IF(J1017&lt;=Inputs!$C$21,1,0)</f>
        <v>1</v>
      </c>
      <c r="P1017" s="19" t="n">
        <f aca="false">IF(D1017&gt;=Inputs!$C$22,1,0)</f>
        <v>1</v>
      </c>
      <c r="Q1017" s="19" t="n">
        <f aca="false">IF(I1017&lt;=Inputs!$C$23,1,0)</f>
        <v>1</v>
      </c>
      <c r="R1017" s="19" t="n">
        <f aca="false">M1017*N1017*O1017*P1017*Q1017</f>
        <v>1</v>
      </c>
      <c r="S1017" s="14" t="n">
        <f aca="false">I1017*R1017</f>
        <v>32445.17</v>
      </c>
      <c r="T1017" s="19" t="n">
        <f aca="false">IF(F1017&gt;72,1,0)</f>
        <v>1</v>
      </c>
      <c r="U1017" s="19" t="n">
        <f aca="false">IF(J1017&gt;1.25,1,0)</f>
        <v>0</v>
      </c>
    </row>
    <row r="1018" customFormat="false" ht="15" hidden="false" customHeight="false" outlineLevel="0" collapsed="false">
      <c r="B1018" s="13" t="s">
        <v>1238</v>
      </c>
      <c r="C1018" s="13" t="s">
        <v>223</v>
      </c>
      <c r="D1018" s="19" t="n">
        <v>674</v>
      </c>
      <c r="E1018" s="23" t="n">
        <v>0.2144</v>
      </c>
      <c r="F1018" s="19" t="n">
        <v>60</v>
      </c>
      <c r="G1018" s="19" t="n">
        <v>3</v>
      </c>
      <c r="H1018" s="14" t="n">
        <v>37600</v>
      </c>
      <c r="I1018" s="14" t="n">
        <v>36516.63</v>
      </c>
      <c r="J1018" s="24" t="n">
        <v>1.371</v>
      </c>
      <c r="K1018" s="19" t="n">
        <v>0</v>
      </c>
      <c r="L1018" s="13" t="str">
        <f aca="false">IF(D1018&gt;=Inputs!$C$14,"Near-prime","Non-prime")</f>
        <v>Near-prime</v>
      </c>
      <c r="M1018" s="19" t="n">
        <f aca="false">IF(K1018&lt;=Inputs!$C$19,1,0)</f>
        <v>1</v>
      </c>
      <c r="N1018" s="19" t="n">
        <f aca="false">IF(F1018&lt;=Inputs!$C$20,1,0)</f>
        <v>1</v>
      </c>
      <c r="O1018" s="19" t="n">
        <f aca="false">IF(J1018&lt;=Inputs!$C$21,1,0)</f>
        <v>1</v>
      </c>
      <c r="P1018" s="19" t="n">
        <f aca="false">IF(D1018&gt;=Inputs!$C$22,1,0)</f>
        <v>1</v>
      </c>
      <c r="Q1018" s="19" t="n">
        <f aca="false">IF(I1018&lt;=Inputs!$C$23,1,0)</f>
        <v>1</v>
      </c>
      <c r="R1018" s="19" t="n">
        <f aca="false">M1018*N1018*O1018*P1018*Q1018</f>
        <v>1</v>
      </c>
      <c r="S1018" s="14" t="n">
        <f aca="false">I1018*R1018</f>
        <v>36516.63</v>
      </c>
      <c r="T1018" s="19" t="n">
        <f aca="false">IF(F1018&gt;72,1,0)</f>
        <v>0</v>
      </c>
      <c r="U1018" s="19" t="n">
        <f aca="false">IF(J1018&gt;1.25,1,0)</f>
        <v>1</v>
      </c>
    </row>
    <row r="1019" customFormat="false" ht="15" hidden="false" customHeight="false" outlineLevel="0" collapsed="false">
      <c r="B1019" s="13" t="s">
        <v>1239</v>
      </c>
      <c r="C1019" s="13" t="s">
        <v>257</v>
      </c>
      <c r="D1019" s="19" t="n">
        <v>683</v>
      </c>
      <c r="E1019" s="23" t="n">
        <v>0.1899</v>
      </c>
      <c r="F1019" s="19" t="n">
        <v>48</v>
      </c>
      <c r="G1019" s="19" t="n">
        <v>7</v>
      </c>
      <c r="H1019" s="14" t="n">
        <v>30580</v>
      </c>
      <c r="I1019" s="14" t="n">
        <v>27421.39</v>
      </c>
      <c r="J1019" s="24" t="n">
        <v>0.845</v>
      </c>
      <c r="K1019" s="19" t="n">
        <v>0</v>
      </c>
      <c r="L1019" s="13" t="str">
        <f aca="false">IF(D1019&gt;=Inputs!$C$14,"Near-prime","Non-prime")</f>
        <v>Near-prime</v>
      </c>
      <c r="M1019" s="19" t="n">
        <f aca="false">IF(K1019&lt;=Inputs!$C$19,1,0)</f>
        <v>1</v>
      </c>
      <c r="N1019" s="19" t="n">
        <f aca="false">IF(F1019&lt;=Inputs!$C$20,1,0)</f>
        <v>1</v>
      </c>
      <c r="O1019" s="19" t="n">
        <f aca="false">IF(J1019&lt;=Inputs!$C$21,1,0)</f>
        <v>1</v>
      </c>
      <c r="P1019" s="19" t="n">
        <f aca="false">IF(D1019&gt;=Inputs!$C$22,1,0)</f>
        <v>1</v>
      </c>
      <c r="Q1019" s="19" t="n">
        <f aca="false">IF(I1019&lt;=Inputs!$C$23,1,0)</f>
        <v>1</v>
      </c>
      <c r="R1019" s="19" t="n">
        <f aca="false">M1019*N1019*O1019*P1019*Q1019</f>
        <v>1</v>
      </c>
      <c r="S1019" s="14" t="n">
        <f aca="false">I1019*R1019</f>
        <v>27421.39</v>
      </c>
      <c r="T1019" s="19" t="n">
        <f aca="false">IF(F1019&gt;72,1,0)</f>
        <v>0</v>
      </c>
      <c r="U1019" s="19" t="n">
        <f aca="false">IF(J1019&gt;1.25,1,0)</f>
        <v>0</v>
      </c>
    </row>
    <row r="1020" customFormat="false" ht="15" hidden="false" customHeight="false" outlineLevel="0" collapsed="false">
      <c r="B1020" s="13" t="s">
        <v>1240</v>
      </c>
      <c r="C1020" s="13" t="s">
        <v>223</v>
      </c>
      <c r="D1020" s="19" t="n">
        <v>721</v>
      </c>
      <c r="E1020" s="23" t="n">
        <v>0.177</v>
      </c>
      <c r="F1020" s="19" t="n">
        <v>66</v>
      </c>
      <c r="G1020" s="19" t="n">
        <v>9</v>
      </c>
      <c r="H1020" s="14" t="n">
        <v>23800</v>
      </c>
      <c r="I1020" s="14" t="n">
        <v>21741.33</v>
      </c>
      <c r="J1020" s="24" t="n">
        <v>0.908</v>
      </c>
      <c r="K1020" s="19" t="n">
        <v>0</v>
      </c>
      <c r="L1020" s="13" t="str">
        <f aca="false">IF(D1020&gt;=Inputs!$C$14,"Near-prime","Non-prime")</f>
        <v>Near-prime</v>
      </c>
      <c r="M1020" s="19" t="n">
        <f aca="false">IF(K1020&lt;=Inputs!$C$19,1,0)</f>
        <v>1</v>
      </c>
      <c r="N1020" s="19" t="n">
        <f aca="false">IF(F1020&lt;=Inputs!$C$20,1,0)</f>
        <v>1</v>
      </c>
      <c r="O1020" s="19" t="n">
        <f aca="false">IF(J1020&lt;=Inputs!$C$21,1,0)</f>
        <v>1</v>
      </c>
      <c r="P1020" s="19" t="n">
        <f aca="false">IF(D1020&gt;=Inputs!$C$22,1,0)</f>
        <v>1</v>
      </c>
      <c r="Q1020" s="19" t="n">
        <f aca="false">IF(I1020&lt;=Inputs!$C$23,1,0)</f>
        <v>1</v>
      </c>
      <c r="R1020" s="19" t="n">
        <f aca="false">M1020*N1020*O1020*P1020*Q1020</f>
        <v>1</v>
      </c>
      <c r="S1020" s="14" t="n">
        <f aca="false">I1020*R1020</f>
        <v>21741.33</v>
      </c>
      <c r="T1020" s="19" t="n">
        <f aca="false">IF(F1020&gt;72,1,0)</f>
        <v>0</v>
      </c>
      <c r="U1020" s="19" t="n">
        <f aca="false">IF(J1020&gt;1.25,1,0)</f>
        <v>0</v>
      </c>
    </row>
    <row r="1021" customFormat="false" ht="15" hidden="false" customHeight="false" outlineLevel="0" collapsed="false">
      <c r="B1021" s="13" t="s">
        <v>1241</v>
      </c>
      <c r="C1021" s="13" t="s">
        <v>252</v>
      </c>
      <c r="D1021" s="19" t="n">
        <v>663</v>
      </c>
      <c r="E1021" s="23" t="n">
        <v>0.1852</v>
      </c>
      <c r="F1021" s="19" t="n">
        <v>72</v>
      </c>
      <c r="G1021" s="19" t="n">
        <v>10</v>
      </c>
      <c r="H1021" s="14" t="n">
        <v>30070</v>
      </c>
      <c r="I1021" s="14" t="n">
        <v>27596.87</v>
      </c>
      <c r="J1021" s="24" t="n">
        <v>1.069</v>
      </c>
      <c r="K1021" s="19" t="n">
        <v>0</v>
      </c>
      <c r="L1021" s="13" t="str">
        <f aca="false">IF(D1021&gt;=Inputs!$C$14,"Near-prime","Non-prime")</f>
        <v>Near-prime</v>
      </c>
      <c r="M1021" s="19" t="n">
        <f aca="false">IF(K1021&lt;=Inputs!$C$19,1,0)</f>
        <v>1</v>
      </c>
      <c r="N1021" s="19" t="n">
        <f aca="false">IF(F1021&lt;=Inputs!$C$20,1,0)</f>
        <v>1</v>
      </c>
      <c r="O1021" s="19" t="n">
        <f aca="false">IF(J1021&lt;=Inputs!$C$21,1,0)</f>
        <v>1</v>
      </c>
      <c r="P1021" s="19" t="n">
        <f aca="false">IF(D1021&gt;=Inputs!$C$22,1,0)</f>
        <v>1</v>
      </c>
      <c r="Q1021" s="19" t="n">
        <f aca="false">IF(I1021&lt;=Inputs!$C$23,1,0)</f>
        <v>1</v>
      </c>
      <c r="R1021" s="19" t="n">
        <f aca="false">M1021*N1021*O1021*P1021*Q1021</f>
        <v>1</v>
      </c>
      <c r="S1021" s="14" t="n">
        <f aca="false">I1021*R1021</f>
        <v>27596.87</v>
      </c>
      <c r="T1021" s="19" t="n">
        <f aca="false">IF(F1021&gt;72,1,0)</f>
        <v>0</v>
      </c>
      <c r="U1021" s="19" t="n">
        <f aca="false">IF(J1021&gt;1.25,1,0)</f>
        <v>0</v>
      </c>
    </row>
    <row r="1022" customFormat="false" ht="15" hidden="false" customHeight="false" outlineLevel="0" collapsed="false">
      <c r="B1022" s="13" t="s">
        <v>1242</v>
      </c>
      <c r="C1022" s="13" t="s">
        <v>252</v>
      </c>
      <c r="D1022" s="19" t="n">
        <v>592</v>
      </c>
      <c r="E1022" s="23" t="n">
        <v>0.2273</v>
      </c>
      <c r="F1022" s="19" t="n">
        <v>84</v>
      </c>
      <c r="G1022" s="19" t="n">
        <v>3</v>
      </c>
      <c r="H1022" s="14" t="n">
        <v>22630</v>
      </c>
      <c r="I1022" s="14" t="n">
        <v>22288.43</v>
      </c>
      <c r="J1022" s="24" t="n">
        <v>1.183</v>
      </c>
      <c r="K1022" s="19" t="n">
        <v>0</v>
      </c>
      <c r="L1022" s="13" t="str">
        <f aca="false">IF(D1022&gt;=Inputs!$C$14,"Near-prime","Non-prime")</f>
        <v>Non-prime</v>
      </c>
      <c r="M1022" s="19" t="n">
        <f aca="false">IF(K1022&lt;=Inputs!$C$19,1,0)</f>
        <v>1</v>
      </c>
      <c r="N1022" s="19" t="n">
        <f aca="false">IF(F1022&lt;=Inputs!$C$20,1,0)</f>
        <v>0</v>
      </c>
      <c r="O1022" s="19" t="n">
        <f aca="false">IF(J1022&lt;=Inputs!$C$21,1,0)</f>
        <v>1</v>
      </c>
      <c r="P1022" s="19" t="n">
        <f aca="false">IF(D1022&gt;=Inputs!$C$22,1,0)</f>
        <v>1</v>
      </c>
      <c r="Q1022" s="19" t="n">
        <f aca="false">IF(I1022&lt;=Inputs!$C$23,1,0)</f>
        <v>1</v>
      </c>
      <c r="R1022" s="19" t="n">
        <f aca="false">M1022*N1022*O1022*P1022*Q1022</f>
        <v>0</v>
      </c>
      <c r="S1022" s="14" t="n">
        <f aca="false">I1022*R1022</f>
        <v>0</v>
      </c>
      <c r="T1022" s="19" t="n">
        <f aca="false">IF(F1022&gt;72,1,0)</f>
        <v>1</v>
      </c>
      <c r="U1022" s="19" t="n">
        <f aca="false">IF(J1022&gt;1.25,1,0)</f>
        <v>0</v>
      </c>
    </row>
    <row r="1023" customFormat="false" ht="15" hidden="false" customHeight="false" outlineLevel="0" collapsed="false">
      <c r="B1023" s="13" t="s">
        <v>1243</v>
      </c>
      <c r="C1023" s="13" t="s">
        <v>217</v>
      </c>
      <c r="D1023" s="19" t="n">
        <v>670</v>
      </c>
      <c r="E1023" s="23" t="n">
        <v>0.1902</v>
      </c>
      <c r="F1023" s="19" t="n">
        <v>66</v>
      </c>
      <c r="G1023" s="19" t="n">
        <v>3</v>
      </c>
      <c r="H1023" s="14" t="n">
        <v>35000</v>
      </c>
      <c r="I1023" s="14" t="n">
        <v>34072.67</v>
      </c>
      <c r="J1023" s="24" t="n">
        <v>0.989</v>
      </c>
      <c r="K1023" s="19" t="n">
        <v>0</v>
      </c>
      <c r="L1023" s="13" t="str">
        <f aca="false">IF(D1023&gt;=Inputs!$C$14,"Near-prime","Non-prime")</f>
        <v>Near-prime</v>
      </c>
      <c r="M1023" s="19" t="n">
        <f aca="false">IF(K1023&lt;=Inputs!$C$19,1,0)</f>
        <v>1</v>
      </c>
      <c r="N1023" s="19" t="n">
        <f aca="false">IF(F1023&lt;=Inputs!$C$20,1,0)</f>
        <v>1</v>
      </c>
      <c r="O1023" s="19" t="n">
        <f aca="false">IF(J1023&lt;=Inputs!$C$21,1,0)</f>
        <v>1</v>
      </c>
      <c r="P1023" s="19" t="n">
        <f aca="false">IF(D1023&gt;=Inputs!$C$22,1,0)</f>
        <v>1</v>
      </c>
      <c r="Q1023" s="19" t="n">
        <f aca="false">IF(I1023&lt;=Inputs!$C$23,1,0)</f>
        <v>1</v>
      </c>
      <c r="R1023" s="19" t="n">
        <f aca="false">M1023*N1023*O1023*P1023*Q1023</f>
        <v>1</v>
      </c>
      <c r="S1023" s="14" t="n">
        <f aca="false">I1023*R1023</f>
        <v>34072.67</v>
      </c>
      <c r="T1023" s="19" t="n">
        <f aca="false">IF(F1023&gt;72,1,0)</f>
        <v>0</v>
      </c>
      <c r="U1023" s="19" t="n">
        <f aca="false">IF(J1023&gt;1.25,1,0)</f>
        <v>0</v>
      </c>
    </row>
    <row r="1024" customFormat="false" ht="15" hidden="false" customHeight="false" outlineLevel="0" collapsed="false">
      <c r="B1024" s="13" t="s">
        <v>1244</v>
      </c>
      <c r="C1024" s="13" t="s">
        <v>219</v>
      </c>
      <c r="D1024" s="19" t="n">
        <v>588</v>
      </c>
      <c r="E1024" s="23" t="n">
        <v>0.2042</v>
      </c>
      <c r="F1024" s="19" t="n">
        <v>60</v>
      </c>
      <c r="G1024" s="19" t="n">
        <v>9</v>
      </c>
      <c r="H1024" s="14" t="n">
        <v>18910</v>
      </c>
      <c r="I1024" s="14" t="n">
        <v>17140.12</v>
      </c>
      <c r="J1024" s="24" t="n">
        <v>1.042</v>
      </c>
      <c r="K1024" s="19" t="n">
        <v>0</v>
      </c>
      <c r="L1024" s="13" t="str">
        <f aca="false">IF(D1024&gt;=Inputs!$C$14,"Near-prime","Non-prime")</f>
        <v>Non-prime</v>
      </c>
      <c r="M1024" s="19" t="n">
        <f aca="false">IF(K1024&lt;=Inputs!$C$19,1,0)</f>
        <v>1</v>
      </c>
      <c r="N1024" s="19" t="n">
        <f aca="false">IF(F1024&lt;=Inputs!$C$20,1,0)</f>
        <v>1</v>
      </c>
      <c r="O1024" s="19" t="n">
        <f aca="false">IF(J1024&lt;=Inputs!$C$21,1,0)</f>
        <v>1</v>
      </c>
      <c r="P1024" s="19" t="n">
        <f aca="false">IF(D1024&gt;=Inputs!$C$22,1,0)</f>
        <v>1</v>
      </c>
      <c r="Q1024" s="19" t="n">
        <f aca="false">IF(I1024&lt;=Inputs!$C$23,1,0)</f>
        <v>1</v>
      </c>
      <c r="R1024" s="19" t="n">
        <f aca="false">M1024*N1024*O1024*P1024*Q1024</f>
        <v>1</v>
      </c>
      <c r="S1024" s="14" t="n">
        <f aca="false">I1024*R1024</f>
        <v>17140.12</v>
      </c>
      <c r="T1024" s="19" t="n">
        <f aca="false">IF(F1024&gt;72,1,0)</f>
        <v>0</v>
      </c>
      <c r="U1024" s="19" t="n">
        <f aca="false">IF(J1024&gt;1.25,1,0)</f>
        <v>0</v>
      </c>
    </row>
    <row r="1025" customFormat="false" ht="15" hidden="false" customHeight="false" outlineLevel="0" collapsed="false">
      <c r="B1025" s="13" t="s">
        <v>1245</v>
      </c>
      <c r="C1025" s="13" t="s">
        <v>228</v>
      </c>
      <c r="D1025" s="19" t="n">
        <v>604</v>
      </c>
      <c r="E1025" s="23" t="n">
        <v>0.229</v>
      </c>
      <c r="F1025" s="19" t="n">
        <v>60</v>
      </c>
      <c r="G1025" s="19" t="n">
        <v>8</v>
      </c>
      <c r="H1025" s="14" t="n">
        <v>45600</v>
      </c>
      <c r="I1025" s="14" t="n">
        <v>42069.54</v>
      </c>
      <c r="J1025" s="24" t="n">
        <v>1.277</v>
      </c>
      <c r="K1025" s="19" t="n">
        <v>0</v>
      </c>
      <c r="L1025" s="13" t="str">
        <f aca="false">IF(D1025&gt;=Inputs!$C$14,"Near-prime","Non-prime")</f>
        <v>Non-prime</v>
      </c>
      <c r="M1025" s="19" t="n">
        <f aca="false">IF(K1025&lt;=Inputs!$C$19,1,0)</f>
        <v>1</v>
      </c>
      <c r="N1025" s="19" t="n">
        <f aca="false">IF(F1025&lt;=Inputs!$C$20,1,0)</f>
        <v>1</v>
      </c>
      <c r="O1025" s="19" t="n">
        <f aca="false">IF(J1025&lt;=Inputs!$C$21,1,0)</f>
        <v>1</v>
      </c>
      <c r="P1025" s="19" t="n">
        <f aca="false">IF(D1025&gt;=Inputs!$C$22,1,0)</f>
        <v>1</v>
      </c>
      <c r="Q1025" s="19" t="n">
        <f aca="false">IF(I1025&lt;=Inputs!$C$23,1,0)</f>
        <v>1</v>
      </c>
      <c r="R1025" s="19" t="n">
        <f aca="false">M1025*N1025*O1025*P1025*Q1025</f>
        <v>1</v>
      </c>
      <c r="S1025" s="14" t="n">
        <f aca="false">I1025*R1025</f>
        <v>42069.54</v>
      </c>
      <c r="T1025" s="19" t="n">
        <f aca="false">IF(F1025&gt;72,1,0)</f>
        <v>0</v>
      </c>
      <c r="U1025" s="19" t="n">
        <f aca="false">IF(J1025&gt;1.25,1,0)</f>
        <v>1</v>
      </c>
    </row>
    <row r="1026" customFormat="false" ht="15" hidden="false" customHeight="false" outlineLevel="0" collapsed="false">
      <c r="B1026" s="13" t="s">
        <v>1246</v>
      </c>
      <c r="C1026" s="13" t="s">
        <v>221</v>
      </c>
      <c r="D1026" s="19" t="n">
        <v>564</v>
      </c>
      <c r="E1026" s="23" t="n">
        <v>0.2366</v>
      </c>
      <c r="F1026" s="19" t="n">
        <v>84</v>
      </c>
      <c r="G1026" s="19" t="n">
        <v>9</v>
      </c>
      <c r="H1026" s="14" t="n">
        <v>31590</v>
      </c>
      <c r="I1026" s="14" t="n">
        <v>30129.64</v>
      </c>
      <c r="J1026" s="24" t="n">
        <v>1.124</v>
      </c>
      <c r="K1026" s="19" t="n">
        <v>0</v>
      </c>
      <c r="L1026" s="13" t="str">
        <f aca="false">IF(D1026&gt;=Inputs!$C$14,"Near-prime","Non-prime")</f>
        <v>Non-prime</v>
      </c>
      <c r="M1026" s="19" t="n">
        <f aca="false">IF(K1026&lt;=Inputs!$C$19,1,0)</f>
        <v>1</v>
      </c>
      <c r="N1026" s="19" t="n">
        <f aca="false">IF(F1026&lt;=Inputs!$C$20,1,0)</f>
        <v>0</v>
      </c>
      <c r="O1026" s="19" t="n">
        <f aca="false">IF(J1026&lt;=Inputs!$C$21,1,0)</f>
        <v>1</v>
      </c>
      <c r="P1026" s="19" t="n">
        <f aca="false">IF(D1026&gt;=Inputs!$C$22,1,0)</f>
        <v>1</v>
      </c>
      <c r="Q1026" s="19" t="n">
        <f aca="false">IF(I1026&lt;=Inputs!$C$23,1,0)</f>
        <v>1</v>
      </c>
      <c r="R1026" s="19" t="n">
        <f aca="false">M1026*N1026*O1026*P1026*Q1026</f>
        <v>0</v>
      </c>
      <c r="S1026" s="14" t="n">
        <f aca="false">I1026*R1026</f>
        <v>0</v>
      </c>
      <c r="T1026" s="19" t="n">
        <f aca="false">IF(F1026&gt;72,1,0)</f>
        <v>1</v>
      </c>
      <c r="U1026" s="19" t="n">
        <f aca="false">IF(J1026&gt;1.25,1,0)</f>
        <v>0</v>
      </c>
    </row>
    <row r="1027" customFormat="false" ht="15" hidden="false" customHeight="false" outlineLevel="0" collapsed="false">
      <c r="B1027" s="13" t="s">
        <v>1247</v>
      </c>
      <c r="C1027" s="13" t="s">
        <v>257</v>
      </c>
      <c r="D1027" s="19" t="n">
        <v>601</v>
      </c>
      <c r="E1027" s="23" t="n">
        <v>0.2117</v>
      </c>
      <c r="F1027" s="19" t="n">
        <v>48</v>
      </c>
      <c r="G1027" s="19" t="n">
        <v>5</v>
      </c>
      <c r="H1027" s="14" t="n">
        <v>22610</v>
      </c>
      <c r="I1027" s="14" t="n">
        <v>21038.91</v>
      </c>
      <c r="J1027" s="24" t="n">
        <v>1.216</v>
      </c>
      <c r="K1027" s="19" t="n">
        <v>0</v>
      </c>
      <c r="L1027" s="13" t="str">
        <f aca="false">IF(D1027&gt;=Inputs!$C$14,"Near-prime","Non-prime")</f>
        <v>Non-prime</v>
      </c>
      <c r="M1027" s="19" t="n">
        <f aca="false">IF(K1027&lt;=Inputs!$C$19,1,0)</f>
        <v>1</v>
      </c>
      <c r="N1027" s="19" t="n">
        <f aca="false">IF(F1027&lt;=Inputs!$C$20,1,0)</f>
        <v>1</v>
      </c>
      <c r="O1027" s="19" t="n">
        <f aca="false">IF(J1027&lt;=Inputs!$C$21,1,0)</f>
        <v>1</v>
      </c>
      <c r="P1027" s="19" t="n">
        <f aca="false">IF(D1027&gt;=Inputs!$C$22,1,0)</f>
        <v>1</v>
      </c>
      <c r="Q1027" s="19" t="n">
        <f aca="false">IF(I1027&lt;=Inputs!$C$23,1,0)</f>
        <v>1</v>
      </c>
      <c r="R1027" s="19" t="n">
        <f aca="false">M1027*N1027*O1027*P1027*Q1027</f>
        <v>1</v>
      </c>
      <c r="S1027" s="14" t="n">
        <f aca="false">I1027*R1027</f>
        <v>21038.91</v>
      </c>
      <c r="T1027" s="19" t="n">
        <f aca="false">IF(F1027&gt;72,1,0)</f>
        <v>0</v>
      </c>
      <c r="U1027" s="19" t="n">
        <f aca="false">IF(J1027&gt;1.25,1,0)</f>
        <v>0</v>
      </c>
    </row>
    <row r="1028" customFormat="false" ht="15" hidden="false" customHeight="false" outlineLevel="0" collapsed="false">
      <c r="B1028" s="13" t="s">
        <v>1248</v>
      </c>
      <c r="C1028" s="13" t="s">
        <v>217</v>
      </c>
      <c r="D1028" s="19" t="n">
        <v>615</v>
      </c>
      <c r="E1028" s="23" t="n">
        <v>0.2095</v>
      </c>
      <c r="F1028" s="19" t="n">
        <v>48</v>
      </c>
      <c r="G1028" s="19" t="n">
        <v>4</v>
      </c>
      <c r="H1028" s="14" t="n">
        <v>35890</v>
      </c>
      <c r="I1028" s="14" t="n">
        <v>33903.47</v>
      </c>
      <c r="J1028" s="24" t="n">
        <v>0.777</v>
      </c>
      <c r="K1028" s="19" t="n">
        <v>0</v>
      </c>
      <c r="L1028" s="13" t="str">
        <f aca="false">IF(D1028&gt;=Inputs!$C$14,"Near-prime","Non-prime")</f>
        <v>Non-prime</v>
      </c>
      <c r="M1028" s="19" t="n">
        <f aca="false">IF(K1028&lt;=Inputs!$C$19,1,0)</f>
        <v>1</v>
      </c>
      <c r="N1028" s="19" t="n">
        <f aca="false">IF(F1028&lt;=Inputs!$C$20,1,0)</f>
        <v>1</v>
      </c>
      <c r="O1028" s="19" t="n">
        <f aca="false">IF(J1028&lt;=Inputs!$C$21,1,0)</f>
        <v>1</v>
      </c>
      <c r="P1028" s="19" t="n">
        <f aca="false">IF(D1028&gt;=Inputs!$C$22,1,0)</f>
        <v>1</v>
      </c>
      <c r="Q1028" s="19" t="n">
        <f aca="false">IF(I1028&lt;=Inputs!$C$23,1,0)</f>
        <v>1</v>
      </c>
      <c r="R1028" s="19" t="n">
        <f aca="false">M1028*N1028*O1028*P1028*Q1028</f>
        <v>1</v>
      </c>
      <c r="S1028" s="14" t="n">
        <f aca="false">I1028*R1028</f>
        <v>33903.47</v>
      </c>
      <c r="T1028" s="19" t="n">
        <f aca="false">IF(F1028&gt;72,1,0)</f>
        <v>0</v>
      </c>
      <c r="U1028" s="19" t="n">
        <f aca="false">IF(J1028&gt;1.25,1,0)</f>
        <v>0</v>
      </c>
    </row>
    <row r="1029" customFormat="false" ht="15" hidden="false" customHeight="false" outlineLevel="0" collapsed="false">
      <c r="B1029" s="13" t="s">
        <v>1249</v>
      </c>
      <c r="C1029" s="13" t="s">
        <v>252</v>
      </c>
      <c r="D1029" s="19" t="n">
        <v>618</v>
      </c>
      <c r="E1029" s="23" t="n">
        <v>0.2114</v>
      </c>
      <c r="F1029" s="19" t="n">
        <v>48</v>
      </c>
      <c r="G1029" s="19" t="n">
        <v>0</v>
      </c>
      <c r="H1029" s="14" t="n">
        <v>34500</v>
      </c>
      <c r="I1029" s="14" t="n">
        <v>34500</v>
      </c>
      <c r="J1029" s="24" t="n">
        <v>0.897</v>
      </c>
      <c r="K1029" s="19" t="n">
        <v>0</v>
      </c>
      <c r="L1029" s="13" t="str">
        <f aca="false">IF(D1029&gt;=Inputs!$C$14,"Near-prime","Non-prime")</f>
        <v>Non-prime</v>
      </c>
      <c r="M1029" s="19" t="n">
        <f aca="false">IF(K1029&lt;=Inputs!$C$19,1,0)</f>
        <v>1</v>
      </c>
      <c r="N1029" s="19" t="n">
        <f aca="false">IF(F1029&lt;=Inputs!$C$20,1,0)</f>
        <v>1</v>
      </c>
      <c r="O1029" s="19" t="n">
        <f aca="false">IF(J1029&lt;=Inputs!$C$21,1,0)</f>
        <v>1</v>
      </c>
      <c r="P1029" s="19" t="n">
        <f aca="false">IF(D1029&gt;=Inputs!$C$22,1,0)</f>
        <v>1</v>
      </c>
      <c r="Q1029" s="19" t="n">
        <f aca="false">IF(I1029&lt;=Inputs!$C$23,1,0)</f>
        <v>1</v>
      </c>
      <c r="R1029" s="19" t="n">
        <f aca="false">M1029*N1029*O1029*P1029*Q1029</f>
        <v>1</v>
      </c>
      <c r="S1029" s="14" t="n">
        <f aca="false">I1029*R1029</f>
        <v>34500</v>
      </c>
      <c r="T1029" s="19" t="n">
        <f aca="false">IF(F1029&gt;72,1,0)</f>
        <v>0</v>
      </c>
      <c r="U1029" s="19" t="n">
        <f aca="false">IF(J1029&gt;1.25,1,0)</f>
        <v>0</v>
      </c>
    </row>
    <row r="1030" customFormat="false" ht="15" hidden="false" customHeight="false" outlineLevel="0" collapsed="false">
      <c r="B1030" s="13" t="s">
        <v>1250</v>
      </c>
      <c r="C1030" s="13" t="s">
        <v>217</v>
      </c>
      <c r="D1030" s="19" t="n">
        <v>740</v>
      </c>
      <c r="E1030" s="23" t="n">
        <v>0.1767</v>
      </c>
      <c r="F1030" s="19" t="n">
        <v>72</v>
      </c>
      <c r="G1030" s="19" t="n">
        <v>4</v>
      </c>
      <c r="H1030" s="14" t="n">
        <v>21280</v>
      </c>
      <c r="I1030" s="14" t="n">
        <v>20592.85</v>
      </c>
      <c r="J1030" s="24" t="n">
        <v>1.172</v>
      </c>
      <c r="K1030" s="19" t="n">
        <v>0</v>
      </c>
      <c r="L1030" s="13" t="str">
        <f aca="false">IF(D1030&gt;=Inputs!$C$14,"Near-prime","Non-prime")</f>
        <v>Near-prime</v>
      </c>
      <c r="M1030" s="19" t="n">
        <f aca="false">IF(K1030&lt;=Inputs!$C$19,1,0)</f>
        <v>1</v>
      </c>
      <c r="N1030" s="19" t="n">
        <f aca="false">IF(F1030&lt;=Inputs!$C$20,1,0)</f>
        <v>1</v>
      </c>
      <c r="O1030" s="19" t="n">
        <f aca="false">IF(J1030&lt;=Inputs!$C$21,1,0)</f>
        <v>1</v>
      </c>
      <c r="P1030" s="19" t="n">
        <f aca="false">IF(D1030&gt;=Inputs!$C$22,1,0)</f>
        <v>1</v>
      </c>
      <c r="Q1030" s="19" t="n">
        <f aca="false">IF(I1030&lt;=Inputs!$C$23,1,0)</f>
        <v>1</v>
      </c>
      <c r="R1030" s="19" t="n">
        <f aca="false">M1030*N1030*O1030*P1030*Q1030</f>
        <v>1</v>
      </c>
      <c r="S1030" s="14" t="n">
        <f aca="false">I1030*R1030</f>
        <v>20592.85</v>
      </c>
      <c r="T1030" s="19" t="n">
        <f aca="false">IF(F1030&gt;72,1,0)</f>
        <v>0</v>
      </c>
      <c r="U1030" s="19" t="n">
        <f aca="false">IF(J1030&gt;1.25,1,0)</f>
        <v>0</v>
      </c>
    </row>
    <row r="1031" customFormat="false" ht="15" hidden="false" customHeight="false" outlineLevel="0" collapsed="false">
      <c r="B1031" s="13" t="s">
        <v>1251</v>
      </c>
      <c r="C1031" s="13" t="s">
        <v>217</v>
      </c>
      <c r="D1031" s="19" t="n">
        <v>653</v>
      </c>
      <c r="E1031" s="23" t="n">
        <v>0.1941</v>
      </c>
      <c r="F1031" s="19" t="n">
        <v>60</v>
      </c>
      <c r="G1031" s="19" t="n">
        <v>0</v>
      </c>
      <c r="H1031" s="14" t="n">
        <v>16260</v>
      </c>
      <c r="I1031" s="14" t="n">
        <v>16260</v>
      </c>
      <c r="J1031" s="24" t="n">
        <v>1.391</v>
      </c>
      <c r="K1031" s="19" t="n">
        <v>0</v>
      </c>
      <c r="L1031" s="13" t="str">
        <f aca="false">IF(D1031&gt;=Inputs!$C$14,"Near-prime","Non-prime")</f>
        <v>Near-prime</v>
      </c>
      <c r="M1031" s="19" t="n">
        <f aca="false">IF(K1031&lt;=Inputs!$C$19,1,0)</f>
        <v>1</v>
      </c>
      <c r="N1031" s="19" t="n">
        <f aca="false">IF(F1031&lt;=Inputs!$C$20,1,0)</f>
        <v>1</v>
      </c>
      <c r="O1031" s="19" t="n">
        <f aca="false">IF(J1031&lt;=Inputs!$C$21,1,0)</f>
        <v>1</v>
      </c>
      <c r="P1031" s="19" t="n">
        <f aca="false">IF(D1031&gt;=Inputs!$C$22,1,0)</f>
        <v>1</v>
      </c>
      <c r="Q1031" s="19" t="n">
        <f aca="false">IF(I1031&lt;=Inputs!$C$23,1,0)</f>
        <v>1</v>
      </c>
      <c r="R1031" s="19" t="n">
        <f aca="false">M1031*N1031*O1031*P1031*Q1031</f>
        <v>1</v>
      </c>
      <c r="S1031" s="14" t="n">
        <f aca="false">I1031*R1031</f>
        <v>16260</v>
      </c>
      <c r="T1031" s="19" t="n">
        <f aca="false">IF(F1031&gt;72,1,0)</f>
        <v>0</v>
      </c>
      <c r="U1031" s="19" t="n">
        <f aca="false">IF(J1031&gt;1.25,1,0)</f>
        <v>1</v>
      </c>
    </row>
    <row r="1032" customFormat="false" ht="15" hidden="false" customHeight="false" outlineLevel="0" collapsed="false">
      <c r="B1032" s="13" t="s">
        <v>1252</v>
      </c>
      <c r="C1032" s="13" t="s">
        <v>219</v>
      </c>
      <c r="D1032" s="19" t="n">
        <v>666</v>
      </c>
      <c r="E1032" s="23" t="n">
        <v>0.2047</v>
      </c>
      <c r="F1032" s="19" t="n">
        <v>72</v>
      </c>
      <c r="G1032" s="19" t="n">
        <v>8</v>
      </c>
      <c r="H1032" s="14" t="n">
        <v>15280</v>
      </c>
      <c r="I1032" s="14" t="n">
        <v>14349.68</v>
      </c>
      <c r="J1032" s="24" t="n">
        <v>1.234</v>
      </c>
      <c r="K1032" s="19" t="n">
        <v>0</v>
      </c>
      <c r="L1032" s="13" t="str">
        <f aca="false">IF(D1032&gt;=Inputs!$C$14,"Near-prime","Non-prime")</f>
        <v>Near-prime</v>
      </c>
      <c r="M1032" s="19" t="n">
        <f aca="false">IF(K1032&lt;=Inputs!$C$19,1,0)</f>
        <v>1</v>
      </c>
      <c r="N1032" s="19" t="n">
        <f aca="false">IF(F1032&lt;=Inputs!$C$20,1,0)</f>
        <v>1</v>
      </c>
      <c r="O1032" s="19" t="n">
        <f aca="false">IF(J1032&lt;=Inputs!$C$21,1,0)</f>
        <v>1</v>
      </c>
      <c r="P1032" s="19" t="n">
        <f aca="false">IF(D1032&gt;=Inputs!$C$22,1,0)</f>
        <v>1</v>
      </c>
      <c r="Q1032" s="19" t="n">
        <f aca="false">IF(I1032&lt;=Inputs!$C$23,1,0)</f>
        <v>1</v>
      </c>
      <c r="R1032" s="19" t="n">
        <f aca="false">M1032*N1032*O1032*P1032*Q1032</f>
        <v>1</v>
      </c>
      <c r="S1032" s="14" t="n">
        <f aca="false">I1032*R1032</f>
        <v>14349.68</v>
      </c>
      <c r="T1032" s="19" t="n">
        <f aca="false">IF(F1032&gt;72,1,0)</f>
        <v>0</v>
      </c>
      <c r="U1032" s="19" t="n">
        <f aca="false">IF(J1032&gt;1.25,1,0)</f>
        <v>0</v>
      </c>
    </row>
    <row r="1033" customFormat="false" ht="15" hidden="false" customHeight="false" outlineLevel="0" collapsed="false">
      <c r="B1033" s="13" t="s">
        <v>1253</v>
      </c>
      <c r="C1033" s="13" t="s">
        <v>217</v>
      </c>
      <c r="D1033" s="19" t="n">
        <v>656</v>
      </c>
      <c r="E1033" s="23" t="n">
        <v>0.2048</v>
      </c>
      <c r="F1033" s="19" t="n">
        <v>72</v>
      </c>
      <c r="G1033" s="19" t="n">
        <v>8</v>
      </c>
      <c r="H1033" s="14" t="n">
        <v>18650</v>
      </c>
      <c r="I1033" s="14" t="n">
        <v>17514.87</v>
      </c>
      <c r="J1033" s="24" t="n">
        <v>1.381</v>
      </c>
      <c r="K1033" s="19" t="n">
        <v>15</v>
      </c>
      <c r="L1033" s="13" t="str">
        <f aca="false">IF(D1033&gt;=Inputs!$C$14,"Near-prime","Non-prime")</f>
        <v>Near-prime</v>
      </c>
      <c r="M1033" s="19" t="n">
        <f aca="false">IF(K1033&lt;=Inputs!$C$19,1,0)</f>
        <v>1</v>
      </c>
      <c r="N1033" s="19" t="n">
        <f aca="false">IF(F1033&lt;=Inputs!$C$20,1,0)</f>
        <v>1</v>
      </c>
      <c r="O1033" s="19" t="n">
        <f aca="false">IF(J1033&lt;=Inputs!$C$21,1,0)</f>
        <v>1</v>
      </c>
      <c r="P1033" s="19" t="n">
        <f aca="false">IF(D1033&gt;=Inputs!$C$22,1,0)</f>
        <v>1</v>
      </c>
      <c r="Q1033" s="19" t="n">
        <f aca="false">IF(I1033&lt;=Inputs!$C$23,1,0)</f>
        <v>1</v>
      </c>
      <c r="R1033" s="19" t="n">
        <f aca="false">M1033*N1033*O1033*P1033*Q1033</f>
        <v>1</v>
      </c>
      <c r="S1033" s="14" t="n">
        <f aca="false">I1033*R1033</f>
        <v>17514.87</v>
      </c>
      <c r="T1033" s="19" t="n">
        <f aca="false">IF(F1033&gt;72,1,0)</f>
        <v>0</v>
      </c>
      <c r="U1033" s="19" t="n">
        <f aca="false">IF(J1033&gt;1.25,1,0)</f>
        <v>1</v>
      </c>
    </row>
    <row r="1034" customFormat="false" ht="15" hidden="false" customHeight="false" outlineLevel="0" collapsed="false">
      <c r="B1034" s="13" t="s">
        <v>1254</v>
      </c>
      <c r="C1034" s="13" t="s">
        <v>233</v>
      </c>
      <c r="D1034" s="19" t="n">
        <v>730</v>
      </c>
      <c r="E1034" s="23" t="n">
        <v>0.1781</v>
      </c>
      <c r="F1034" s="19" t="n">
        <v>72</v>
      </c>
      <c r="G1034" s="19" t="n">
        <v>9</v>
      </c>
      <c r="H1034" s="14" t="n">
        <v>21880</v>
      </c>
      <c r="I1034" s="14" t="n">
        <v>20237.31</v>
      </c>
      <c r="J1034" s="24" t="n">
        <v>1.042</v>
      </c>
      <c r="K1034" s="19" t="n">
        <v>0</v>
      </c>
      <c r="L1034" s="13" t="str">
        <f aca="false">IF(D1034&gt;=Inputs!$C$14,"Near-prime","Non-prime")</f>
        <v>Near-prime</v>
      </c>
      <c r="M1034" s="19" t="n">
        <f aca="false">IF(K1034&lt;=Inputs!$C$19,1,0)</f>
        <v>1</v>
      </c>
      <c r="N1034" s="19" t="n">
        <f aca="false">IF(F1034&lt;=Inputs!$C$20,1,0)</f>
        <v>1</v>
      </c>
      <c r="O1034" s="19" t="n">
        <f aca="false">IF(J1034&lt;=Inputs!$C$21,1,0)</f>
        <v>1</v>
      </c>
      <c r="P1034" s="19" t="n">
        <f aca="false">IF(D1034&gt;=Inputs!$C$22,1,0)</f>
        <v>1</v>
      </c>
      <c r="Q1034" s="19" t="n">
        <f aca="false">IF(I1034&lt;=Inputs!$C$23,1,0)</f>
        <v>1</v>
      </c>
      <c r="R1034" s="19" t="n">
        <f aca="false">M1034*N1034*O1034*P1034*Q1034</f>
        <v>1</v>
      </c>
      <c r="S1034" s="14" t="n">
        <f aca="false">I1034*R1034</f>
        <v>20237.31</v>
      </c>
      <c r="T1034" s="19" t="n">
        <f aca="false">IF(F1034&gt;72,1,0)</f>
        <v>0</v>
      </c>
      <c r="U1034" s="19" t="n">
        <f aca="false">IF(J1034&gt;1.25,1,0)</f>
        <v>0</v>
      </c>
    </row>
    <row r="1035" customFormat="false" ht="15" hidden="false" customHeight="false" outlineLevel="0" collapsed="false">
      <c r="B1035" s="13" t="s">
        <v>1255</v>
      </c>
      <c r="C1035" s="13" t="s">
        <v>237</v>
      </c>
      <c r="D1035" s="19" t="n">
        <v>599</v>
      </c>
      <c r="E1035" s="23" t="n">
        <v>0.229</v>
      </c>
      <c r="F1035" s="19" t="n">
        <v>60</v>
      </c>
      <c r="G1035" s="19" t="n">
        <v>9</v>
      </c>
      <c r="H1035" s="14" t="n">
        <v>22530</v>
      </c>
      <c r="I1035" s="14" t="n">
        <v>20548.5</v>
      </c>
      <c r="J1035" s="24" t="n">
        <v>1.243</v>
      </c>
      <c r="K1035" s="19" t="n">
        <v>75</v>
      </c>
      <c r="L1035" s="13" t="str">
        <f aca="false">IF(D1035&gt;=Inputs!$C$14,"Near-prime","Non-prime")</f>
        <v>Non-prime</v>
      </c>
      <c r="M1035" s="19" t="n">
        <f aca="false">IF(K1035&lt;=Inputs!$C$19,1,0)</f>
        <v>0</v>
      </c>
      <c r="N1035" s="19" t="n">
        <f aca="false">IF(F1035&lt;=Inputs!$C$20,1,0)</f>
        <v>1</v>
      </c>
      <c r="O1035" s="19" t="n">
        <f aca="false">IF(J1035&lt;=Inputs!$C$21,1,0)</f>
        <v>1</v>
      </c>
      <c r="P1035" s="19" t="n">
        <f aca="false">IF(D1035&gt;=Inputs!$C$22,1,0)</f>
        <v>1</v>
      </c>
      <c r="Q1035" s="19" t="n">
        <f aca="false">IF(I1035&lt;=Inputs!$C$23,1,0)</f>
        <v>1</v>
      </c>
      <c r="R1035" s="19" t="n">
        <f aca="false">M1035*N1035*O1035*P1035*Q1035</f>
        <v>0</v>
      </c>
      <c r="S1035" s="14" t="n">
        <f aca="false">I1035*R1035</f>
        <v>0</v>
      </c>
      <c r="T1035" s="19" t="n">
        <f aca="false">IF(F1035&gt;72,1,0)</f>
        <v>0</v>
      </c>
      <c r="U1035" s="19" t="n">
        <f aca="false">IF(J1035&gt;1.25,1,0)</f>
        <v>0</v>
      </c>
    </row>
    <row r="1036" customFormat="false" ht="15" hidden="false" customHeight="false" outlineLevel="0" collapsed="false">
      <c r="B1036" s="13" t="s">
        <v>1256</v>
      </c>
      <c r="C1036" s="13" t="s">
        <v>223</v>
      </c>
      <c r="D1036" s="19" t="n">
        <v>687</v>
      </c>
      <c r="E1036" s="23" t="n">
        <v>0.2226</v>
      </c>
      <c r="F1036" s="19" t="n">
        <v>72</v>
      </c>
      <c r="G1036" s="19" t="n">
        <v>5</v>
      </c>
      <c r="H1036" s="14" t="n">
        <v>53520</v>
      </c>
      <c r="I1036" s="14" t="n">
        <v>51650.79</v>
      </c>
      <c r="J1036" s="24" t="n">
        <v>0.933</v>
      </c>
      <c r="K1036" s="19" t="n">
        <v>0</v>
      </c>
      <c r="L1036" s="13" t="str">
        <f aca="false">IF(D1036&gt;=Inputs!$C$14,"Near-prime","Non-prime")</f>
        <v>Near-prime</v>
      </c>
      <c r="M1036" s="19" t="n">
        <f aca="false">IF(K1036&lt;=Inputs!$C$19,1,0)</f>
        <v>1</v>
      </c>
      <c r="N1036" s="19" t="n">
        <f aca="false">IF(F1036&lt;=Inputs!$C$20,1,0)</f>
        <v>1</v>
      </c>
      <c r="O1036" s="19" t="n">
        <f aca="false">IF(J1036&lt;=Inputs!$C$21,1,0)</f>
        <v>1</v>
      </c>
      <c r="P1036" s="19" t="n">
        <f aca="false">IF(D1036&gt;=Inputs!$C$22,1,0)</f>
        <v>1</v>
      </c>
      <c r="Q1036" s="19" t="n">
        <f aca="false">IF(I1036&lt;=Inputs!$C$23,1,0)</f>
        <v>0</v>
      </c>
      <c r="R1036" s="19" t="n">
        <f aca="false">M1036*N1036*O1036*P1036*Q1036</f>
        <v>0</v>
      </c>
      <c r="S1036" s="14" t="n">
        <f aca="false">I1036*R1036</f>
        <v>0</v>
      </c>
      <c r="T1036" s="19" t="n">
        <f aca="false">IF(F1036&gt;72,1,0)</f>
        <v>0</v>
      </c>
      <c r="U1036" s="19" t="n">
        <f aca="false">IF(J1036&gt;1.25,1,0)</f>
        <v>0</v>
      </c>
    </row>
    <row r="1037" customFormat="false" ht="15" hidden="false" customHeight="false" outlineLevel="0" collapsed="false">
      <c r="B1037" s="13" t="s">
        <v>1257</v>
      </c>
      <c r="C1037" s="13" t="s">
        <v>252</v>
      </c>
      <c r="D1037" s="19" t="n">
        <v>604</v>
      </c>
      <c r="E1037" s="23" t="n">
        <v>0.2049</v>
      </c>
      <c r="F1037" s="19" t="n">
        <v>84</v>
      </c>
      <c r="G1037" s="19" t="n">
        <v>5</v>
      </c>
      <c r="H1037" s="14" t="n">
        <v>23750</v>
      </c>
      <c r="I1037" s="14" t="n">
        <v>23083.13</v>
      </c>
      <c r="J1037" s="24" t="n">
        <v>0.97</v>
      </c>
      <c r="K1037" s="19" t="n">
        <v>0</v>
      </c>
      <c r="L1037" s="13" t="str">
        <f aca="false">IF(D1037&gt;=Inputs!$C$14,"Near-prime","Non-prime")</f>
        <v>Non-prime</v>
      </c>
      <c r="M1037" s="19" t="n">
        <f aca="false">IF(K1037&lt;=Inputs!$C$19,1,0)</f>
        <v>1</v>
      </c>
      <c r="N1037" s="19" t="n">
        <f aca="false">IF(F1037&lt;=Inputs!$C$20,1,0)</f>
        <v>0</v>
      </c>
      <c r="O1037" s="19" t="n">
        <f aca="false">IF(J1037&lt;=Inputs!$C$21,1,0)</f>
        <v>1</v>
      </c>
      <c r="P1037" s="19" t="n">
        <f aca="false">IF(D1037&gt;=Inputs!$C$22,1,0)</f>
        <v>1</v>
      </c>
      <c r="Q1037" s="19" t="n">
        <f aca="false">IF(I1037&lt;=Inputs!$C$23,1,0)</f>
        <v>1</v>
      </c>
      <c r="R1037" s="19" t="n">
        <f aca="false">M1037*N1037*O1037*P1037*Q1037</f>
        <v>0</v>
      </c>
      <c r="S1037" s="14" t="n">
        <f aca="false">I1037*R1037</f>
        <v>0</v>
      </c>
      <c r="T1037" s="19" t="n">
        <f aca="false">IF(F1037&gt;72,1,0)</f>
        <v>1</v>
      </c>
      <c r="U1037" s="19" t="n">
        <f aca="false">IF(J1037&gt;1.25,1,0)</f>
        <v>0</v>
      </c>
    </row>
    <row r="1038" customFormat="false" ht="15" hidden="false" customHeight="false" outlineLevel="0" collapsed="false">
      <c r="B1038" s="13" t="s">
        <v>1258</v>
      </c>
      <c r="C1038" s="13" t="s">
        <v>217</v>
      </c>
      <c r="D1038" s="19" t="n">
        <v>641</v>
      </c>
      <c r="E1038" s="23" t="n">
        <v>0.2049</v>
      </c>
      <c r="F1038" s="19" t="n">
        <v>72</v>
      </c>
      <c r="G1038" s="19" t="n">
        <v>1</v>
      </c>
      <c r="H1038" s="14" t="n">
        <v>25080</v>
      </c>
      <c r="I1038" s="14" t="n">
        <v>24900.36</v>
      </c>
      <c r="J1038" s="24" t="n">
        <v>1.093</v>
      </c>
      <c r="K1038" s="19" t="n">
        <v>0</v>
      </c>
      <c r="L1038" s="13" t="str">
        <f aca="false">IF(D1038&gt;=Inputs!$C$14,"Near-prime","Non-prime")</f>
        <v>Near-prime</v>
      </c>
      <c r="M1038" s="19" t="n">
        <f aca="false">IF(K1038&lt;=Inputs!$C$19,1,0)</f>
        <v>1</v>
      </c>
      <c r="N1038" s="19" t="n">
        <f aca="false">IF(F1038&lt;=Inputs!$C$20,1,0)</f>
        <v>1</v>
      </c>
      <c r="O1038" s="19" t="n">
        <f aca="false">IF(J1038&lt;=Inputs!$C$21,1,0)</f>
        <v>1</v>
      </c>
      <c r="P1038" s="19" t="n">
        <f aca="false">IF(D1038&gt;=Inputs!$C$22,1,0)</f>
        <v>1</v>
      </c>
      <c r="Q1038" s="19" t="n">
        <f aca="false">IF(I1038&lt;=Inputs!$C$23,1,0)</f>
        <v>1</v>
      </c>
      <c r="R1038" s="19" t="n">
        <f aca="false">M1038*N1038*O1038*P1038*Q1038</f>
        <v>1</v>
      </c>
      <c r="S1038" s="14" t="n">
        <f aca="false">I1038*R1038</f>
        <v>24900.36</v>
      </c>
      <c r="T1038" s="19" t="n">
        <f aca="false">IF(F1038&gt;72,1,0)</f>
        <v>0</v>
      </c>
      <c r="U1038" s="19" t="n">
        <f aca="false">IF(J1038&gt;1.25,1,0)</f>
        <v>0</v>
      </c>
    </row>
    <row r="1039" customFormat="false" ht="15" hidden="false" customHeight="false" outlineLevel="0" collapsed="false">
      <c r="B1039" s="13" t="s">
        <v>1259</v>
      </c>
      <c r="C1039" s="13" t="s">
        <v>219</v>
      </c>
      <c r="D1039" s="19" t="n">
        <v>674</v>
      </c>
      <c r="E1039" s="23" t="n">
        <v>0.1745</v>
      </c>
      <c r="F1039" s="19" t="n">
        <v>60</v>
      </c>
      <c r="G1039" s="19" t="n">
        <v>6</v>
      </c>
      <c r="H1039" s="14" t="n">
        <v>19560</v>
      </c>
      <c r="I1039" s="14" t="n">
        <v>18275.53</v>
      </c>
      <c r="J1039" s="24" t="n">
        <v>1.278</v>
      </c>
      <c r="K1039" s="19" t="n">
        <v>0</v>
      </c>
      <c r="L1039" s="13" t="str">
        <f aca="false">IF(D1039&gt;=Inputs!$C$14,"Near-prime","Non-prime")</f>
        <v>Near-prime</v>
      </c>
      <c r="M1039" s="19" t="n">
        <f aca="false">IF(K1039&lt;=Inputs!$C$19,1,0)</f>
        <v>1</v>
      </c>
      <c r="N1039" s="19" t="n">
        <f aca="false">IF(F1039&lt;=Inputs!$C$20,1,0)</f>
        <v>1</v>
      </c>
      <c r="O1039" s="19" t="n">
        <f aca="false">IF(J1039&lt;=Inputs!$C$21,1,0)</f>
        <v>1</v>
      </c>
      <c r="P1039" s="19" t="n">
        <f aca="false">IF(D1039&gt;=Inputs!$C$22,1,0)</f>
        <v>1</v>
      </c>
      <c r="Q1039" s="19" t="n">
        <f aca="false">IF(I1039&lt;=Inputs!$C$23,1,0)</f>
        <v>1</v>
      </c>
      <c r="R1039" s="19" t="n">
        <f aca="false">M1039*N1039*O1039*P1039*Q1039</f>
        <v>1</v>
      </c>
      <c r="S1039" s="14" t="n">
        <f aca="false">I1039*R1039</f>
        <v>18275.53</v>
      </c>
      <c r="T1039" s="19" t="n">
        <f aca="false">IF(F1039&gt;72,1,0)</f>
        <v>0</v>
      </c>
      <c r="U1039" s="19" t="n">
        <f aca="false">IF(J1039&gt;1.25,1,0)</f>
        <v>1</v>
      </c>
    </row>
    <row r="1040" customFormat="false" ht="15" hidden="false" customHeight="false" outlineLevel="0" collapsed="false">
      <c r="B1040" s="13" t="s">
        <v>1260</v>
      </c>
      <c r="C1040" s="13" t="s">
        <v>257</v>
      </c>
      <c r="D1040" s="19" t="n">
        <v>578</v>
      </c>
      <c r="E1040" s="23" t="n">
        <v>0.2345</v>
      </c>
      <c r="F1040" s="19" t="n">
        <v>48</v>
      </c>
      <c r="G1040" s="19" t="n">
        <v>8</v>
      </c>
      <c r="H1040" s="14" t="n">
        <v>39540</v>
      </c>
      <c r="I1040" s="14" t="n">
        <v>35217.7</v>
      </c>
      <c r="J1040" s="24" t="n">
        <v>1.007</v>
      </c>
      <c r="K1040" s="19" t="n">
        <v>0</v>
      </c>
      <c r="L1040" s="13" t="str">
        <f aca="false">IF(D1040&gt;=Inputs!$C$14,"Near-prime","Non-prime")</f>
        <v>Non-prime</v>
      </c>
      <c r="M1040" s="19" t="n">
        <f aca="false">IF(K1040&lt;=Inputs!$C$19,1,0)</f>
        <v>1</v>
      </c>
      <c r="N1040" s="19" t="n">
        <f aca="false">IF(F1040&lt;=Inputs!$C$20,1,0)</f>
        <v>1</v>
      </c>
      <c r="O1040" s="19" t="n">
        <f aca="false">IF(J1040&lt;=Inputs!$C$21,1,0)</f>
        <v>1</v>
      </c>
      <c r="P1040" s="19" t="n">
        <f aca="false">IF(D1040&gt;=Inputs!$C$22,1,0)</f>
        <v>1</v>
      </c>
      <c r="Q1040" s="19" t="n">
        <f aca="false">IF(I1040&lt;=Inputs!$C$23,1,0)</f>
        <v>1</v>
      </c>
      <c r="R1040" s="19" t="n">
        <f aca="false">M1040*N1040*O1040*P1040*Q1040</f>
        <v>1</v>
      </c>
      <c r="S1040" s="14" t="n">
        <f aca="false">I1040*R1040</f>
        <v>35217.7</v>
      </c>
      <c r="T1040" s="19" t="n">
        <f aca="false">IF(F1040&gt;72,1,0)</f>
        <v>0</v>
      </c>
      <c r="U1040" s="19" t="n">
        <f aca="false">IF(J1040&gt;1.25,1,0)</f>
        <v>0</v>
      </c>
    </row>
    <row r="1041" customFormat="false" ht="15" hidden="false" customHeight="false" outlineLevel="0" collapsed="false">
      <c r="B1041" s="13" t="s">
        <v>1261</v>
      </c>
      <c r="C1041" s="13" t="s">
        <v>226</v>
      </c>
      <c r="D1041" s="19" t="n">
        <v>628</v>
      </c>
      <c r="E1041" s="23" t="n">
        <v>0.1942</v>
      </c>
      <c r="F1041" s="19" t="n">
        <v>66</v>
      </c>
      <c r="G1041" s="19" t="n">
        <v>5</v>
      </c>
      <c r="H1041" s="14" t="n">
        <v>14670</v>
      </c>
      <c r="I1041" s="14" t="n">
        <v>14019.58</v>
      </c>
      <c r="J1041" s="24" t="n">
        <v>1.085</v>
      </c>
      <c r="K1041" s="19" t="n">
        <v>0</v>
      </c>
      <c r="L1041" s="13" t="str">
        <f aca="false">IF(D1041&gt;=Inputs!$C$14,"Near-prime","Non-prime")</f>
        <v>Near-prime</v>
      </c>
      <c r="M1041" s="19" t="n">
        <f aca="false">IF(K1041&lt;=Inputs!$C$19,1,0)</f>
        <v>1</v>
      </c>
      <c r="N1041" s="19" t="n">
        <f aca="false">IF(F1041&lt;=Inputs!$C$20,1,0)</f>
        <v>1</v>
      </c>
      <c r="O1041" s="19" t="n">
        <f aca="false">IF(J1041&lt;=Inputs!$C$21,1,0)</f>
        <v>1</v>
      </c>
      <c r="P1041" s="19" t="n">
        <f aca="false">IF(D1041&gt;=Inputs!$C$22,1,0)</f>
        <v>1</v>
      </c>
      <c r="Q1041" s="19" t="n">
        <f aca="false">IF(I1041&lt;=Inputs!$C$23,1,0)</f>
        <v>1</v>
      </c>
      <c r="R1041" s="19" t="n">
        <f aca="false">M1041*N1041*O1041*P1041*Q1041</f>
        <v>1</v>
      </c>
      <c r="S1041" s="14" t="n">
        <f aca="false">I1041*R1041</f>
        <v>14019.58</v>
      </c>
      <c r="T1041" s="19" t="n">
        <f aca="false">IF(F1041&gt;72,1,0)</f>
        <v>0</v>
      </c>
      <c r="U1041" s="19" t="n">
        <f aca="false">IF(J1041&gt;1.25,1,0)</f>
        <v>0</v>
      </c>
    </row>
    <row r="1042" customFormat="false" ht="15" hidden="false" customHeight="false" outlineLevel="0" collapsed="false">
      <c r="B1042" s="13" t="s">
        <v>1262</v>
      </c>
      <c r="C1042" s="13" t="s">
        <v>217</v>
      </c>
      <c r="D1042" s="19" t="n">
        <v>648</v>
      </c>
      <c r="E1042" s="23" t="n">
        <v>0.2064</v>
      </c>
      <c r="F1042" s="19" t="n">
        <v>60</v>
      </c>
      <c r="G1042" s="19" t="n">
        <v>8</v>
      </c>
      <c r="H1042" s="14" t="n">
        <v>26210</v>
      </c>
      <c r="I1042" s="14" t="n">
        <v>24060.22</v>
      </c>
      <c r="J1042" s="24" t="n">
        <v>1.252</v>
      </c>
      <c r="K1042" s="19" t="n">
        <v>0</v>
      </c>
      <c r="L1042" s="13" t="str">
        <f aca="false">IF(D1042&gt;=Inputs!$C$14,"Near-prime","Non-prime")</f>
        <v>Near-prime</v>
      </c>
      <c r="M1042" s="19" t="n">
        <f aca="false">IF(K1042&lt;=Inputs!$C$19,1,0)</f>
        <v>1</v>
      </c>
      <c r="N1042" s="19" t="n">
        <f aca="false">IF(F1042&lt;=Inputs!$C$20,1,0)</f>
        <v>1</v>
      </c>
      <c r="O1042" s="19" t="n">
        <f aca="false">IF(J1042&lt;=Inputs!$C$21,1,0)</f>
        <v>1</v>
      </c>
      <c r="P1042" s="19" t="n">
        <f aca="false">IF(D1042&gt;=Inputs!$C$22,1,0)</f>
        <v>1</v>
      </c>
      <c r="Q1042" s="19" t="n">
        <f aca="false">IF(I1042&lt;=Inputs!$C$23,1,0)</f>
        <v>1</v>
      </c>
      <c r="R1042" s="19" t="n">
        <f aca="false">M1042*N1042*O1042*P1042*Q1042</f>
        <v>1</v>
      </c>
      <c r="S1042" s="14" t="n">
        <f aca="false">I1042*R1042</f>
        <v>24060.22</v>
      </c>
      <c r="T1042" s="19" t="n">
        <f aca="false">IF(F1042&gt;72,1,0)</f>
        <v>0</v>
      </c>
      <c r="U1042" s="19" t="n">
        <f aca="false">IF(J1042&gt;1.25,1,0)</f>
        <v>1</v>
      </c>
    </row>
    <row r="1043" customFormat="false" ht="15" hidden="false" customHeight="false" outlineLevel="0" collapsed="false">
      <c r="B1043" s="13" t="s">
        <v>1263</v>
      </c>
      <c r="C1043" s="13" t="s">
        <v>217</v>
      </c>
      <c r="D1043" s="19" t="n">
        <v>674</v>
      </c>
      <c r="E1043" s="23" t="n">
        <v>0.2079</v>
      </c>
      <c r="F1043" s="19" t="n">
        <v>48</v>
      </c>
      <c r="G1043" s="19" t="n">
        <v>2</v>
      </c>
      <c r="H1043" s="14" t="n">
        <v>23310</v>
      </c>
      <c r="I1043" s="14" t="n">
        <v>22673.87</v>
      </c>
      <c r="J1043" s="24" t="n">
        <v>0.864</v>
      </c>
      <c r="K1043" s="19" t="n">
        <v>0</v>
      </c>
      <c r="L1043" s="13" t="str">
        <f aca="false">IF(D1043&gt;=Inputs!$C$14,"Near-prime","Non-prime")</f>
        <v>Near-prime</v>
      </c>
      <c r="M1043" s="19" t="n">
        <f aca="false">IF(K1043&lt;=Inputs!$C$19,1,0)</f>
        <v>1</v>
      </c>
      <c r="N1043" s="19" t="n">
        <f aca="false">IF(F1043&lt;=Inputs!$C$20,1,0)</f>
        <v>1</v>
      </c>
      <c r="O1043" s="19" t="n">
        <f aca="false">IF(J1043&lt;=Inputs!$C$21,1,0)</f>
        <v>1</v>
      </c>
      <c r="P1043" s="19" t="n">
        <f aca="false">IF(D1043&gt;=Inputs!$C$22,1,0)</f>
        <v>1</v>
      </c>
      <c r="Q1043" s="19" t="n">
        <f aca="false">IF(I1043&lt;=Inputs!$C$23,1,0)</f>
        <v>1</v>
      </c>
      <c r="R1043" s="19" t="n">
        <f aca="false">M1043*N1043*O1043*P1043*Q1043</f>
        <v>1</v>
      </c>
      <c r="S1043" s="14" t="n">
        <f aca="false">I1043*R1043</f>
        <v>22673.87</v>
      </c>
      <c r="T1043" s="19" t="n">
        <f aca="false">IF(F1043&gt;72,1,0)</f>
        <v>0</v>
      </c>
      <c r="U1043" s="19" t="n">
        <f aca="false">IF(J1043&gt;1.25,1,0)</f>
        <v>0</v>
      </c>
    </row>
    <row r="1044" customFormat="false" ht="15" hidden="false" customHeight="false" outlineLevel="0" collapsed="false">
      <c r="B1044" s="13" t="s">
        <v>1264</v>
      </c>
      <c r="C1044" s="13" t="s">
        <v>219</v>
      </c>
      <c r="D1044" s="19" t="n">
        <v>636</v>
      </c>
      <c r="E1044" s="23" t="n">
        <v>0.2186</v>
      </c>
      <c r="F1044" s="19" t="n">
        <v>60</v>
      </c>
      <c r="G1044" s="19" t="n">
        <v>6</v>
      </c>
      <c r="H1044" s="14" t="n">
        <v>23080</v>
      </c>
      <c r="I1044" s="14" t="n">
        <v>21728.75</v>
      </c>
      <c r="J1044" s="24" t="n">
        <v>1.281</v>
      </c>
      <c r="K1044" s="19" t="n">
        <v>0</v>
      </c>
      <c r="L1044" s="13" t="str">
        <f aca="false">IF(D1044&gt;=Inputs!$C$14,"Near-prime","Non-prime")</f>
        <v>Near-prime</v>
      </c>
      <c r="M1044" s="19" t="n">
        <f aca="false">IF(K1044&lt;=Inputs!$C$19,1,0)</f>
        <v>1</v>
      </c>
      <c r="N1044" s="19" t="n">
        <f aca="false">IF(F1044&lt;=Inputs!$C$20,1,0)</f>
        <v>1</v>
      </c>
      <c r="O1044" s="19" t="n">
        <f aca="false">IF(J1044&lt;=Inputs!$C$21,1,0)</f>
        <v>1</v>
      </c>
      <c r="P1044" s="19" t="n">
        <f aca="false">IF(D1044&gt;=Inputs!$C$22,1,0)</f>
        <v>1</v>
      </c>
      <c r="Q1044" s="19" t="n">
        <f aca="false">IF(I1044&lt;=Inputs!$C$23,1,0)</f>
        <v>1</v>
      </c>
      <c r="R1044" s="19" t="n">
        <f aca="false">M1044*N1044*O1044*P1044*Q1044</f>
        <v>1</v>
      </c>
      <c r="S1044" s="14" t="n">
        <f aca="false">I1044*R1044</f>
        <v>21728.75</v>
      </c>
      <c r="T1044" s="19" t="n">
        <f aca="false">IF(F1044&gt;72,1,0)</f>
        <v>0</v>
      </c>
      <c r="U1044" s="19" t="n">
        <f aca="false">IF(J1044&gt;1.25,1,0)</f>
        <v>1</v>
      </c>
    </row>
    <row r="1045" customFormat="false" ht="15" hidden="false" customHeight="false" outlineLevel="0" collapsed="false">
      <c r="B1045" s="13" t="s">
        <v>1265</v>
      </c>
      <c r="C1045" s="13" t="s">
        <v>223</v>
      </c>
      <c r="D1045" s="19" t="n">
        <v>795</v>
      </c>
      <c r="E1045" s="23" t="n">
        <v>0.1597</v>
      </c>
      <c r="F1045" s="19" t="n">
        <v>60</v>
      </c>
      <c r="G1045" s="19" t="n">
        <v>6</v>
      </c>
      <c r="H1045" s="14" t="n">
        <v>24400</v>
      </c>
      <c r="I1045" s="14" t="n">
        <v>22736</v>
      </c>
      <c r="J1045" s="24" t="n">
        <v>1.248</v>
      </c>
      <c r="K1045" s="19" t="n">
        <v>0</v>
      </c>
      <c r="L1045" s="13" t="str">
        <f aca="false">IF(D1045&gt;=Inputs!$C$14,"Near-prime","Non-prime")</f>
        <v>Near-prime</v>
      </c>
      <c r="M1045" s="19" t="n">
        <f aca="false">IF(K1045&lt;=Inputs!$C$19,1,0)</f>
        <v>1</v>
      </c>
      <c r="N1045" s="19" t="n">
        <f aca="false">IF(F1045&lt;=Inputs!$C$20,1,0)</f>
        <v>1</v>
      </c>
      <c r="O1045" s="19" t="n">
        <f aca="false">IF(J1045&lt;=Inputs!$C$21,1,0)</f>
        <v>1</v>
      </c>
      <c r="P1045" s="19" t="n">
        <f aca="false">IF(D1045&gt;=Inputs!$C$22,1,0)</f>
        <v>1</v>
      </c>
      <c r="Q1045" s="19" t="n">
        <f aca="false">IF(I1045&lt;=Inputs!$C$23,1,0)</f>
        <v>1</v>
      </c>
      <c r="R1045" s="19" t="n">
        <f aca="false">M1045*N1045*O1045*P1045*Q1045</f>
        <v>1</v>
      </c>
      <c r="S1045" s="14" t="n">
        <f aca="false">I1045*R1045</f>
        <v>22736</v>
      </c>
      <c r="T1045" s="19" t="n">
        <f aca="false">IF(F1045&gt;72,1,0)</f>
        <v>0</v>
      </c>
      <c r="U1045" s="19" t="n">
        <f aca="false">IF(J1045&gt;1.25,1,0)</f>
        <v>0</v>
      </c>
    </row>
    <row r="1046" customFormat="false" ht="15" hidden="false" customHeight="false" outlineLevel="0" collapsed="false">
      <c r="B1046" s="13" t="s">
        <v>1266</v>
      </c>
      <c r="C1046" s="13" t="s">
        <v>228</v>
      </c>
      <c r="D1046" s="19" t="n">
        <v>746</v>
      </c>
      <c r="E1046" s="23" t="n">
        <v>0.1756</v>
      </c>
      <c r="F1046" s="19" t="n">
        <v>72</v>
      </c>
      <c r="G1046" s="19" t="n">
        <v>7</v>
      </c>
      <c r="H1046" s="14" t="n">
        <v>19750</v>
      </c>
      <c r="I1046" s="14" t="n">
        <v>18604.87</v>
      </c>
      <c r="J1046" s="24" t="n">
        <v>1.099</v>
      </c>
      <c r="K1046" s="19" t="n">
        <v>0</v>
      </c>
      <c r="L1046" s="13" t="str">
        <f aca="false">IF(D1046&gt;=Inputs!$C$14,"Near-prime","Non-prime")</f>
        <v>Near-prime</v>
      </c>
      <c r="M1046" s="19" t="n">
        <f aca="false">IF(K1046&lt;=Inputs!$C$19,1,0)</f>
        <v>1</v>
      </c>
      <c r="N1046" s="19" t="n">
        <f aca="false">IF(F1046&lt;=Inputs!$C$20,1,0)</f>
        <v>1</v>
      </c>
      <c r="O1046" s="19" t="n">
        <f aca="false">IF(J1046&lt;=Inputs!$C$21,1,0)</f>
        <v>1</v>
      </c>
      <c r="P1046" s="19" t="n">
        <f aca="false">IF(D1046&gt;=Inputs!$C$22,1,0)</f>
        <v>1</v>
      </c>
      <c r="Q1046" s="19" t="n">
        <f aca="false">IF(I1046&lt;=Inputs!$C$23,1,0)</f>
        <v>1</v>
      </c>
      <c r="R1046" s="19" t="n">
        <f aca="false">M1046*N1046*O1046*P1046*Q1046</f>
        <v>1</v>
      </c>
      <c r="S1046" s="14" t="n">
        <f aca="false">I1046*R1046</f>
        <v>18604.87</v>
      </c>
      <c r="T1046" s="19" t="n">
        <f aca="false">IF(F1046&gt;72,1,0)</f>
        <v>0</v>
      </c>
      <c r="U1046" s="19" t="n">
        <f aca="false">IF(J1046&gt;1.25,1,0)</f>
        <v>0</v>
      </c>
    </row>
    <row r="1047" customFormat="false" ht="15" hidden="false" customHeight="false" outlineLevel="0" collapsed="false">
      <c r="B1047" s="13" t="s">
        <v>1267</v>
      </c>
      <c r="C1047" s="13" t="s">
        <v>252</v>
      </c>
      <c r="D1047" s="19" t="n">
        <v>533</v>
      </c>
      <c r="E1047" s="23" t="n">
        <v>0.2283</v>
      </c>
      <c r="F1047" s="19" t="n">
        <v>60</v>
      </c>
      <c r="G1047" s="19" t="n">
        <v>4</v>
      </c>
      <c r="H1047" s="14" t="n">
        <v>16560</v>
      </c>
      <c r="I1047" s="14" t="n">
        <v>15941.98</v>
      </c>
      <c r="J1047" s="24" t="n">
        <v>1.402</v>
      </c>
      <c r="K1047" s="19" t="n">
        <v>0</v>
      </c>
      <c r="L1047" s="13" t="str">
        <f aca="false">IF(D1047&gt;=Inputs!$C$14,"Near-prime","Non-prime")</f>
        <v>Non-prime</v>
      </c>
      <c r="M1047" s="19" t="n">
        <f aca="false">IF(K1047&lt;=Inputs!$C$19,1,0)</f>
        <v>1</v>
      </c>
      <c r="N1047" s="19" t="n">
        <f aca="false">IF(F1047&lt;=Inputs!$C$20,1,0)</f>
        <v>1</v>
      </c>
      <c r="O1047" s="19" t="n">
        <f aca="false">IF(J1047&lt;=Inputs!$C$21,1,0)</f>
        <v>1</v>
      </c>
      <c r="P1047" s="19" t="n">
        <f aca="false">IF(D1047&gt;=Inputs!$C$22,1,0)</f>
        <v>0</v>
      </c>
      <c r="Q1047" s="19" t="n">
        <f aca="false">IF(I1047&lt;=Inputs!$C$23,1,0)</f>
        <v>1</v>
      </c>
      <c r="R1047" s="19" t="n">
        <f aca="false">M1047*N1047*O1047*P1047*Q1047</f>
        <v>0</v>
      </c>
      <c r="S1047" s="14" t="n">
        <f aca="false">I1047*R1047</f>
        <v>0</v>
      </c>
      <c r="T1047" s="19" t="n">
        <f aca="false">IF(F1047&gt;72,1,0)</f>
        <v>0</v>
      </c>
      <c r="U1047" s="19" t="n">
        <f aca="false">IF(J1047&gt;1.25,1,0)</f>
        <v>1</v>
      </c>
    </row>
    <row r="1048" customFormat="false" ht="15" hidden="false" customHeight="false" outlineLevel="0" collapsed="false">
      <c r="B1048" s="13" t="s">
        <v>1268</v>
      </c>
      <c r="C1048" s="13" t="s">
        <v>252</v>
      </c>
      <c r="D1048" s="19" t="n">
        <v>654</v>
      </c>
      <c r="E1048" s="23" t="n">
        <v>0.1854</v>
      </c>
      <c r="F1048" s="19" t="n">
        <v>60</v>
      </c>
      <c r="G1048" s="19" t="n">
        <v>6</v>
      </c>
      <c r="H1048" s="14" t="n">
        <v>34520</v>
      </c>
      <c r="I1048" s="14" t="n">
        <v>32315.87</v>
      </c>
      <c r="J1048" s="24" t="n">
        <v>0.922</v>
      </c>
      <c r="K1048" s="19" t="n">
        <v>0</v>
      </c>
      <c r="L1048" s="13" t="str">
        <f aca="false">IF(D1048&gt;=Inputs!$C$14,"Near-prime","Non-prime")</f>
        <v>Near-prime</v>
      </c>
      <c r="M1048" s="19" t="n">
        <f aca="false">IF(K1048&lt;=Inputs!$C$19,1,0)</f>
        <v>1</v>
      </c>
      <c r="N1048" s="19" t="n">
        <f aca="false">IF(F1048&lt;=Inputs!$C$20,1,0)</f>
        <v>1</v>
      </c>
      <c r="O1048" s="19" t="n">
        <f aca="false">IF(J1048&lt;=Inputs!$C$21,1,0)</f>
        <v>1</v>
      </c>
      <c r="P1048" s="19" t="n">
        <f aca="false">IF(D1048&gt;=Inputs!$C$22,1,0)</f>
        <v>1</v>
      </c>
      <c r="Q1048" s="19" t="n">
        <f aca="false">IF(I1048&lt;=Inputs!$C$23,1,0)</f>
        <v>1</v>
      </c>
      <c r="R1048" s="19" t="n">
        <f aca="false">M1048*N1048*O1048*P1048*Q1048</f>
        <v>1</v>
      </c>
      <c r="S1048" s="14" t="n">
        <f aca="false">I1048*R1048</f>
        <v>32315.87</v>
      </c>
      <c r="T1048" s="19" t="n">
        <f aca="false">IF(F1048&gt;72,1,0)</f>
        <v>0</v>
      </c>
      <c r="U1048" s="19" t="n">
        <f aca="false">IF(J1048&gt;1.25,1,0)</f>
        <v>0</v>
      </c>
    </row>
    <row r="1049" customFormat="false" ht="15" hidden="false" customHeight="false" outlineLevel="0" collapsed="false">
      <c r="B1049" s="13" t="s">
        <v>1269</v>
      </c>
      <c r="C1049" s="13" t="s">
        <v>237</v>
      </c>
      <c r="D1049" s="19" t="n">
        <v>677</v>
      </c>
      <c r="E1049" s="23" t="n">
        <v>0.1916</v>
      </c>
      <c r="F1049" s="19" t="n">
        <v>60</v>
      </c>
      <c r="G1049" s="19" t="n">
        <v>1</v>
      </c>
      <c r="H1049" s="14" t="n">
        <v>38600</v>
      </c>
      <c r="I1049" s="14" t="n">
        <v>38211.61</v>
      </c>
      <c r="J1049" s="24" t="n">
        <v>1.095</v>
      </c>
      <c r="K1049" s="19" t="n">
        <v>0</v>
      </c>
      <c r="L1049" s="13" t="str">
        <f aca="false">IF(D1049&gt;=Inputs!$C$14,"Near-prime","Non-prime")</f>
        <v>Near-prime</v>
      </c>
      <c r="M1049" s="19" t="n">
        <f aca="false">IF(K1049&lt;=Inputs!$C$19,1,0)</f>
        <v>1</v>
      </c>
      <c r="N1049" s="19" t="n">
        <f aca="false">IF(F1049&lt;=Inputs!$C$20,1,0)</f>
        <v>1</v>
      </c>
      <c r="O1049" s="19" t="n">
        <f aca="false">IF(J1049&lt;=Inputs!$C$21,1,0)</f>
        <v>1</v>
      </c>
      <c r="P1049" s="19" t="n">
        <f aca="false">IF(D1049&gt;=Inputs!$C$22,1,0)</f>
        <v>1</v>
      </c>
      <c r="Q1049" s="19" t="n">
        <f aca="false">IF(I1049&lt;=Inputs!$C$23,1,0)</f>
        <v>1</v>
      </c>
      <c r="R1049" s="19" t="n">
        <f aca="false">M1049*N1049*O1049*P1049*Q1049</f>
        <v>1</v>
      </c>
      <c r="S1049" s="14" t="n">
        <f aca="false">I1049*R1049</f>
        <v>38211.61</v>
      </c>
      <c r="T1049" s="19" t="n">
        <f aca="false">IF(F1049&gt;72,1,0)</f>
        <v>0</v>
      </c>
      <c r="U1049" s="19" t="n">
        <f aca="false">IF(J1049&gt;1.25,1,0)</f>
        <v>0</v>
      </c>
    </row>
    <row r="1050" customFormat="false" ht="15" hidden="false" customHeight="false" outlineLevel="0" collapsed="false">
      <c r="B1050" s="13" t="s">
        <v>1270</v>
      </c>
      <c r="C1050" s="13" t="s">
        <v>257</v>
      </c>
      <c r="D1050" s="19" t="n">
        <v>666</v>
      </c>
      <c r="E1050" s="23" t="n">
        <v>0.2091</v>
      </c>
      <c r="F1050" s="19" t="n">
        <v>72</v>
      </c>
      <c r="G1050" s="19" t="n">
        <v>5</v>
      </c>
      <c r="H1050" s="14" t="n">
        <v>30340</v>
      </c>
      <c r="I1050" s="14" t="n">
        <v>29231.3</v>
      </c>
      <c r="J1050" s="24" t="n">
        <v>1.231</v>
      </c>
      <c r="K1050" s="19" t="n">
        <v>0</v>
      </c>
      <c r="L1050" s="13" t="str">
        <f aca="false">IF(D1050&gt;=Inputs!$C$14,"Near-prime","Non-prime")</f>
        <v>Near-prime</v>
      </c>
      <c r="M1050" s="19" t="n">
        <f aca="false">IF(K1050&lt;=Inputs!$C$19,1,0)</f>
        <v>1</v>
      </c>
      <c r="N1050" s="19" t="n">
        <f aca="false">IF(F1050&lt;=Inputs!$C$20,1,0)</f>
        <v>1</v>
      </c>
      <c r="O1050" s="19" t="n">
        <f aca="false">IF(J1050&lt;=Inputs!$C$21,1,0)</f>
        <v>1</v>
      </c>
      <c r="P1050" s="19" t="n">
        <f aca="false">IF(D1050&gt;=Inputs!$C$22,1,0)</f>
        <v>1</v>
      </c>
      <c r="Q1050" s="19" t="n">
        <f aca="false">IF(I1050&lt;=Inputs!$C$23,1,0)</f>
        <v>1</v>
      </c>
      <c r="R1050" s="19" t="n">
        <f aca="false">M1050*N1050*O1050*P1050*Q1050</f>
        <v>1</v>
      </c>
      <c r="S1050" s="14" t="n">
        <f aca="false">I1050*R1050</f>
        <v>29231.3</v>
      </c>
      <c r="T1050" s="19" t="n">
        <f aca="false">IF(F1050&gt;72,1,0)</f>
        <v>0</v>
      </c>
      <c r="U1050" s="19" t="n">
        <f aca="false">IF(J1050&gt;1.25,1,0)</f>
        <v>0</v>
      </c>
    </row>
    <row r="1051" customFormat="false" ht="15" hidden="false" customHeight="false" outlineLevel="0" collapsed="false">
      <c r="B1051" s="13" t="s">
        <v>1271</v>
      </c>
      <c r="C1051" s="13" t="s">
        <v>221</v>
      </c>
      <c r="D1051" s="19" t="n">
        <v>720</v>
      </c>
      <c r="E1051" s="23" t="n">
        <v>0.2024</v>
      </c>
      <c r="F1051" s="19" t="n">
        <v>60</v>
      </c>
      <c r="G1051" s="19" t="n">
        <v>4</v>
      </c>
      <c r="H1051" s="14" t="n">
        <v>37290</v>
      </c>
      <c r="I1051" s="14" t="n">
        <v>35796.81</v>
      </c>
      <c r="J1051" s="24" t="n">
        <v>1.134</v>
      </c>
      <c r="K1051" s="19" t="n">
        <v>15</v>
      </c>
      <c r="L1051" s="13" t="str">
        <f aca="false">IF(D1051&gt;=Inputs!$C$14,"Near-prime","Non-prime")</f>
        <v>Near-prime</v>
      </c>
      <c r="M1051" s="19" t="n">
        <f aca="false">IF(K1051&lt;=Inputs!$C$19,1,0)</f>
        <v>1</v>
      </c>
      <c r="N1051" s="19" t="n">
        <f aca="false">IF(F1051&lt;=Inputs!$C$20,1,0)</f>
        <v>1</v>
      </c>
      <c r="O1051" s="19" t="n">
        <f aca="false">IF(J1051&lt;=Inputs!$C$21,1,0)</f>
        <v>1</v>
      </c>
      <c r="P1051" s="19" t="n">
        <f aca="false">IF(D1051&gt;=Inputs!$C$22,1,0)</f>
        <v>1</v>
      </c>
      <c r="Q1051" s="19" t="n">
        <f aca="false">IF(I1051&lt;=Inputs!$C$23,1,0)</f>
        <v>1</v>
      </c>
      <c r="R1051" s="19" t="n">
        <f aca="false">M1051*N1051*O1051*P1051*Q1051</f>
        <v>1</v>
      </c>
      <c r="S1051" s="14" t="n">
        <f aca="false">I1051*R1051</f>
        <v>35796.81</v>
      </c>
      <c r="T1051" s="19" t="n">
        <f aca="false">IF(F1051&gt;72,1,0)</f>
        <v>0</v>
      </c>
      <c r="U1051" s="19" t="n">
        <f aca="false">IF(J1051&gt;1.25,1,0)</f>
        <v>0</v>
      </c>
    </row>
    <row r="1052" customFormat="false" ht="15" hidden="false" customHeight="false" outlineLevel="0" collapsed="false">
      <c r="B1052" s="13" t="s">
        <v>1272</v>
      </c>
      <c r="C1052" s="13" t="s">
        <v>252</v>
      </c>
      <c r="D1052" s="19" t="n">
        <v>520</v>
      </c>
      <c r="E1052" s="23" t="n">
        <v>0.2189</v>
      </c>
      <c r="F1052" s="19" t="n">
        <v>60</v>
      </c>
      <c r="G1052" s="19" t="n">
        <v>5</v>
      </c>
      <c r="H1052" s="14" t="n">
        <v>25570</v>
      </c>
      <c r="I1052" s="14" t="n">
        <v>24334.86</v>
      </c>
      <c r="J1052" s="24" t="n">
        <v>0.891</v>
      </c>
      <c r="K1052" s="19" t="n">
        <v>0</v>
      </c>
      <c r="L1052" s="13" t="str">
        <f aca="false">IF(D1052&gt;=Inputs!$C$14,"Near-prime","Non-prime")</f>
        <v>Non-prime</v>
      </c>
      <c r="M1052" s="19" t="n">
        <f aca="false">IF(K1052&lt;=Inputs!$C$19,1,0)</f>
        <v>1</v>
      </c>
      <c r="N1052" s="19" t="n">
        <f aca="false">IF(F1052&lt;=Inputs!$C$20,1,0)</f>
        <v>1</v>
      </c>
      <c r="O1052" s="19" t="n">
        <f aca="false">IF(J1052&lt;=Inputs!$C$21,1,0)</f>
        <v>1</v>
      </c>
      <c r="P1052" s="19" t="n">
        <f aca="false">IF(D1052&gt;=Inputs!$C$22,1,0)</f>
        <v>0</v>
      </c>
      <c r="Q1052" s="19" t="n">
        <f aca="false">IF(I1052&lt;=Inputs!$C$23,1,0)</f>
        <v>1</v>
      </c>
      <c r="R1052" s="19" t="n">
        <f aca="false">M1052*N1052*O1052*P1052*Q1052</f>
        <v>0</v>
      </c>
      <c r="S1052" s="14" t="n">
        <f aca="false">I1052*R1052</f>
        <v>0</v>
      </c>
      <c r="T1052" s="19" t="n">
        <f aca="false">IF(F1052&gt;72,1,0)</f>
        <v>0</v>
      </c>
      <c r="U1052" s="19" t="n">
        <f aca="false">IF(J1052&gt;1.25,1,0)</f>
        <v>0</v>
      </c>
    </row>
    <row r="1053" customFormat="false" ht="15" hidden="false" customHeight="false" outlineLevel="0" collapsed="false">
      <c r="B1053" s="13" t="s">
        <v>1273</v>
      </c>
      <c r="C1053" s="13" t="s">
        <v>217</v>
      </c>
      <c r="D1053" s="19" t="n">
        <v>592</v>
      </c>
      <c r="E1053" s="23" t="n">
        <v>0.2075</v>
      </c>
      <c r="F1053" s="19" t="n">
        <v>72</v>
      </c>
      <c r="G1053" s="19" t="n">
        <v>6</v>
      </c>
      <c r="H1053" s="14" t="n">
        <v>10950</v>
      </c>
      <c r="I1053" s="14" t="n">
        <v>10463.04</v>
      </c>
      <c r="J1053" s="24" t="n">
        <v>0.989</v>
      </c>
      <c r="K1053" s="19" t="n">
        <v>0</v>
      </c>
      <c r="L1053" s="13" t="str">
        <f aca="false">IF(D1053&gt;=Inputs!$C$14,"Near-prime","Non-prime")</f>
        <v>Non-prime</v>
      </c>
      <c r="M1053" s="19" t="n">
        <f aca="false">IF(K1053&lt;=Inputs!$C$19,1,0)</f>
        <v>1</v>
      </c>
      <c r="N1053" s="19" t="n">
        <f aca="false">IF(F1053&lt;=Inputs!$C$20,1,0)</f>
        <v>1</v>
      </c>
      <c r="O1053" s="19" t="n">
        <f aca="false">IF(J1053&lt;=Inputs!$C$21,1,0)</f>
        <v>1</v>
      </c>
      <c r="P1053" s="19" t="n">
        <f aca="false">IF(D1053&gt;=Inputs!$C$22,1,0)</f>
        <v>1</v>
      </c>
      <c r="Q1053" s="19" t="n">
        <f aca="false">IF(I1053&lt;=Inputs!$C$23,1,0)</f>
        <v>1</v>
      </c>
      <c r="R1053" s="19" t="n">
        <f aca="false">M1053*N1053*O1053*P1053*Q1053</f>
        <v>1</v>
      </c>
      <c r="S1053" s="14" t="n">
        <f aca="false">I1053*R1053</f>
        <v>10463.04</v>
      </c>
      <c r="T1053" s="19" t="n">
        <f aca="false">IF(F1053&gt;72,1,0)</f>
        <v>0</v>
      </c>
      <c r="U1053" s="19" t="n">
        <f aca="false">IF(J1053&gt;1.25,1,0)</f>
        <v>0</v>
      </c>
    </row>
    <row r="1054" customFormat="false" ht="15" hidden="false" customHeight="false" outlineLevel="0" collapsed="false">
      <c r="B1054" s="13" t="s">
        <v>1274</v>
      </c>
      <c r="C1054" s="13" t="s">
        <v>228</v>
      </c>
      <c r="D1054" s="19" t="n">
        <v>728</v>
      </c>
      <c r="E1054" s="23" t="n">
        <v>0.1794</v>
      </c>
      <c r="F1054" s="19" t="n">
        <v>72</v>
      </c>
      <c r="G1054" s="19" t="n">
        <v>5</v>
      </c>
      <c r="H1054" s="14" t="n">
        <v>16890</v>
      </c>
      <c r="I1054" s="14" t="n">
        <v>16209.22</v>
      </c>
      <c r="J1054" s="24" t="n">
        <v>0.85</v>
      </c>
      <c r="K1054" s="19" t="n">
        <v>0</v>
      </c>
      <c r="L1054" s="13" t="str">
        <f aca="false">IF(D1054&gt;=Inputs!$C$14,"Near-prime","Non-prime")</f>
        <v>Near-prime</v>
      </c>
      <c r="M1054" s="19" t="n">
        <f aca="false">IF(K1054&lt;=Inputs!$C$19,1,0)</f>
        <v>1</v>
      </c>
      <c r="N1054" s="19" t="n">
        <f aca="false">IF(F1054&lt;=Inputs!$C$20,1,0)</f>
        <v>1</v>
      </c>
      <c r="O1054" s="19" t="n">
        <f aca="false">IF(J1054&lt;=Inputs!$C$21,1,0)</f>
        <v>1</v>
      </c>
      <c r="P1054" s="19" t="n">
        <f aca="false">IF(D1054&gt;=Inputs!$C$22,1,0)</f>
        <v>1</v>
      </c>
      <c r="Q1054" s="19" t="n">
        <f aca="false">IF(I1054&lt;=Inputs!$C$23,1,0)</f>
        <v>1</v>
      </c>
      <c r="R1054" s="19" t="n">
        <f aca="false">M1054*N1054*O1054*P1054*Q1054</f>
        <v>1</v>
      </c>
      <c r="S1054" s="14" t="n">
        <f aca="false">I1054*R1054</f>
        <v>16209.22</v>
      </c>
      <c r="T1054" s="19" t="n">
        <f aca="false">IF(F1054&gt;72,1,0)</f>
        <v>0</v>
      </c>
      <c r="U1054" s="19" t="n">
        <f aca="false">IF(J1054&gt;1.25,1,0)</f>
        <v>0</v>
      </c>
    </row>
    <row r="1055" customFormat="false" ht="15" hidden="false" customHeight="false" outlineLevel="0" collapsed="false">
      <c r="B1055" s="13" t="s">
        <v>1275</v>
      </c>
      <c r="C1055" s="13" t="s">
        <v>228</v>
      </c>
      <c r="D1055" s="19" t="n">
        <v>711</v>
      </c>
      <c r="E1055" s="23" t="n">
        <v>0.2078</v>
      </c>
      <c r="F1055" s="19" t="n">
        <v>60</v>
      </c>
      <c r="G1055" s="19" t="n">
        <v>0</v>
      </c>
      <c r="H1055" s="14" t="n">
        <v>28520</v>
      </c>
      <c r="I1055" s="14" t="n">
        <v>28520</v>
      </c>
      <c r="J1055" s="24" t="n">
        <v>1.243</v>
      </c>
      <c r="K1055" s="19" t="n">
        <v>0</v>
      </c>
      <c r="L1055" s="13" t="str">
        <f aca="false">IF(D1055&gt;=Inputs!$C$14,"Near-prime","Non-prime")</f>
        <v>Near-prime</v>
      </c>
      <c r="M1055" s="19" t="n">
        <f aca="false">IF(K1055&lt;=Inputs!$C$19,1,0)</f>
        <v>1</v>
      </c>
      <c r="N1055" s="19" t="n">
        <f aca="false">IF(F1055&lt;=Inputs!$C$20,1,0)</f>
        <v>1</v>
      </c>
      <c r="O1055" s="19" t="n">
        <f aca="false">IF(J1055&lt;=Inputs!$C$21,1,0)</f>
        <v>1</v>
      </c>
      <c r="P1055" s="19" t="n">
        <f aca="false">IF(D1055&gt;=Inputs!$C$22,1,0)</f>
        <v>1</v>
      </c>
      <c r="Q1055" s="19" t="n">
        <f aca="false">IF(I1055&lt;=Inputs!$C$23,1,0)</f>
        <v>1</v>
      </c>
      <c r="R1055" s="19" t="n">
        <f aca="false">M1055*N1055*O1055*P1055*Q1055</f>
        <v>1</v>
      </c>
      <c r="S1055" s="14" t="n">
        <f aca="false">I1055*R1055</f>
        <v>28520</v>
      </c>
      <c r="T1055" s="19" t="n">
        <f aca="false">IF(F1055&gt;72,1,0)</f>
        <v>0</v>
      </c>
      <c r="U1055" s="19" t="n">
        <f aca="false">IF(J1055&gt;1.25,1,0)</f>
        <v>0</v>
      </c>
    </row>
    <row r="1056" customFormat="false" ht="15" hidden="false" customHeight="false" outlineLevel="0" collapsed="false">
      <c r="B1056" s="13" t="s">
        <v>1276</v>
      </c>
      <c r="C1056" s="13" t="s">
        <v>217</v>
      </c>
      <c r="D1056" s="19" t="n">
        <v>767</v>
      </c>
      <c r="E1056" s="23" t="n">
        <v>0.1725</v>
      </c>
      <c r="F1056" s="19" t="n">
        <v>60</v>
      </c>
      <c r="G1056" s="19" t="n">
        <v>2</v>
      </c>
      <c r="H1056" s="14" t="n">
        <v>10660</v>
      </c>
      <c r="I1056" s="14" t="n">
        <v>10432.12</v>
      </c>
      <c r="J1056" s="24" t="n">
        <v>1.265</v>
      </c>
      <c r="K1056" s="19" t="n">
        <v>0</v>
      </c>
      <c r="L1056" s="13" t="str">
        <f aca="false">IF(D1056&gt;=Inputs!$C$14,"Near-prime","Non-prime")</f>
        <v>Near-prime</v>
      </c>
      <c r="M1056" s="19" t="n">
        <f aca="false">IF(K1056&lt;=Inputs!$C$19,1,0)</f>
        <v>1</v>
      </c>
      <c r="N1056" s="19" t="n">
        <f aca="false">IF(F1056&lt;=Inputs!$C$20,1,0)</f>
        <v>1</v>
      </c>
      <c r="O1056" s="19" t="n">
        <f aca="false">IF(J1056&lt;=Inputs!$C$21,1,0)</f>
        <v>1</v>
      </c>
      <c r="P1056" s="19" t="n">
        <f aca="false">IF(D1056&gt;=Inputs!$C$22,1,0)</f>
        <v>1</v>
      </c>
      <c r="Q1056" s="19" t="n">
        <f aca="false">IF(I1056&lt;=Inputs!$C$23,1,0)</f>
        <v>1</v>
      </c>
      <c r="R1056" s="19" t="n">
        <f aca="false">M1056*N1056*O1056*P1056*Q1056</f>
        <v>1</v>
      </c>
      <c r="S1056" s="14" t="n">
        <f aca="false">I1056*R1056</f>
        <v>10432.12</v>
      </c>
      <c r="T1056" s="19" t="n">
        <f aca="false">IF(F1056&gt;72,1,0)</f>
        <v>0</v>
      </c>
      <c r="U1056" s="19" t="n">
        <f aca="false">IF(J1056&gt;1.25,1,0)</f>
        <v>1</v>
      </c>
    </row>
    <row r="1057" customFormat="false" ht="15" hidden="false" customHeight="false" outlineLevel="0" collapsed="false">
      <c r="B1057" s="13" t="s">
        <v>1277</v>
      </c>
      <c r="C1057" s="13" t="s">
        <v>223</v>
      </c>
      <c r="D1057" s="19" t="n">
        <v>734</v>
      </c>
      <c r="E1057" s="23" t="n">
        <v>0.1886</v>
      </c>
      <c r="F1057" s="19" t="n">
        <v>75</v>
      </c>
      <c r="G1057" s="19" t="n">
        <v>10</v>
      </c>
      <c r="H1057" s="14" t="n">
        <v>25240</v>
      </c>
      <c r="I1057" s="14" t="n">
        <v>23321.85</v>
      </c>
      <c r="J1057" s="24" t="n">
        <v>0.91</v>
      </c>
      <c r="K1057" s="19" t="n">
        <v>15</v>
      </c>
      <c r="L1057" s="13" t="str">
        <f aca="false">IF(D1057&gt;=Inputs!$C$14,"Near-prime","Non-prime")</f>
        <v>Near-prime</v>
      </c>
      <c r="M1057" s="19" t="n">
        <f aca="false">IF(K1057&lt;=Inputs!$C$19,1,0)</f>
        <v>1</v>
      </c>
      <c r="N1057" s="19" t="n">
        <f aca="false">IF(F1057&lt;=Inputs!$C$20,1,0)</f>
        <v>1</v>
      </c>
      <c r="O1057" s="19" t="n">
        <f aca="false">IF(J1057&lt;=Inputs!$C$21,1,0)</f>
        <v>1</v>
      </c>
      <c r="P1057" s="19" t="n">
        <f aca="false">IF(D1057&gt;=Inputs!$C$22,1,0)</f>
        <v>1</v>
      </c>
      <c r="Q1057" s="19" t="n">
        <f aca="false">IF(I1057&lt;=Inputs!$C$23,1,0)</f>
        <v>1</v>
      </c>
      <c r="R1057" s="19" t="n">
        <f aca="false">M1057*N1057*O1057*P1057*Q1057</f>
        <v>1</v>
      </c>
      <c r="S1057" s="14" t="n">
        <f aca="false">I1057*R1057</f>
        <v>23321.85</v>
      </c>
      <c r="T1057" s="19" t="n">
        <f aca="false">IF(F1057&gt;72,1,0)</f>
        <v>1</v>
      </c>
      <c r="U1057" s="19" t="n">
        <f aca="false">IF(J1057&gt;1.25,1,0)</f>
        <v>0</v>
      </c>
    </row>
    <row r="1058" customFormat="false" ht="15" hidden="false" customHeight="false" outlineLevel="0" collapsed="false">
      <c r="B1058" s="13" t="s">
        <v>1278</v>
      </c>
      <c r="C1058" s="13" t="s">
        <v>228</v>
      </c>
      <c r="D1058" s="19" t="n">
        <v>581</v>
      </c>
      <c r="E1058" s="23" t="n">
        <v>0.2344</v>
      </c>
      <c r="F1058" s="19" t="n">
        <v>60</v>
      </c>
      <c r="G1058" s="19" t="n">
        <v>10</v>
      </c>
      <c r="H1058" s="14" t="n">
        <v>27020</v>
      </c>
      <c r="I1058" s="14" t="n">
        <v>24389.34</v>
      </c>
      <c r="J1058" s="24" t="n">
        <v>1.176</v>
      </c>
      <c r="K1058" s="19" t="n">
        <v>0</v>
      </c>
      <c r="L1058" s="13" t="str">
        <f aca="false">IF(D1058&gt;=Inputs!$C$14,"Near-prime","Non-prime")</f>
        <v>Non-prime</v>
      </c>
      <c r="M1058" s="19" t="n">
        <f aca="false">IF(K1058&lt;=Inputs!$C$19,1,0)</f>
        <v>1</v>
      </c>
      <c r="N1058" s="19" t="n">
        <f aca="false">IF(F1058&lt;=Inputs!$C$20,1,0)</f>
        <v>1</v>
      </c>
      <c r="O1058" s="19" t="n">
        <f aca="false">IF(J1058&lt;=Inputs!$C$21,1,0)</f>
        <v>1</v>
      </c>
      <c r="P1058" s="19" t="n">
        <f aca="false">IF(D1058&gt;=Inputs!$C$22,1,0)</f>
        <v>1</v>
      </c>
      <c r="Q1058" s="19" t="n">
        <f aca="false">IF(I1058&lt;=Inputs!$C$23,1,0)</f>
        <v>1</v>
      </c>
      <c r="R1058" s="19" t="n">
        <f aca="false">M1058*N1058*O1058*P1058*Q1058</f>
        <v>1</v>
      </c>
      <c r="S1058" s="14" t="n">
        <f aca="false">I1058*R1058</f>
        <v>24389.34</v>
      </c>
      <c r="T1058" s="19" t="n">
        <f aca="false">IF(F1058&gt;72,1,0)</f>
        <v>0</v>
      </c>
      <c r="U1058" s="19" t="n">
        <f aca="false">IF(J1058&gt;1.25,1,0)</f>
        <v>0</v>
      </c>
    </row>
    <row r="1059" customFormat="false" ht="15" hidden="false" customHeight="false" outlineLevel="0" collapsed="false">
      <c r="B1059" s="13" t="s">
        <v>1279</v>
      </c>
      <c r="C1059" s="13" t="s">
        <v>252</v>
      </c>
      <c r="D1059" s="19" t="n">
        <v>702</v>
      </c>
      <c r="E1059" s="23" t="n">
        <v>0.2024</v>
      </c>
      <c r="F1059" s="19" t="n">
        <v>72</v>
      </c>
      <c r="G1059" s="19" t="n">
        <v>4</v>
      </c>
      <c r="H1059" s="14" t="n">
        <v>26670</v>
      </c>
      <c r="I1059" s="14" t="n">
        <v>25879.46</v>
      </c>
      <c r="J1059" s="24" t="n">
        <v>0.759</v>
      </c>
      <c r="K1059" s="19" t="n">
        <v>30</v>
      </c>
      <c r="L1059" s="13" t="str">
        <f aca="false">IF(D1059&gt;=Inputs!$C$14,"Near-prime","Non-prime")</f>
        <v>Near-prime</v>
      </c>
      <c r="M1059" s="19" t="n">
        <f aca="false">IF(K1059&lt;=Inputs!$C$19,1,0)</f>
        <v>1</v>
      </c>
      <c r="N1059" s="19" t="n">
        <f aca="false">IF(F1059&lt;=Inputs!$C$20,1,0)</f>
        <v>1</v>
      </c>
      <c r="O1059" s="19" t="n">
        <f aca="false">IF(J1059&lt;=Inputs!$C$21,1,0)</f>
        <v>1</v>
      </c>
      <c r="P1059" s="19" t="n">
        <f aca="false">IF(D1059&gt;=Inputs!$C$22,1,0)</f>
        <v>1</v>
      </c>
      <c r="Q1059" s="19" t="n">
        <f aca="false">IF(I1059&lt;=Inputs!$C$23,1,0)</f>
        <v>1</v>
      </c>
      <c r="R1059" s="19" t="n">
        <f aca="false">M1059*N1059*O1059*P1059*Q1059</f>
        <v>1</v>
      </c>
      <c r="S1059" s="14" t="n">
        <f aca="false">I1059*R1059</f>
        <v>25879.46</v>
      </c>
      <c r="T1059" s="19" t="n">
        <f aca="false">IF(F1059&gt;72,1,0)</f>
        <v>0</v>
      </c>
      <c r="U1059" s="19" t="n">
        <f aca="false">IF(J1059&gt;1.25,1,0)</f>
        <v>0</v>
      </c>
    </row>
    <row r="1060" customFormat="false" ht="15" hidden="false" customHeight="false" outlineLevel="0" collapsed="false">
      <c r="B1060" s="13" t="s">
        <v>1280</v>
      </c>
      <c r="C1060" s="13" t="s">
        <v>223</v>
      </c>
      <c r="D1060" s="19" t="n">
        <v>633</v>
      </c>
      <c r="E1060" s="23" t="n">
        <v>0.2179</v>
      </c>
      <c r="F1060" s="19" t="n">
        <v>66</v>
      </c>
      <c r="G1060" s="19" t="n">
        <v>0</v>
      </c>
      <c r="H1060" s="14" t="n">
        <v>16560</v>
      </c>
      <c r="I1060" s="14" t="n">
        <v>16560</v>
      </c>
      <c r="J1060" s="24" t="n">
        <v>0.855</v>
      </c>
      <c r="K1060" s="19" t="n">
        <v>0</v>
      </c>
      <c r="L1060" s="13" t="str">
        <f aca="false">IF(D1060&gt;=Inputs!$C$14,"Near-prime","Non-prime")</f>
        <v>Near-prime</v>
      </c>
      <c r="M1060" s="19" t="n">
        <f aca="false">IF(K1060&lt;=Inputs!$C$19,1,0)</f>
        <v>1</v>
      </c>
      <c r="N1060" s="19" t="n">
        <f aca="false">IF(F1060&lt;=Inputs!$C$20,1,0)</f>
        <v>1</v>
      </c>
      <c r="O1060" s="19" t="n">
        <f aca="false">IF(J1060&lt;=Inputs!$C$21,1,0)</f>
        <v>1</v>
      </c>
      <c r="P1060" s="19" t="n">
        <f aca="false">IF(D1060&gt;=Inputs!$C$22,1,0)</f>
        <v>1</v>
      </c>
      <c r="Q1060" s="19" t="n">
        <f aca="false">IF(I1060&lt;=Inputs!$C$23,1,0)</f>
        <v>1</v>
      </c>
      <c r="R1060" s="19" t="n">
        <f aca="false">M1060*N1060*O1060*P1060*Q1060</f>
        <v>1</v>
      </c>
      <c r="S1060" s="14" t="n">
        <f aca="false">I1060*R1060</f>
        <v>16560</v>
      </c>
      <c r="T1060" s="19" t="n">
        <f aca="false">IF(F1060&gt;72,1,0)</f>
        <v>0</v>
      </c>
      <c r="U1060" s="19" t="n">
        <f aca="false">IF(J1060&gt;1.25,1,0)</f>
        <v>0</v>
      </c>
    </row>
    <row r="1061" customFormat="false" ht="15" hidden="false" customHeight="false" outlineLevel="0" collapsed="false">
      <c r="B1061" s="13" t="s">
        <v>1281</v>
      </c>
      <c r="C1061" s="13" t="s">
        <v>223</v>
      </c>
      <c r="D1061" s="19" t="n">
        <v>659</v>
      </c>
      <c r="E1061" s="23" t="n">
        <v>0.2185</v>
      </c>
      <c r="F1061" s="19" t="n">
        <v>72</v>
      </c>
      <c r="G1061" s="19" t="n">
        <v>5</v>
      </c>
      <c r="H1061" s="14" t="n">
        <v>21240</v>
      </c>
      <c r="I1061" s="14" t="n">
        <v>20487.88</v>
      </c>
      <c r="J1061" s="24" t="n">
        <v>1.059</v>
      </c>
      <c r="K1061" s="19" t="n">
        <v>75</v>
      </c>
      <c r="L1061" s="13" t="str">
        <f aca="false">IF(D1061&gt;=Inputs!$C$14,"Near-prime","Non-prime")</f>
        <v>Near-prime</v>
      </c>
      <c r="M1061" s="19" t="n">
        <f aca="false">IF(K1061&lt;=Inputs!$C$19,1,0)</f>
        <v>0</v>
      </c>
      <c r="N1061" s="19" t="n">
        <f aca="false">IF(F1061&lt;=Inputs!$C$20,1,0)</f>
        <v>1</v>
      </c>
      <c r="O1061" s="19" t="n">
        <f aca="false">IF(J1061&lt;=Inputs!$C$21,1,0)</f>
        <v>1</v>
      </c>
      <c r="P1061" s="19" t="n">
        <f aca="false">IF(D1061&gt;=Inputs!$C$22,1,0)</f>
        <v>1</v>
      </c>
      <c r="Q1061" s="19" t="n">
        <f aca="false">IF(I1061&lt;=Inputs!$C$23,1,0)</f>
        <v>1</v>
      </c>
      <c r="R1061" s="19" t="n">
        <f aca="false">M1061*N1061*O1061*P1061*Q1061</f>
        <v>0</v>
      </c>
      <c r="S1061" s="14" t="n">
        <f aca="false">I1061*R1061</f>
        <v>0</v>
      </c>
      <c r="T1061" s="19" t="n">
        <f aca="false">IF(F1061&gt;72,1,0)</f>
        <v>0</v>
      </c>
      <c r="U1061" s="19" t="n">
        <f aca="false">IF(J1061&gt;1.25,1,0)</f>
        <v>0</v>
      </c>
    </row>
    <row r="1062" customFormat="false" ht="15" hidden="false" customHeight="false" outlineLevel="0" collapsed="false">
      <c r="B1062" s="13" t="s">
        <v>1282</v>
      </c>
      <c r="C1062" s="13" t="s">
        <v>219</v>
      </c>
      <c r="D1062" s="19" t="n">
        <v>651</v>
      </c>
      <c r="E1062" s="23" t="n">
        <v>0.1848</v>
      </c>
      <c r="F1062" s="19" t="n">
        <v>60</v>
      </c>
      <c r="G1062" s="19" t="n">
        <v>7</v>
      </c>
      <c r="H1062" s="14" t="n">
        <v>21380</v>
      </c>
      <c r="I1062" s="14" t="n">
        <v>19772.44</v>
      </c>
      <c r="J1062" s="24" t="n">
        <v>1.006</v>
      </c>
      <c r="K1062" s="19" t="n">
        <v>0</v>
      </c>
      <c r="L1062" s="13" t="str">
        <f aca="false">IF(D1062&gt;=Inputs!$C$14,"Near-prime","Non-prime")</f>
        <v>Near-prime</v>
      </c>
      <c r="M1062" s="19" t="n">
        <f aca="false">IF(K1062&lt;=Inputs!$C$19,1,0)</f>
        <v>1</v>
      </c>
      <c r="N1062" s="19" t="n">
        <f aca="false">IF(F1062&lt;=Inputs!$C$20,1,0)</f>
        <v>1</v>
      </c>
      <c r="O1062" s="19" t="n">
        <f aca="false">IF(J1062&lt;=Inputs!$C$21,1,0)</f>
        <v>1</v>
      </c>
      <c r="P1062" s="19" t="n">
        <f aca="false">IF(D1062&gt;=Inputs!$C$22,1,0)</f>
        <v>1</v>
      </c>
      <c r="Q1062" s="19" t="n">
        <f aca="false">IF(I1062&lt;=Inputs!$C$23,1,0)</f>
        <v>1</v>
      </c>
      <c r="R1062" s="19" t="n">
        <f aca="false">M1062*N1062*O1062*P1062*Q1062</f>
        <v>1</v>
      </c>
      <c r="S1062" s="14" t="n">
        <f aca="false">I1062*R1062</f>
        <v>19772.44</v>
      </c>
      <c r="T1062" s="19" t="n">
        <f aca="false">IF(F1062&gt;72,1,0)</f>
        <v>0</v>
      </c>
      <c r="U1062" s="19" t="n">
        <f aca="false">IF(J1062&gt;1.25,1,0)</f>
        <v>0</v>
      </c>
    </row>
    <row r="1063" customFormat="false" ht="15" hidden="false" customHeight="false" outlineLevel="0" collapsed="false">
      <c r="B1063" s="13" t="s">
        <v>1283</v>
      </c>
      <c r="C1063" s="13" t="s">
        <v>219</v>
      </c>
      <c r="D1063" s="19" t="n">
        <v>624</v>
      </c>
      <c r="E1063" s="23" t="n">
        <v>0.2155</v>
      </c>
      <c r="F1063" s="19" t="n">
        <v>66</v>
      </c>
      <c r="G1063" s="19" t="n">
        <v>5</v>
      </c>
      <c r="H1063" s="14" t="n">
        <v>26070</v>
      </c>
      <c r="I1063" s="14" t="n">
        <v>24985.44</v>
      </c>
      <c r="J1063" s="24" t="n">
        <v>0.971</v>
      </c>
      <c r="K1063" s="19" t="n">
        <v>30</v>
      </c>
      <c r="L1063" s="13" t="str">
        <f aca="false">IF(D1063&gt;=Inputs!$C$14,"Near-prime","Non-prime")</f>
        <v>Near-prime</v>
      </c>
      <c r="M1063" s="19" t="n">
        <f aca="false">IF(K1063&lt;=Inputs!$C$19,1,0)</f>
        <v>1</v>
      </c>
      <c r="N1063" s="19" t="n">
        <f aca="false">IF(F1063&lt;=Inputs!$C$20,1,0)</f>
        <v>1</v>
      </c>
      <c r="O1063" s="19" t="n">
        <f aca="false">IF(J1063&lt;=Inputs!$C$21,1,0)</f>
        <v>1</v>
      </c>
      <c r="P1063" s="19" t="n">
        <f aca="false">IF(D1063&gt;=Inputs!$C$22,1,0)</f>
        <v>1</v>
      </c>
      <c r="Q1063" s="19" t="n">
        <f aca="false">IF(I1063&lt;=Inputs!$C$23,1,0)</f>
        <v>1</v>
      </c>
      <c r="R1063" s="19" t="n">
        <f aca="false">M1063*N1063*O1063*P1063*Q1063</f>
        <v>1</v>
      </c>
      <c r="S1063" s="14" t="n">
        <f aca="false">I1063*R1063</f>
        <v>24985.44</v>
      </c>
      <c r="T1063" s="19" t="n">
        <f aca="false">IF(F1063&gt;72,1,0)</f>
        <v>0</v>
      </c>
      <c r="U1063" s="19" t="n">
        <f aca="false">IF(J1063&gt;1.25,1,0)</f>
        <v>0</v>
      </c>
    </row>
    <row r="1064" customFormat="false" ht="15" hidden="false" customHeight="false" outlineLevel="0" collapsed="false">
      <c r="B1064" s="13" t="s">
        <v>1284</v>
      </c>
      <c r="C1064" s="13" t="s">
        <v>217</v>
      </c>
      <c r="D1064" s="19" t="n">
        <v>622</v>
      </c>
      <c r="E1064" s="23" t="n">
        <v>0.2144</v>
      </c>
      <c r="F1064" s="19" t="n">
        <v>60</v>
      </c>
      <c r="G1064" s="19" t="n">
        <v>7</v>
      </c>
      <c r="H1064" s="14" t="n">
        <v>21910</v>
      </c>
      <c r="I1064" s="14" t="n">
        <v>20383.07</v>
      </c>
      <c r="J1064" s="24" t="n">
        <v>1.081</v>
      </c>
      <c r="K1064" s="19" t="n">
        <v>0</v>
      </c>
      <c r="L1064" s="13" t="str">
        <f aca="false">IF(D1064&gt;=Inputs!$C$14,"Near-prime","Non-prime")</f>
        <v>Near-prime</v>
      </c>
      <c r="M1064" s="19" t="n">
        <f aca="false">IF(K1064&lt;=Inputs!$C$19,1,0)</f>
        <v>1</v>
      </c>
      <c r="N1064" s="19" t="n">
        <f aca="false">IF(F1064&lt;=Inputs!$C$20,1,0)</f>
        <v>1</v>
      </c>
      <c r="O1064" s="19" t="n">
        <f aca="false">IF(J1064&lt;=Inputs!$C$21,1,0)</f>
        <v>1</v>
      </c>
      <c r="P1064" s="19" t="n">
        <f aca="false">IF(D1064&gt;=Inputs!$C$22,1,0)</f>
        <v>1</v>
      </c>
      <c r="Q1064" s="19" t="n">
        <f aca="false">IF(I1064&lt;=Inputs!$C$23,1,0)</f>
        <v>1</v>
      </c>
      <c r="R1064" s="19" t="n">
        <f aca="false">M1064*N1064*O1064*P1064*Q1064</f>
        <v>1</v>
      </c>
      <c r="S1064" s="14" t="n">
        <f aca="false">I1064*R1064</f>
        <v>20383.07</v>
      </c>
      <c r="T1064" s="19" t="n">
        <f aca="false">IF(F1064&gt;72,1,0)</f>
        <v>0</v>
      </c>
      <c r="U1064" s="19" t="n">
        <f aca="false">IF(J1064&gt;1.25,1,0)</f>
        <v>0</v>
      </c>
    </row>
    <row r="1065" customFormat="false" ht="15" hidden="false" customHeight="false" outlineLevel="0" collapsed="false">
      <c r="B1065" s="13" t="s">
        <v>1285</v>
      </c>
      <c r="C1065" s="13" t="s">
        <v>221</v>
      </c>
      <c r="D1065" s="19" t="n">
        <v>688</v>
      </c>
      <c r="E1065" s="23" t="n">
        <v>0.1898</v>
      </c>
      <c r="F1065" s="19" t="n">
        <v>72</v>
      </c>
      <c r="G1065" s="19" t="n">
        <v>2</v>
      </c>
      <c r="H1065" s="14" t="n">
        <v>13130</v>
      </c>
      <c r="I1065" s="14" t="n">
        <v>12930.21</v>
      </c>
      <c r="J1065" s="24" t="n">
        <v>0.859</v>
      </c>
      <c r="K1065" s="19" t="n">
        <v>0</v>
      </c>
      <c r="L1065" s="13" t="str">
        <f aca="false">IF(D1065&gt;=Inputs!$C$14,"Near-prime","Non-prime")</f>
        <v>Near-prime</v>
      </c>
      <c r="M1065" s="19" t="n">
        <f aca="false">IF(K1065&lt;=Inputs!$C$19,1,0)</f>
        <v>1</v>
      </c>
      <c r="N1065" s="19" t="n">
        <f aca="false">IF(F1065&lt;=Inputs!$C$20,1,0)</f>
        <v>1</v>
      </c>
      <c r="O1065" s="19" t="n">
        <f aca="false">IF(J1065&lt;=Inputs!$C$21,1,0)</f>
        <v>1</v>
      </c>
      <c r="P1065" s="19" t="n">
        <f aca="false">IF(D1065&gt;=Inputs!$C$22,1,0)</f>
        <v>1</v>
      </c>
      <c r="Q1065" s="19" t="n">
        <f aca="false">IF(I1065&lt;=Inputs!$C$23,1,0)</f>
        <v>1</v>
      </c>
      <c r="R1065" s="19" t="n">
        <f aca="false">M1065*N1065*O1065*P1065*Q1065</f>
        <v>1</v>
      </c>
      <c r="S1065" s="14" t="n">
        <f aca="false">I1065*R1065</f>
        <v>12930.21</v>
      </c>
      <c r="T1065" s="19" t="n">
        <f aca="false">IF(F1065&gt;72,1,0)</f>
        <v>0</v>
      </c>
      <c r="U1065" s="19" t="n">
        <f aca="false">IF(J1065&gt;1.25,1,0)</f>
        <v>0</v>
      </c>
    </row>
    <row r="1066" customFormat="false" ht="15" hidden="false" customHeight="false" outlineLevel="0" collapsed="false">
      <c r="B1066" s="13" t="s">
        <v>1286</v>
      </c>
      <c r="C1066" s="13" t="s">
        <v>257</v>
      </c>
      <c r="D1066" s="19" t="n">
        <v>620</v>
      </c>
      <c r="E1066" s="23" t="n">
        <v>0.2247</v>
      </c>
      <c r="F1066" s="19" t="n">
        <v>84</v>
      </c>
      <c r="G1066" s="19" t="n">
        <v>0</v>
      </c>
      <c r="H1066" s="14" t="n">
        <v>54580</v>
      </c>
      <c r="I1066" s="14" t="n">
        <v>54580</v>
      </c>
      <c r="J1066" s="24" t="n">
        <v>0.895</v>
      </c>
      <c r="K1066" s="19" t="n">
        <v>0</v>
      </c>
      <c r="L1066" s="13" t="str">
        <f aca="false">IF(D1066&gt;=Inputs!$C$14,"Near-prime","Non-prime")</f>
        <v>Near-prime</v>
      </c>
      <c r="M1066" s="19" t="n">
        <f aca="false">IF(K1066&lt;=Inputs!$C$19,1,0)</f>
        <v>1</v>
      </c>
      <c r="N1066" s="19" t="n">
        <f aca="false">IF(F1066&lt;=Inputs!$C$20,1,0)</f>
        <v>0</v>
      </c>
      <c r="O1066" s="19" t="n">
        <f aca="false">IF(J1066&lt;=Inputs!$C$21,1,0)</f>
        <v>1</v>
      </c>
      <c r="P1066" s="19" t="n">
        <f aca="false">IF(D1066&gt;=Inputs!$C$22,1,0)</f>
        <v>1</v>
      </c>
      <c r="Q1066" s="19" t="n">
        <f aca="false">IF(I1066&lt;=Inputs!$C$23,1,0)</f>
        <v>0</v>
      </c>
      <c r="R1066" s="19" t="n">
        <f aca="false">M1066*N1066*O1066*P1066*Q1066</f>
        <v>0</v>
      </c>
      <c r="S1066" s="14" t="n">
        <f aca="false">I1066*R1066</f>
        <v>0</v>
      </c>
      <c r="T1066" s="19" t="n">
        <f aca="false">IF(F1066&gt;72,1,0)</f>
        <v>1</v>
      </c>
      <c r="U1066" s="19" t="n">
        <f aca="false">IF(J1066&gt;1.25,1,0)</f>
        <v>0</v>
      </c>
    </row>
    <row r="1067" customFormat="false" ht="15" hidden="false" customHeight="false" outlineLevel="0" collapsed="false">
      <c r="B1067" s="13" t="s">
        <v>1287</v>
      </c>
      <c r="C1067" s="13" t="s">
        <v>257</v>
      </c>
      <c r="D1067" s="19" t="n">
        <v>659</v>
      </c>
      <c r="E1067" s="23" t="n">
        <v>0.2187</v>
      </c>
      <c r="F1067" s="19" t="n">
        <v>60</v>
      </c>
      <c r="G1067" s="19" t="n">
        <v>5</v>
      </c>
      <c r="H1067" s="14" t="n">
        <v>26890</v>
      </c>
      <c r="I1067" s="14" t="n">
        <v>25590.4</v>
      </c>
      <c r="J1067" s="24" t="n">
        <v>1.195</v>
      </c>
      <c r="K1067" s="19" t="n">
        <v>15</v>
      </c>
      <c r="L1067" s="13" t="str">
        <f aca="false">IF(D1067&gt;=Inputs!$C$14,"Near-prime","Non-prime")</f>
        <v>Near-prime</v>
      </c>
      <c r="M1067" s="19" t="n">
        <f aca="false">IF(K1067&lt;=Inputs!$C$19,1,0)</f>
        <v>1</v>
      </c>
      <c r="N1067" s="19" t="n">
        <f aca="false">IF(F1067&lt;=Inputs!$C$20,1,0)</f>
        <v>1</v>
      </c>
      <c r="O1067" s="19" t="n">
        <f aca="false">IF(J1067&lt;=Inputs!$C$21,1,0)</f>
        <v>1</v>
      </c>
      <c r="P1067" s="19" t="n">
        <f aca="false">IF(D1067&gt;=Inputs!$C$22,1,0)</f>
        <v>1</v>
      </c>
      <c r="Q1067" s="19" t="n">
        <f aca="false">IF(I1067&lt;=Inputs!$C$23,1,0)</f>
        <v>1</v>
      </c>
      <c r="R1067" s="19" t="n">
        <f aca="false">M1067*N1067*O1067*P1067*Q1067</f>
        <v>1</v>
      </c>
      <c r="S1067" s="14" t="n">
        <f aca="false">I1067*R1067</f>
        <v>25590.4</v>
      </c>
      <c r="T1067" s="19" t="n">
        <f aca="false">IF(F1067&gt;72,1,0)</f>
        <v>0</v>
      </c>
      <c r="U1067" s="19" t="n">
        <f aca="false">IF(J1067&gt;1.25,1,0)</f>
        <v>0</v>
      </c>
    </row>
    <row r="1068" customFormat="false" ht="15" hidden="false" customHeight="false" outlineLevel="0" collapsed="false">
      <c r="B1068" s="13" t="s">
        <v>1288</v>
      </c>
      <c r="C1068" s="13" t="s">
        <v>219</v>
      </c>
      <c r="D1068" s="19" t="n">
        <v>673</v>
      </c>
      <c r="E1068" s="23" t="n">
        <v>0.1938</v>
      </c>
      <c r="F1068" s="19" t="n">
        <v>66</v>
      </c>
      <c r="G1068" s="19" t="n">
        <v>8</v>
      </c>
      <c r="H1068" s="14" t="n">
        <v>22160</v>
      </c>
      <c r="I1068" s="14" t="n">
        <v>20547.17</v>
      </c>
      <c r="J1068" s="24" t="n">
        <v>0.834</v>
      </c>
      <c r="K1068" s="19" t="n">
        <v>0</v>
      </c>
      <c r="L1068" s="13" t="str">
        <f aca="false">IF(D1068&gt;=Inputs!$C$14,"Near-prime","Non-prime")</f>
        <v>Near-prime</v>
      </c>
      <c r="M1068" s="19" t="n">
        <f aca="false">IF(K1068&lt;=Inputs!$C$19,1,0)</f>
        <v>1</v>
      </c>
      <c r="N1068" s="19" t="n">
        <f aca="false">IF(F1068&lt;=Inputs!$C$20,1,0)</f>
        <v>1</v>
      </c>
      <c r="O1068" s="19" t="n">
        <f aca="false">IF(J1068&lt;=Inputs!$C$21,1,0)</f>
        <v>1</v>
      </c>
      <c r="P1068" s="19" t="n">
        <f aca="false">IF(D1068&gt;=Inputs!$C$22,1,0)</f>
        <v>1</v>
      </c>
      <c r="Q1068" s="19" t="n">
        <f aca="false">IF(I1068&lt;=Inputs!$C$23,1,0)</f>
        <v>1</v>
      </c>
      <c r="R1068" s="19" t="n">
        <f aca="false">M1068*N1068*O1068*P1068*Q1068</f>
        <v>1</v>
      </c>
      <c r="S1068" s="14" t="n">
        <f aca="false">I1068*R1068</f>
        <v>20547.17</v>
      </c>
      <c r="T1068" s="19" t="n">
        <f aca="false">IF(F1068&gt;72,1,0)</f>
        <v>0</v>
      </c>
      <c r="U1068" s="19" t="n">
        <f aca="false">IF(J1068&gt;1.25,1,0)</f>
        <v>0</v>
      </c>
    </row>
    <row r="1069" customFormat="false" ht="15" hidden="false" customHeight="false" outlineLevel="0" collapsed="false">
      <c r="B1069" s="13" t="s">
        <v>1289</v>
      </c>
      <c r="C1069" s="13" t="s">
        <v>226</v>
      </c>
      <c r="D1069" s="19" t="n">
        <v>620</v>
      </c>
      <c r="E1069" s="23" t="n">
        <v>0.1945</v>
      </c>
      <c r="F1069" s="19" t="n">
        <v>72</v>
      </c>
      <c r="G1069" s="19" t="n">
        <v>4</v>
      </c>
      <c r="H1069" s="14" t="n">
        <v>19970</v>
      </c>
      <c r="I1069" s="14" t="n">
        <v>19362.17</v>
      </c>
      <c r="J1069" s="24" t="n">
        <v>1.45</v>
      </c>
      <c r="K1069" s="19" t="n">
        <v>0</v>
      </c>
      <c r="L1069" s="13" t="str">
        <f aca="false">IF(D1069&gt;=Inputs!$C$14,"Near-prime","Non-prime")</f>
        <v>Near-prime</v>
      </c>
      <c r="M1069" s="19" t="n">
        <f aca="false">IF(K1069&lt;=Inputs!$C$19,1,0)</f>
        <v>1</v>
      </c>
      <c r="N1069" s="19" t="n">
        <f aca="false">IF(F1069&lt;=Inputs!$C$20,1,0)</f>
        <v>1</v>
      </c>
      <c r="O1069" s="19" t="n">
        <f aca="false">IF(J1069&lt;=Inputs!$C$21,1,0)</f>
        <v>1</v>
      </c>
      <c r="P1069" s="19" t="n">
        <f aca="false">IF(D1069&gt;=Inputs!$C$22,1,0)</f>
        <v>1</v>
      </c>
      <c r="Q1069" s="19" t="n">
        <f aca="false">IF(I1069&lt;=Inputs!$C$23,1,0)</f>
        <v>1</v>
      </c>
      <c r="R1069" s="19" t="n">
        <f aca="false">M1069*N1069*O1069*P1069*Q1069</f>
        <v>1</v>
      </c>
      <c r="S1069" s="14" t="n">
        <f aca="false">I1069*R1069</f>
        <v>19362.17</v>
      </c>
      <c r="T1069" s="19" t="n">
        <f aca="false">IF(F1069&gt;72,1,0)</f>
        <v>0</v>
      </c>
      <c r="U1069" s="19" t="n">
        <f aca="false">IF(J1069&gt;1.25,1,0)</f>
        <v>1</v>
      </c>
    </row>
    <row r="1070" customFormat="false" ht="15" hidden="false" customHeight="false" outlineLevel="0" collapsed="false">
      <c r="B1070" s="13" t="s">
        <v>1290</v>
      </c>
      <c r="C1070" s="13" t="s">
        <v>219</v>
      </c>
      <c r="D1070" s="19" t="n">
        <v>633</v>
      </c>
      <c r="E1070" s="23" t="n">
        <v>0.1761</v>
      </c>
      <c r="F1070" s="19" t="n">
        <v>72</v>
      </c>
      <c r="G1070" s="19" t="n">
        <v>4</v>
      </c>
      <c r="H1070" s="14" t="n">
        <v>31230</v>
      </c>
      <c r="I1070" s="14" t="n">
        <v>30219.55</v>
      </c>
      <c r="J1070" s="24" t="n">
        <v>0.948</v>
      </c>
      <c r="K1070" s="19" t="n">
        <v>15</v>
      </c>
      <c r="L1070" s="13" t="str">
        <f aca="false">IF(D1070&gt;=Inputs!$C$14,"Near-prime","Non-prime")</f>
        <v>Near-prime</v>
      </c>
      <c r="M1070" s="19" t="n">
        <f aca="false">IF(K1070&lt;=Inputs!$C$19,1,0)</f>
        <v>1</v>
      </c>
      <c r="N1070" s="19" t="n">
        <f aca="false">IF(F1070&lt;=Inputs!$C$20,1,0)</f>
        <v>1</v>
      </c>
      <c r="O1070" s="19" t="n">
        <f aca="false">IF(J1070&lt;=Inputs!$C$21,1,0)</f>
        <v>1</v>
      </c>
      <c r="P1070" s="19" t="n">
        <f aca="false">IF(D1070&gt;=Inputs!$C$22,1,0)</f>
        <v>1</v>
      </c>
      <c r="Q1070" s="19" t="n">
        <f aca="false">IF(I1070&lt;=Inputs!$C$23,1,0)</f>
        <v>1</v>
      </c>
      <c r="R1070" s="19" t="n">
        <f aca="false">M1070*N1070*O1070*P1070*Q1070</f>
        <v>1</v>
      </c>
      <c r="S1070" s="14" t="n">
        <f aca="false">I1070*R1070</f>
        <v>30219.55</v>
      </c>
      <c r="T1070" s="19" t="n">
        <f aca="false">IF(F1070&gt;72,1,0)</f>
        <v>0</v>
      </c>
      <c r="U1070" s="19" t="n">
        <f aca="false">IF(J1070&gt;1.25,1,0)</f>
        <v>0</v>
      </c>
    </row>
    <row r="1071" customFormat="false" ht="15" hidden="false" customHeight="false" outlineLevel="0" collapsed="false">
      <c r="B1071" s="13" t="s">
        <v>1291</v>
      </c>
      <c r="C1071" s="13" t="s">
        <v>257</v>
      </c>
      <c r="D1071" s="19" t="n">
        <v>708</v>
      </c>
      <c r="E1071" s="23" t="n">
        <v>0.2174</v>
      </c>
      <c r="F1071" s="19" t="n">
        <v>72</v>
      </c>
      <c r="G1071" s="19" t="n">
        <v>3</v>
      </c>
      <c r="H1071" s="14" t="n">
        <v>25840</v>
      </c>
      <c r="I1071" s="14" t="n">
        <v>25298.89</v>
      </c>
      <c r="J1071" s="24" t="n">
        <v>1.009</v>
      </c>
      <c r="K1071" s="19" t="n">
        <v>0</v>
      </c>
      <c r="L1071" s="13" t="str">
        <f aca="false">IF(D1071&gt;=Inputs!$C$14,"Near-prime","Non-prime")</f>
        <v>Near-prime</v>
      </c>
      <c r="M1071" s="19" t="n">
        <f aca="false">IF(K1071&lt;=Inputs!$C$19,1,0)</f>
        <v>1</v>
      </c>
      <c r="N1071" s="19" t="n">
        <f aca="false">IF(F1071&lt;=Inputs!$C$20,1,0)</f>
        <v>1</v>
      </c>
      <c r="O1071" s="19" t="n">
        <f aca="false">IF(J1071&lt;=Inputs!$C$21,1,0)</f>
        <v>1</v>
      </c>
      <c r="P1071" s="19" t="n">
        <f aca="false">IF(D1071&gt;=Inputs!$C$22,1,0)</f>
        <v>1</v>
      </c>
      <c r="Q1071" s="19" t="n">
        <f aca="false">IF(I1071&lt;=Inputs!$C$23,1,0)</f>
        <v>1</v>
      </c>
      <c r="R1071" s="19" t="n">
        <f aca="false">M1071*N1071*O1071*P1071*Q1071</f>
        <v>1</v>
      </c>
      <c r="S1071" s="14" t="n">
        <f aca="false">I1071*R1071</f>
        <v>25298.89</v>
      </c>
      <c r="T1071" s="19" t="n">
        <f aca="false">IF(F1071&gt;72,1,0)</f>
        <v>0</v>
      </c>
      <c r="U1071" s="19" t="n">
        <f aca="false">IF(J1071&gt;1.25,1,0)</f>
        <v>0</v>
      </c>
    </row>
    <row r="1072" customFormat="false" ht="15" hidden="false" customHeight="false" outlineLevel="0" collapsed="false">
      <c r="B1072" s="13" t="s">
        <v>1292</v>
      </c>
      <c r="C1072" s="13" t="s">
        <v>223</v>
      </c>
      <c r="D1072" s="19" t="n">
        <v>560</v>
      </c>
      <c r="E1072" s="23" t="n">
        <v>0.2188</v>
      </c>
      <c r="F1072" s="19" t="n">
        <v>60</v>
      </c>
      <c r="G1072" s="19" t="n">
        <v>8</v>
      </c>
      <c r="H1072" s="14" t="n">
        <v>27900</v>
      </c>
      <c r="I1072" s="14" t="n">
        <v>25682.69</v>
      </c>
      <c r="J1072" s="24" t="n">
        <v>1.06</v>
      </c>
      <c r="K1072" s="19" t="n">
        <v>0</v>
      </c>
      <c r="L1072" s="13" t="str">
        <f aca="false">IF(D1072&gt;=Inputs!$C$14,"Near-prime","Non-prime")</f>
        <v>Non-prime</v>
      </c>
      <c r="M1072" s="19" t="n">
        <f aca="false">IF(K1072&lt;=Inputs!$C$19,1,0)</f>
        <v>1</v>
      </c>
      <c r="N1072" s="19" t="n">
        <f aca="false">IF(F1072&lt;=Inputs!$C$20,1,0)</f>
        <v>1</v>
      </c>
      <c r="O1072" s="19" t="n">
        <f aca="false">IF(J1072&lt;=Inputs!$C$21,1,0)</f>
        <v>1</v>
      </c>
      <c r="P1072" s="19" t="n">
        <f aca="false">IF(D1072&gt;=Inputs!$C$22,1,0)</f>
        <v>1</v>
      </c>
      <c r="Q1072" s="19" t="n">
        <f aca="false">IF(I1072&lt;=Inputs!$C$23,1,0)</f>
        <v>1</v>
      </c>
      <c r="R1072" s="19" t="n">
        <f aca="false">M1072*N1072*O1072*P1072*Q1072</f>
        <v>1</v>
      </c>
      <c r="S1072" s="14" t="n">
        <f aca="false">I1072*R1072</f>
        <v>25682.69</v>
      </c>
      <c r="T1072" s="19" t="n">
        <f aca="false">IF(F1072&gt;72,1,0)</f>
        <v>0</v>
      </c>
      <c r="U1072" s="19" t="n">
        <f aca="false">IF(J1072&gt;1.25,1,0)</f>
        <v>0</v>
      </c>
    </row>
    <row r="1073" customFormat="false" ht="15" hidden="false" customHeight="false" outlineLevel="0" collapsed="false">
      <c r="B1073" s="13" t="s">
        <v>1293</v>
      </c>
      <c r="C1073" s="13" t="s">
        <v>217</v>
      </c>
      <c r="D1073" s="19" t="n">
        <v>613</v>
      </c>
      <c r="E1073" s="23" t="n">
        <v>0.2176</v>
      </c>
      <c r="F1073" s="19" t="n">
        <v>72</v>
      </c>
      <c r="G1073" s="19" t="n">
        <v>6</v>
      </c>
      <c r="H1073" s="14" t="n">
        <v>14280</v>
      </c>
      <c r="I1073" s="14" t="n">
        <v>13665.79</v>
      </c>
      <c r="J1073" s="24" t="n">
        <v>1.178</v>
      </c>
      <c r="K1073" s="19" t="n">
        <v>0</v>
      </c>
      <c r="L1073" s="13" t="str">
        <f aca="false">IF(D1073&gt;=Inputs!$C$14,"Near-prime","Non-prime")</f>
        <v>Non-prime</v>
      </c>
      <c r="M1073" s="19" t="n">
        <f aca="false">IF(K1073&lt;=Inputs!$C$19,1,0)</f>
        <v>1</v>
      </c>
      <c r="N1073" s="19" t="n">
        <f aca="false">IF(F1073&lt;=Inputs!$C$20,1,0)</f>
        <v>1</v>
      </c>
      <c r="O1073" s="19" t="n">
        <f aca="false">IF(J1073&lt;=Inputs!$C$21,1,0)</f>
        <v>1</v>
      </c>
      <c r="P1073" s="19" t="n">
        <f aca="false">IF(D1073&gt;=Inputs!$C$22,1,0)</f>
        <v>1</v>
      </c>
      <c r="Q1073" s="19" t="n">
        <f aca="false">IF(I1073&lt;=Inputs!$C$23,1,0)</f>
        <v>1</v>
      </c>
      <c r="R1073" s="19" t="n">
        <f aca="false">M1073*N1073*O1073*P1073*Q1073</f>
        <v>1</v>
      </c>
      <c r="S1073" s="14" t="n">
        <f aca="false">I1073*R1073</f>
        <v>13665.79</v>
      </c>
      <c r="T1073" s="19" t="n">
        <f aca="false">IF(F1073&gt;72,1,0)</f>
        <v>0</v>
      </c>
      <c r="U1073" s="19" t="n">
        <f aca="false">IF(J1073&gt;1.25,1,0)</f>
        <v>0</v>
      </c>
    </row>
    <row r="1074" customFormat="false" ht="15" hidden="false" customHeight="false" outlineLevel="0" collapsed="false">
      <c r="B1074" s="13" t="s">
        <v>1294</v>
      </c>
      <c r="C1074" s="13" t="s">
        <v>217</v>
      </c>
      <c r="D1074" s="19" t="n">
        <v>578</v>
      </c>
      <c r="E1074" s="23" t="n">
        <v>0.2223</v>
      </c>
      <c r="F1074" s="19" t="n">
        <v>75</v>
      </c>
      <c r="G1074" s="19" t="n">
        <v>3</v>
      </c>
      <c r="H1074" s="14" t="n">
        <v>11680</v>
      </c>
      <c r="I1074" s="14" t="n">
        <v>11456.74</v>
      </c>
      <c r="J1074" s="24" t="n">
        <v>0.933</v>
      </c>
      <c r="K1074" s="19" t="n">
        <v>0</v>
      </c>
      <c r="L1074" s="13" t="str">
        <f aca="false">IF(D1074&gt;=Inputs!$C$14,"Near-prime","Non-prime")</f>
        <v>Non-prime</v>
      </c>
      <c r="M1074" s="19" t="n">
        <f aca="false">IF(K1074&lt;=Inputs!$C$19,1,0)</f>
        <v>1</v>
      </c>
      <c r="N1074" s="19" t="n">
        <f aca="false">IF(F1074&lt;=Inputs!$C$20,1,0)</f>
        <v>1</v>
      </c>
      <c r="O1074" s="19" t="n">
        <f aca="false">IF(J1074&lt;=Inputs!$C$21,1,0)</f>
        <v>1</v>
      </c>
      <c r="P1074" s="19" t="n">
        <f aca="false">IF(D1074&gt;=Inputs!$C$22,1,0)</f>
        <v>1</v>
      </c>
      <c r="Q1074" s="19" t="n">
        <f aca="false">IF(I1074&lt;=Inputs!$C$23,1,0)</f>
        <v>1</v>
      </c>
      <c r="R1074" s="19" t="n">
        <f aca="false">M1074*N1074*O1074*P1074*Q1074</f>
        <v>1</v>
      </c>
      <c r="S1074" s="14" t="n">
        <f aca="false">I1074*R1074</f>
        <v>11456.74</v>
      </c>
      <c r="T1074" s="19" t="n">
        <f aca="false">IF(F1074&gt;72,1,0)</f>
        <v>1</v>
      </c>
      <c r="U1074" s="19" t="n">
        <f aca="false">IF(J1074&gt;1.25,1,0)</f>
        <v>0</v>
      </c>
    </row>
    <row r="1075" customFormat="false" ht="15" hidden="false" customHeight="false" outlineLevel="0" collapsed="false">
      <c r="B1075" s="13" t="s">
        <v>1295</v>
      </c>
      <c r="C1075" s="13" t="s">
        <v>252</v>
      </c>
      <c r="D1075" s="19" t="n">
        <v>659</v>
      </c>
      <c r="E1075" s="23" t="n">
        <v>0.2225</v>
      </c>
      <c r="F1075" s="19" t="n">
        <v>72</v>
      </c>
      <c r="G1075" s="19" t="n">
        <v>6</v>
      </c>
      <c r="H1075" s="14" t="n">
        <v>38150</v>
      </c>
      <c r="I1075" s="14" t="n">
        <v>36535.57</v>
      </c>
      <c r="J1075" s="24" t="n">
        <v>0.793</v>
      </c>
      <c r="K1075" s="19" t="n">
        <v>0</v>
      </c>
      <c r="L1075" s="13" t="str">
        <f aca="false">IF(D1075&gt;=Inputs!$C$14,"Near-prime","Non-prime")</f>
        <v>Near-prime</v>
      </c>
      <c r="M1075" s="19" t="n">
        <f aca="false">IF(K1075&lt;=Inputs!$C$19,1,0)</f>
        <v>1</v>
      </c>
      <c r="N1075" s="19" t="n">
        <f aca="false">IF(F1075&lt;=Inputs!$C$20,1,0)</f>
        <v>1</v>
      </c>
      <c r="O1075" s="19" t="n">
        <f aca="false">IF(J1075&lt;=Inputs!$C$21,1,0)</f>
        <v>1</v>
      </c>
      <c r="P1075" s="19" t="n">
        <f aca="false">IF(D1075&gt;=Inputs!$C$22,1,0)</f>
        <v>1</v>
      </c>
      <c r="Q1075" s="19" t="n">
        <f aca="false">IF(I1075&lt;=Inputs!$C$23,1,0)</f>
        <v>1</v>
      </c>
      <c r="R1075" s="19" t="n">
        <f aca="false">M1075*N1075*O1075*P1075*Q1075</f>
        <v>1</v>
      </c>
      <c r="S1075" s="14" t="n">
        <f aca="false">I1075*R1075</f>
        <v>36535.57</v>
      </c>
      <c r="T1075" s="19" t="n">
        <f aca="false">IF(F1075&gt;72,1,0)</f>
        <v>0</v>
      </c>
      <c r="U1075" s="19" t="n">
        <f aca="false">IF(J1075&gt;1.25,1,0)</f>
        <v>0</v>
      </c>
    </row>
    <row r="1076" customFormat="false" ht="15" hidden="false" customHeight="false" outlineLevel="0" collapsed="false">
      <c r="B1076" s="13" t="s">
        <v>1296</v>
      </c>
      <c r="C1076" s="13" t="s">
        <v>217</v>
      </c>
      <c r="D1076" s="19" t="n">
        <v>789</v>
      </c>
      <c r="E1076" s="23" t="n">
        <v>0.1582</v>
      </c>
      <c r="F1076" s="19" t="n">
        <v>48</v>
      </c>
      <c r="G1076" s="19" t="n">
        <v>10</v>
      </c>
      <c r="H1076" s="14" t="n">
        <v>25880</v>
      </c>
      <c r="I1076" s="14" t="n">
        <v>21741.6</v>
      </c>
      <c r="J1076" s="24" t="n">
        <v>0.979</v>
      </c>
      <c r="K1076" s="19" t="n">
        <v>0</v>
      </c>
      <c r="L1076" s="13" t="str">
        <f aca="false">IF(D1076&gt;=Inputs!$C$14,"Near-prime","Non-prime")</f>
        <v>Near-prime</v>
      </c>
      <c r="M1076" s="19" t="n">
        <f aca="false">IF(K1076&lt;=Inputs!$C$19,1,0)</f>
        <v>1</v>
      </c>
      <c r="N1076" s="19" t="n">
        <f aca="false">IF(F1076&lt;=Inputs!$C$20,1,0)</f>
        <v>1</v>
      </c>
      <c r="O1076" s="19" t="n">
        <f aca="false">IF(J1076&lt;=Inputs!$C$21,1,0)</f>
        <v>1</v>
      </c>
      <c r="P1076" s="19" t="n">
        <f aca="false">IF(D1076&gt;=Inputs!$C$22,1,0)</f>
        <v>1</v>
      </c>
      <c r="Q1076" s="19" t="n">
        <f aca="false">IF(I1076&lt;=Inputs!$C$23,1,0)</f>
        <v>1</v>
      </c>
      <c r="R1076" s="19" t="n">
        <f aca="false">M1076*N1076*O1076*P1076*Q1076</f>
        <v>1</v>
      </c>
      <c r="S1076" s="14" t="n">
        <f aca="false">I1076*R1076</f>
        <v>21741.6</v>
      </c>
      <c r="T1076" s="19" t="n">
        <f aca="false">IF(F1076&gt;72,1,0)</f>
        <v>0</v>
      </c>
      <c r="U1076" s="19" t="n">
        <f aca="false">IF(J1076&gt;1.25,1,0)</f>
        <v>0</v>
      </c>
    </row>
    <row r="1077" customFormat="false" ht="15" hidden="false" customHeight="false" outlineLevel="0" collapsed="false">
      <c r="B1077" s="13" t="s">
        <v>1297</v>
      </c>
      <c r="C1077" s="13" t="s">
        <v>257</v>
      </c>
      <c r="D1077" s="19" t="n">
        <v>584</v>
      </c>
      <c r="E1077" s="23" t="n">
        <v>0.2177</v>
      </c>
      <c r="F1077" s="19" t="n">
        <v>72</v>
      </c>
      <c r="G1077" s="19" t="n">
        <v>5</v>
      </c>
      <c r="H1077" s="14" t="n">
        <v>26480</v>
      </c>
      <c r="I1077" s="14" t="n">
        <v>25539.81</v>
      </c>
      <c r="J1077" s="24" t="n">
        <v>1.227</v>
      </c>
      <c r="K1077" s="19" t="n">
        <v>0</v>
      </c>
      <c r="L1077" s="13" t="str">
        <f aca="false">IF(D1077&gt;=Inputs!$C$14,"Near-prime","Non-prime")</f>
        <v>Non-prime</v>
      </c>
      <c r="M1077" s="19" t="n">
        <f aca="false">IF(K1077&lt;=Inputs!$C$19,1,0)</f>
        <v>1</v>
      </c>
      <c r="N1077" s="19" t="n">
        <f aca="false">IF(F1077&lt;=Inputs!$C$20,1,0)</f>
        <v>1</v>
      </c>
      <c r="O1077" s="19" t="n">
        <f aca="false">IF(J1077&lt;=Inputs!$C$21,1,0)</f>
        <v>1</v>
      </c>
      <c r="P1077" s="19" t="n">
        <f aca="false">IF(D1077&gt;=Inputs!$C$22,1,0)</f>
        <v>1</v>
      </c>
      <c r="Q1077" s="19" t="n">
        <f aca="false">IF(I1077&lt;=Inputs!$C$23,1,0)</f>
        <v>1</v>
      </c>
      <c r="R1077" s="19" t="n">
        <f aca="false">M1077*N1077*O1077*P1077*Q1077</f>
        <v>1</v>
      </c>
      <c r="S1077" s="14" t="n">
        <f aca="false">I1077*R1077</f>
        <v>25539.81</v>
      </c>
      <c r="T1077" s="19" t="n">
        <f aca="false">IF(F1077&gt;72,1,0)</f>
        <v>0</v>
      </c>
      <c r="U1077" s="19" t="n">
        <f aca="false">IF(J1077&gt;1.25,1,0)</f>
        <v>0</v>
      </c>
    </row>
    <row r="1078" customFormat="false" ht="15" hidden="false" customHeight="false" outlineLevel="0" collapsed="false">
      <c r="B1078" s="13" t="s">
        <v>1298</v>
      </c>
      <c r="C1078" s="13" t="s">
        <v>217</v>
      </c>
      <c r="D1078" s="19" t="n">
        <v>712</v>
      </c>
      <c r="E1078" s="23" t="n">
        <v>0.1824</v>
      </c>
      <c r="F1078" s="19" t="n">
        <v>66</v>
      </c>
      <c r="G1078" s="19" t="n">
        <v>0</v>
      </c>
      <c r="H1078" s="14" t="n">
        <v>36000</v>
      </c>
      <c r="I1078" s="14" t="n">
        <v>36000</v>
      </c>
      <c r="J1078" s="24" t="n">
        <v>1.029</v>
      </c>
      <c r="K1078" s="19" t="n">
        <v>0</v>
      </c>
      <c r="L1078" s="13" t="str">
        <f aca="false">IF(D1078&gt;=Inputs!$C$14,"Near-prime","Non-prime")</f>
        <v>Near-prime</v>
      </c>
      <c r="M1078" s="19" t="n">
        <f aca="false">IF(K1078&lt;=Inputs!$C$19,1,0)</f>
        <v>1</v>
      </c>
      <c r="N1078" s="19" t="n">
        <f aca="false">IF(F1078&lt;=Inputs!$C$20,1,0)</f>
        <v>1</v>
      </c>
      <c r="O1078" s="19" t="n">
        <f aca="false">IF(J1078&lt;=Inputs!$C$21,1,0)</f>
        <v>1</v>
      </c>
      <c r="P1078" s="19" t="n">
        <f aca="false">IF(D1078&gt;=Inputs!$C$22,1,0)</f>
        <v>1</v>
      </c>
      <c r="Q1078" s="19" t="n">
        <f aca="false">IF(I1078&lt;=Inputs!$C$23,1,0)</f>
        <v>1</v>
      </c>
      <c r="R1078" s="19" t="n">
        <f aca="false">M1078*N1078*O1078*P1078*Q1078</f>
        <v>1</v>
      </c>
      <c r="S1078" s="14" t="n">
        <f aca="false">I1078*R1078</f>
        <v>36000</v>
      </c>
      <c r="T1078" s="19" t="n">
        <f aca="false">IF(F1078&gt;72,1,0)</f>
        <v>0</v>
      </c>
      <c r="U1078" s="19" t="n">
        <f aca="false">IF(J1078&gt;1.25,1,0)</f>
        <v>0</v>
      </c>
    </row>
    <row r="1079" customFormat="false" ht="15" hidden="false" customHeight="false" outlineLevel="0" collapsed="false">
      <c r="B1079" s="13" t="s">
        <v>1299</v>
      </c>
      <c r="C1079" s="13" t="s">
        <v>226</v>
      </c>
      <c r="D1079" s="19" t="n">
        <v>722</v>
      </c>
      <c r="E1079" s="23" t="n">
        <v>0.1844</v>
      </c>
      <c r="F1079" s="19" t="n">
        <v>75</v>
      </c>
      <c r="G1079" s="19" t="n">
        <v>9</v>
      </c>
      <c r="H1079" s="14" t="n">
        <v>20970</v>
      </c>
      <c r="I1079" s="14" t="n">
        <v>19527.4</v>
      </c>
      <c r="J1079" s="24" t="n">
        <v>1.08</v>
      </c>
      <c r="K1079" s="19" t="n">
        <v>0</v>
      </c>
      <c r="L1079" s="13" t="str">
        <f aca="false">IF(D1079&gt;=Inputs!$C$14,"Near-prime","Non-prime")</f>
        <v>Near-prime</v>
      </c>
      <c r="M1079" s="19" t="n">
        <f aca="false">IF(K1079&lt;=Inputs!$C$19,1,0)</f>
        <v>1</v>
      </c>
      <c r="N1079" s="19" t="n">
        <f aca="false">IF(F1079&lt;=Inputs!$C$20,1,0)</f>
        <v>1</v>
      </c>
      <c r="O1079" s="19" t="n">
        <f aca="false">IF(J1079&lt;=Inputs!$C$21,1,0)</f>
        <v>1</v>
      </c>
      <c r="P1079" s="19" t="n">
        <f aca="false">IF(D1079&gt;=Inputs!$C$22,1,0)</f>
        <v>1</v>
      </c>
      <c r="Q1079" s="19" t="n">
        <f aca="false">IF(I1079&lt;=Inputs!$C$23,1,0)</f>
        <v>1</v>
      </c>
      <c r="R1079" s="19" t="n">
        <f aca="false">M1079*N1079*O1079*P1079*Q1079</f>
        <v>1</v>
      </c>
      <c r="S1079" s="14" t="n">
        <f aca="false">I1079*R1079</f>
        <v>19527.4</v>
      </c>
      <c r="T1079" s="19" t="n">
        <f aca="false">IF(F1079&gt;72,1,0)</f>
        <v>1</v>
      </c>
      <c r="U1079" s="19" t="n">
        <f aca="false">IF(J1079&gt;1.25,1,0)</f>
        <v>0</v>
      </c>
    </row>
    <row r="1080" customFormat="false" ht="15" hidden="false" customHeight="false" outlineLevel="0" collapsed="false">
      <c r="B1080" s="13" t="s">
        <v>1300</v>
      </c>
      <c r="C1080" s="13" t="s">
        <v>223</v>
      </c>
      <c r="D1080" s="19" t="n">
        <v>537</v>
      </c>
      <c r="E1080" s="23" t="n">
        <v>0.2175</v>
      </c>
      <c r="F1080" s="19" t="n">
        <v>72</v>
      </c>
      <c r="G1080" s="19" t="n">
        <v>10</v>
      </c>
      <c r="H1080" s="14" t="n">
        <v>28590</v>
      </c>
      <c r="I1080" s="14" t="n">
        <v>26462.97</v>
      </c>
      <c r="J1080" s="24" t="n">
        <v>1.122</v>
      </c>
      <c r="K1080" s="19" t="n">
        <v>30</v>
      </c>
      <c r="L1080" s="13" t="str">
        <f aca="false">IF(D1080&gt;=Inputs!$C$14,"Near-prime","Non-prime")</f>
        <v>Non-prime</v>
      </c>
      <c r="M1080" s="19" t="n">
        <f aca="false">IF(K1080&lt;=Inputs!$C$19,1,0)</f>
        <v>1</v>
      </c>
      <c r="N1080" s="19" t="n">
        <f aca="false">IF(F1080&lt;=Inputs!$C$20,1,0)</f>
        <v>1</v>
      </c>
      <c r="O1080" s="19" t="n">
        <f aca="false">IF(J1080&lt;=Inputs!$C$21,1,0)</f>
        <v>1</v>
      </c>
      <c r="P1080" s="19" t="n">
        <f aca="false">IF(D1080&gt;=Inputs!$C$22,1,0)</f>
        <v>0</v>
      </c>
      <c r="Q1080" s="19" t="n">
        <f aca="false">IF(I1080&lt;=Inputs!$C$23,1,0)</f>
        <v>1</v>
      </c>
      <c r="R1080" s="19" t="n">
        <f aca="false">M1080*N1080*O1080*P1080*Q1080</f>
        <v>0</v>
      </c>
      <c r="S1080" s="14" t="n">
        <f aca="false">I1080*R1080</f>
        <v>0</v>
      </c>
      <c r="T1080" s="19" t="n">
        <f aca="false">IF(F1080&gt;72,1,0)</f>
        <v>0</v>
      </c>
      <c r="U1080" s="19" t="n">
        <f aca="false">IF(J1080&gt;1.25,1,0)</f>
        <v>0</v>
      </c>
    </row>
    <row r="1081" customFormat="false" ht="15" hidden="false" customHeight="false" outlineLevel="0" collapsed="false">
      <c r="B1081" s="13" t="s">
        <v>1301</v>
      </c>
      <c r="C1081" s="13" t="s">
        <v>217</v>
      </c>
      <c r="D1081" s="19" t="n">
        <v>578</v>
      </c>
      <c r="E1081" s="23" t="n">
        <v>0.2091</v>
      </c>
      <c r="F1081" s="19" t="n">
        <v>66</v>
      </c>
      <c r="G1081" s="19" t="n">
        <v>5</v>
      </c>
      <c r="H1081" s="14" t="n">
        <v>12830</v>
      </c>
      <c r="I1081" s="14" t="n">
        <v>12285.88</v>
      </c>
      <c r="J1081" s="24" t="n">
        <v>1.097</v>
      </c>
      <c r="K1081" s="19" t="n">
        <v>0</v>
      </c>
      <c r="L1081" s="13" t="str">
        <f aca="false">IF(D1081&gt;=Inputs!$C$14,"Near-prime","Non-prime")</f>
        <v>Non-prime</v>
      </c>
      <c r="M1081" s="19" t="n">
        <f aca="false">IF(K1081&lt;=Inputs!$C$19,1,0)</f>
        <v>1</v>
      </c>
      <c r="N1081" s="19" t="n">
        <f aca="false">IF(F1081&lt;=Inputs!$C$20,1,0)</f>
        <v>1</v>
      </c>
      <c r="O1081" s="19" t="n">
        <f aca="false">IF(J1081&lt;=Inputs!$C$21,1,0)</f>
        <v>1</v>
      </c>
      <c r="P1081" s="19" t="n">
        <f aca="false">IF(D1081&gt;=Inputs!$C$22,1,0)</f>
        <v>1</v>
      </c>
      <c r="Q1081" s="19" t="n">
        <f aca="false">IF(I1081&lt;=Inputs!$C$23,1,0)</f>
        <v>1</v>
      </c>
      <c r="R1081" s="19" t="n">
        <f aca="false">M1081*N1081*O1081*P1081*Q1081</f>
        <v>1</v>
      </c>
      <c r="S1081" s="14" t="n">
        <f aca="false">I1081*R1081</f>
        <v>12285.88</v>
      </c>
      <c r="T1081" s="19" t="n">
        <f aca="false">IF(F1081&gt;72,1,0)</f>
        <v>0</v>
      </c>
      <c r="U1081" s="19" t="n">
        <f aca="false">IF(J1081&gt;1.25,1,0)</f>
        <v>0</v>
      </c>
    </row>
    <row r="1082" customFormat="false" ht="15" hidden="false" customHeight="false" outlineLevel="0" collapsed="false">
      <c r="B1082" s="13" t="s">
        <v>1302</v>
      </c>
      <c r="C1082" s="13" t="s">
        <v>223</v>
      </c>
      <c r="D1082" s="19" t="n">
        <v>647</v>
      </c>
      <c r="E1082" s="23" t="n">
        <v>0.2091</v>
      </c>
      <c r="F1082" s="19" t="n">
        <v>66</v>
      </c>
      <c r="G1082" s="19" t="n">
        <v>2</v>
      </c>
      <c r="H1082" s="14" t="n">
        <v>23220</v>
      </c>
      <c r="I1082" s="14" t="n">
        <v>22836.28</v>
      </c>
      <c r="J1082" s="24" t="n">
        <v>1.01</v>
      </c>
      <c r="K1082" s="19" t="n">
        <v>0</v>
      </c>
      <c r="L1082" s="13" t="str">
        <f aca="false">IF(D1082&gt;=Inputs!$C$14,"Near-prime","Non-prime")</f>
        <v>Near-prime</v>
      </c>
      <c r="M1082" s="19" t="n">
        <f aca="false">IF(K1082&lt;=Inputs!$C$19,1,0)</f>
        <v>1</v>
      </c>
      <c r="N1082" s="19" t="n">
        <f aca="false">IF(F1082&lt;=Inputs!$C$20,1,0)</f>
        <v>1</v>
      </c>
      <c r="O1082" s="19" t="n">
        <f aca="false">IF(J1082&lt;=Inputs!$C$21,1,0)</f>
        <v>1</v>
      </c>
      <c r="P1082" s="19" t="n">
        <f aca="false">IF(D1082&gt;=Inputs!$C$22,1,0)</f>
        <v>1</v>
      </c>
      <c r="Q1082" s="19" t="n">
        <f aca="false">IF(I1082&lt;=Inputs!$C$23,1,0)</f>
        <v>1</v>
      </c>
      <c r="R1082" s="19" t="n">
        <f aca="false">M1082*N1082*O1082*P1082*Q1082</f>
        <v>1</v>
      </c>
      <c r="S1082" s="14" t="n">
        <f aca="false">I1082*R1082</f>
        <v>22836.28</v>
      </c>
      <c r="T1082" s="19" t="n">
        <f aca="false">IF(F1082&gt;72,1,0)</f>
        <v>0</v>
      </c>
      <c r="U1082" s="19" t="n">
        <f aca="false">IF(J1082&gt;1.25,1,0)</f>
        <v>0</v>
      </c>
    </row>
    <row r="1083" customFormat="false" ht="15" hidden="false" customHeight="false" outlineLevel="0" collapsed="false">
      <c r="B1083" s="13" t="s">
        <v>1303</v>
      </c>
      <c r="C1083" s="13" t="s">
        <v>217</v>
      </c>
      <c r="D1083" s="19" t="n">
        <v>597</v>
      </c>
      <c r="E1083" s="23" t="n">
        <v>0.2194</v>
      </c>
      <c r="F1083" s="19" t="n">
        <v>60</v>
      </c>
      <c r="G1083" s="19" t="n">
        <v>8</v>
      </c>
      <c r="H1083" s="14" t="n">
        <v>23340</v>
      </c>
      <c r="I1083" s="14" t="n">
        <v>21487.93</v>
      </c>
      <c r="J1083" s="24" t="n">
        <v>1.271</v>
      </c>
      <c r="K1083" s="19" t="n">
        <v>75</v>
      </c>
      <c r="L1083" s="13" t="str">
        <f aca="false">IF(D1083&gt;=Inputs!$C$14,"Near-prime","Non-prime")</f>
        <v>Non-prime</v>
      </c>
      <c r="M1083" s="19" t="n">
        <f aca="false">IF(K1083&lt;=Inputs!$C$19,1,0)</f>
        <v>0</v>
      </c>
      <c r="N1083" s="19" t="n">
        <f aca="false">IF(F1083&lt;=Inputs!$C$20,1,0)</f>
        <v>1</v>
      </c>
      <c r="O1083" s="19" t="n">
        <f aca="false">IF(J1083&lt;=Inputs!$C$21,1,0)</f>
        <v>1</v>
      </c>
      <c r="P1083" s="19" t="n">
        <f aca="false">IF(D1083&gt;=Inputs!$C$22,1,0)</f>
        <v>1</v>
      </c>
      <c r="Q1083" s="19" t="n">
        <f aca="false">IF(I1083&lt;=Inputs!$C$23,1,0)</f>
        <v>1</v>
      </c>
      <c r="R1083" s="19" t="n">
        <f aca="false">M1083*N1083*O1083*P1083*Q1083</f>
        <v>0</v>
      </c>
      <c r="S1083" s="14" t="n">
        <f aca="false">I1083*R1083</f>
        <v>0</v>
      </c>
      <c r="T1083" s="19" t="n">
        <f aca="false">IF(F1083&gt;72,1,0)</f>
        <v>0</v>
      </c>
      <c r="U1083" s="19" t="n">
        <f aca="false">IF(J1083&gt;1.25,1,0)</f>
        <v>1</v>
      </c>
    </row>
    <row r="1084" customFormat="false" ht="15" hidden="false" customHeight="false" outlineLevel="0" collapsed="false">
      <c r="B1084" s="13" t="s">
        <v>1304</v>
      </c>
      <c r="C1084" s="13" t="s">
        <v>217</v>
      </c>
      <c r="D1084" s="19" t="n">
        <v>662</v>
      </c>
      <c r="E1084" s="23" t="n">
        <v>0.1888</v>
      </c>
      <c r="F1084" s="19" t="n">
        <v>84</v>
      </c>
      <c r="G1084" s="19" t="n">
        <v>1</v>
      </c>
      <c r="H1084" s="14" t="n">
        <v>33840</v>
      </c>
      <c r="I1084" s="14" t="n">
        <v>33643.61</v>
      </c>
      <c r="J1084" s="24" t="n">
        <v>0.94</v>
      </c>
      <c r="K1084" s="19" t="n">
        <v>0</v>
      </c>
      <c r="L1084" s="13" t="str">
        <f aca="false">IF(D1084&gt;=Inputs!$C$14,"Near-prime","Non-prime")</f>
        <v>Near-prime</v>
      </c>
      <c r="M1084" s="19" t="n">
        <f aca="false">IF(K1084&lt;=Inputs!$C$19,1,0)</f>
        <v>1</v>
      </c>
      <c r="N1084" s="19" t="n">
        <f aca="false">IF(F1084&lt;=Inputs!$C$20,1,0)</f>
        <v>0</v>
      </c>
      <c r="O1084" s="19" t="n">
        <f aca="false">IF(J1084&lt;=Inputs!$C$21,1,0)</f>
        <v>1</v>
      </c>
      <c r="P1084" s="19" t="n">
        <f aca="false">IF(D1084&gt;=Inputs!$C$22,1,0)</f>
        <v>1</v>
      </c>
      <c r="Q1084" s="19" t="n">
        <f aca="false">IF(I1084&lt;=Inputs!$C$23,1,0)</f>
        <v>1</v>
      </c>
      <c r="R1084" s="19" t="n">
        <f aca="false">M1084*N1084*O1084*P1084*Q1084</f>
        <v>0</v>
      </c>
      <c r="S1084" s="14" t="n">
        <f aca="false">I1084*R1084</f>
        <v>0</v>
      </c>
      <c r="T1084" s="19" t="n">
        <f aca="false">IF(F1084&gt;72,1,0)</f>
        <v>1</v>
      </c>
      <c r="U1084" s="19" t="n">
        <f aca="false">IF(J1084&gt;1.25,1,0)</f>
        <v>0</v>
      </c>
    </row>
    <row r="1085" customFormat="false" ht="15" hidden="false" customHeight="false" outlineLevel="0" collapsed="false">
      <c r="B1085" s="13" t="s">
        <v>1305</v>
      </c>
      <c r="C1085" s="13" t="s">
        <v>217</v>
      </c>
      <c r="D1085" s="19" t="n">
        <v>719</v>
      </c>
      <c r="E1085" s="23" t="n">
        <v>0.1886</v>
      </c>
      <c r="F1085" s="19" t="n">
        <v>72</v>
      </c>
      <c r="G1085" s="19" t="n">
        <v>5</v>
      </c>
      <c r="H1085" s="14" t="n">
        <v>20510</v>
      </c>
      <c r="I1085" s="14" t="n">
        <v>19707.85</v>
      </c>
      <c r="J1085" s="24" t="n">
        <v>1.139</v>
      </c>
      <c r="K1085" s="19" t="n">
        <v>0</v>
      </c>
      <c r="L1085" s="13" t="str">
        <f aca="false">IF(D1085&gt;=Inputs!$C$14,"Near-prime","Non-prime")</f>
        <v>Near-prime</v>
      </c>
      <c r="M1085" s="19" t="n">
        <f aca="false">IF(K1085&lt;=Inputs!$C$19,1,0)</f>
        <v>1</v>
      </c>
      <c r="N1085" s="19" t="n">
        <f aca="false">IF(F1085&lt;=Inputs!$C$20,1,0)</f>
        <v>1</v>
      </c>
      <c r="O1085" s="19" t="n">
        <f aca="false">IF(J1085&lt;=Inputs!$C$21,1,0)</f>
        <v>1</v>
      </c>
      <c r="P1085" s="19" t="n">
        <f aca="false">IF(D1085&gt;=Inputs!$C$22,1,0)</f>
        <v>1</v>
      </c>
      <c r="Q1085" s="19" t="n">
        <f aca="false">IF(I1085&lt;=Inputs!$C$23,1,0)</f>
        <v>1</v>
      </c>
      <c r="R1085" s="19" t="n">
        <f aca="false">M1085*N1085*O1085*P1085*Q1085</f>
        <v>1</v>
      </c>
      <c r="S1085" s="14" t="n">
        <f aca="false">I1085*R1085</f>
        <v>19707.85</v>
      </c>
      <c r="T1085" s="19" t="n">
        <f aca="false">IF(F1085&gt;72,1,0)</f>
        <v>0</v>
      </c>
      <c r="U1085" s="19" t="n">
        <f aca="false">IF(J1085&gt;1.25,1,0)</f>
        <v>0</v>
      </c>
    </row>
    <row r="1086" customFormat="false" ht="15" hidden="false" customHeight="false" outlineLevel="0" collapsed="false">
      <c r="B1086" s="13" t="s">
        <v>1306</v>
      </c>
      <c r="C1086" s="13" t="s">
        <v>233</v>
      </c>
      <c r="D1086" s="19" t="n">
        <v>685</v>
      </c>
      <c r="E1086" s="23" t="n">
        <v>0.1855</v>
      </c>
      <c r="F1086" s="19" t="n">
        <v>72</v>
      </c>
      <c r="G1086" s="19" t="n">
        <v>0</v>
      </c>
      <c r="H1086" s="14" t="n">
        <v>49330</v>
      </c>
      <c r="I1086" s="14" t="n">
        <v>49330</v>
      </c>
      <c r="J1086" s="24" t="n">
        <v>0.957</v>
      </c>
      <c r="K1086" s="19" t="n">
        <v>0</v>
      </c>
      <c r="L1086" s="13" t="str">
        <f aca="false">IF(D1086&gt;=Inputs!$C$14,"Near-prime","Non-prime")</f>
        <v>Near-prime</v>
      </c>
      <c r="M1086" s="19" t="n">
        <f aca="false">IF(K1086&lt;=Inputs!$C$19,1,0)</f>
        <v>1</v>
      </c>
      <c r="N1086" s="19" t="n">
        <f aca="false">IF(F1086&lt;=Inputs!$C$20,1,0)</f>
        <v>1</v>
      </c>
      <c r="O1086" s="19" t="n">
        <f aca="false">IF(J1086&lt;=Inputs!$C$21,1,0)</f>
        <v>1</v>
      </c>
      <c r="P1086" s="19" t="n">
        <f aca="false">IF(D1086&gt;=Inputs!$C$22,1,0)</f>
        <v>1</v>
      </c>
      <c r="Q1086" s="19" t="n">
        <f aca="false">IF(I1086&lt;=Inputs!$C$23,1,0)</f>
        <v>1</v>
      </c>
      <c r="R1086" s="19" t="n">
        <f aca="false">M1086*N1086*O1086*P1086*Q1086</f>
        <v>1</v>
      </c>
      <c r="S1086" s="14" t="n">
        <f aca="false">I1086*R1086</f>
        <v>49330</v>
      </c>
      <c r="T1086" s="19" t="n">
        <f aca="false">IF(F1086&gt;72,1,0)</f>
        <v>0</v>
      </c>
      <c r="U1086" s="19" t="n">
        <f aca="false">IF(J1086&gt;1.25,1,0)</f>
        <v>0</v>
      </c>
    </row>
    <row r="1087" customFormat="false" ht="15" hidden="false" customHeight="false" outlineLevel="0" collapsed="false">
      <c r="B1087" s="13" t="s">
        <v>1307</v>
      </c>
      <c r="C1087" s="13" t="s">
        <v>221</v>
      </c>
      <c r="D1087" s="19" t="n">
        <v>638</v>
      </c>
      <c r="E1087" s="23" t="n">
        <v>0.2173</v>
      </c>
      <c r="F1087" s="19" t="n">
        <v>72</v>
      </c>
      <c r="G1087" s="19" t="n">
        <v>4</v>
      </c>
      <c r="H1087" s="14" t="n">
        <v>9820</v>
      </c>
      <c r="I1087" s="14" t="n">
        <v>9543.22</v>
      </c>
      <c r="J1087" s="24" t="n">
        <v>1.069</v>
      </c>
      <c r="K1087" s="19" t="n">
        <v>0</v>
      </c>
      <c r="L1087" s="13" t="str">
        <f aca="false">IF(D1087&gt;=Inputs!$C$14,"Near-prime","Non-prime")</f>
        <v>Near-prime</v>
      </c>
      <c r="M1087" s="19" t="n">
        <f aca="false">IF(K1087&lt;=Inputs!$C$19,1,0)</f>
        <v>1</v>
      </c>
      <c r="N1087" s="19" t="n">
        <f aca="false">IF(F1087&lt;=Inputs!$C$20,1,0)</f>
        <v>1</v>
      </c>
      <c r="O1087" s="19" t="n">
        <f aca="false">IF(J1087&lt;=Inputs!$C$21,1,0)</f>
        <v>1</v>
      </c>
      <c r="P1087" s="19" t="n">
        <f aca="false">IF(D1087&gt;=Inputs!$C$22,1,0)</f>
        <v>1</v>
      </c>
      <c r="Q1087" s="19" t="n">
        <f aca="false">IF(I1087&lt;=Inputs!$C$23,1,0)</f>
        <v>1</v>
      </c>
      <c r="R1087" s="19" t="n">
        <f aca="false">M1087*N1087*O1087*P1087*Q1087</f>
        <v>1</v>
      </c>
      <c r="S1087" s="14" t="n">
        <f aca="false">I1087*R1087</f>
        <v>9543.22</v>
      </c>
      <c r="T1087" s="19" t="n">
        <f aca="false">IF(F1087&gt;72,1,0)</f>
        <v>0</v>
      </c>
      <c r="U1087" s="19" t="n">
        <f aca="false">IF(J1087&gt;1.25,1,0)</f>
        <v>0</v>
      </c>
    </row>
    <row r="1088" customFormat="false" ht="15" hidden="false" customHeight="false" outlineLevel="0" collapsed="false">
      <c r="B1088" s="13" t="s">
        <v>1308</v>
      </c>
      <c r="C1088" s="13" t="s">
        <v>252</v>
      </c>
      <c r="D1088" s="19" t="n">
        <v>678</v>
      </c>
      <c r="E1088" s="23" t="n">
        <v>0.2094</v>
      </c>
      <c r="F1088" s="19" t="n">
        <v>60</v>
      </c>
      <c r="G1088" s="19" t="n">
        <v>0</v>
      </c>
      <c r="H1088" s="14" t="n">
        <v>34860</v>
      </c>
      <c r="I1088" s="14" t="n">
        <v>34860</v>
      </c>
      <c r="J1088" s="24" t="n">
        <v>1.356</v>
      </c>
      <c r="K1088" s="19" t="n">
        <v>0</v>
      </c>
      <c r="L1088" s="13" t="str">
        <f aca="false">IF(D1088&gt;=Inputs!$C$14,"Near-prime","Non-prime")</f>
        <v>Near-prime</v>
      </c>
      <c r="M1088" s="19" t="n">
        <f aca="false">IF(K1088&lt;=Inputs!$C$19,1,0)</f>
        <v>1</v>
      </c>
      <c r="N1088" s="19" t="n">
        <f aca="false">IF(F1088&lt;=Inputs!$C$20,1,0)</f>
        <v>1</v>
      </c>
      <c r="O1088" s="19" t="n">
        <f aca="false">IF(J1088&lt;=Inputs!$C$21,1,0)</f>
        <v>1</v>
      </c>
      <c r="P1088" s="19" t="n">
        <f aca="false">IF(D1088&gt;=Inputs!$C$22,1,0)</f>
        <v>1</v>
      </c>
      <c r="Q1088" s="19" t="n">
        <f aca="false">IF(I1088&lt;=Inputs!$C$23,1,0)</f>
        <v>1</v>
      </c>
      <c r="R1088" s="19" t="n">
        <f aca="false">M1088*N1088*O1088*P1088*Q1088</f>
        <v>1</v>
      </c>
      <c r="S1088" s="14" t="n">
        <f aca="false">I1088*R1088</f>
        <v>34860</v>
      </c>
      <c r="T1088" s="19" t="n">
        <f aca="false">IF(F1088&gt;72,1,0)</f>
        <v>0</v>
      </c>
      <c r="U1088" s="19" t="n">
        <f aca="false">IF(J1088&gt;1.25,1,0)</f>
        <v>1</v>
      </c>
    </row>
    <row r="1089" customFormat="false" ht="15" hidden="false" customHeight="false" outlineLevel="0" collapsed="false">
      <c r="B1089" s="13" t="s">
        <v>1309</v>
      </c>
      <c r="C1089" s="13" t="s">
        <v>217</v>
      </c>
      <c r="D1089" s="19" t="n">
        <v>666</v>
      </c>
      <c r="E1089" s="23" t="n">
        <v>0.2162</v>
      </c>
      <c r="F1089" s="19" t="n">
        <v>72</v>
      </c>
      <c r="G1089" s="19" t="n">
        <v>8</v>
      </c>
      <c r="H1089" s="14" t="n">
        <v>12980</v>
      </c>
      <c r="I1089" s="14" t="n">
        <v>12218.38</v>
      </c>
      <c r="J1089" s="24" t="n">
        <v>1.224</v>
      </c>
      <c r="K1089" s="19" t="n">
        <v>0</v>
      </c>
      <c r="L1089" s="13" t="str">
        <f aca="false">IF(D1089&gt;=Inputs!$C$14,"Near-prime","Non-prime")</f>
        <v>Near-prime</v>
      </c>
      <c r="M1089" s="19" t="n">
        <f aca="false">IF(K1089&lt;=Inputs!$C$19,1,0)</f>
        <v>1</v>
      </c>
      <c r="N1089" s="19" t="n">
        <f aca="false">IF(F1089&lt;=Inputs!$C$20,1,0)</f>
        <v>1</v>
      </c>
      <c r="O1089" s="19" t="n">
        <f aca="false">IF(J1089&lt;=Inputs!$C$21,1,0)</f>
        <v>1</v>
      </c>
      <c r="P1089" s="19" t="n">
        <f aca="false">IF(D1089&gt;=Inputs!$C$22,1,0)</f>
        <v>1</v>
      </c>
      <c r="Q1089" s="19" t="n">
        <f aca="false">IF(I1089&lt;=Inputs!$C$23,1,0)</f>
        <v>1</v>
      </c>
      <c r="R1089" s="19" t="n">
        <f aca="false">M1089*N1089*O1089*P1089*Q1089</f>
        <v>1</v>
      </c>
      <c r="S1089" s="14" t="n">
        <f aca="false">I1089*R1089</f>
        <v>12218.38</v>
      </c>
      <c r="T1089" s="19" t="n">
        <f aca="false">IF(F1089&gt;72,1,0)</f>
        <v>0</v>
      </c>
      <c r="U1089" s="19" t="n">
        <f aca="false">IF(J1089&gt;1.25,1,0)</f>
        <v>0</v>
      </c>
    </row>
    <row r="1090" customFormat="false" ht="15" hidden="false" customHeight="false" outlineLevel="0" collapsed="false">
      <c r="B1090" s="13" t="s">
        <v>1310</v>
      </c>
      <c r="C1090" s="13" t="s">
        <v>217</v>
      </c>
      <c r="D1090" s="19" t="n">
        <v>582</v>
      </c>
      <c r="E1090" s="23" t="n">
        <v>0.2177</v>
      </c>
      <c r="F1090" s="19" t="n">
        <v>60</v>
      </c>
      <c r="G1090" s="19" t="n">
        <v>2</v>
      </c>
      <c r="H1090" s="14" t="n">
        <v>33880</v>
      </c>
      <c r="I1090" s="14" t="n">
        <v>33240.93</v>
      </c>
      <c r="J1090" s="24" t="n">
        <v>1.135</v>
      </c>
      <c r="K1090" s="19" t="n">
        <v>0</v>
      </c>
      <c r="L1090" s="13" t="str">
        <f aca="false">IF(D1090&gt;=Inputs!$C$14,"Near-prime","Non-prime")</f>
        <v>Non-prime</v>
      </c>
      <c r="M1090" s="19" t="n">
        <f aca="false">IF(K1090&lt;=Inputs!$C$19,1,0)</f>
        <v>1</v>
      </c>
      <c r="N1090" s="19" t="n">
        <f aca="false">IF(F1090&lt;=Inputs!$C$20,1,0)</f>
        <v>1</v>
      </c>
      <c r="O1090" s="19" t="n">
        <f aca="false">IF(J1090&lt;=Inputs!$C$21,1,0)</f>
        <v>1</v>
      </c>
      <c r="P1090" s="19" t="n">
        <f aca="false">IF(D1090&gt;=Inputs!$C$22,1,0)</f>
        <v>1</v>
      </c>
      <c r="Q1090" s="19" t="n">
        <f aca="false">IF(I1090&lt;=Inputs!$C$23,1,0)</f>
        <v>1</v>
      </c>
      <c r="R1090" s="19" t="n">
        <f aca="false">M1090*N1090*O1090*P1090*Q1090</f>
        <v>1</v>
      </c>
      <c r="S1090" s="14" t="n">
        <f aca="false">I1090*R1090</f>
        <v>33240.93</v>
      </c>
      <c r="T1090" s="19" t="n">
        <f aca="false">IF(F1090&gt;72,1,0)</f>
        <v>0</v>
      </c>
      <c r="U1090" s="19" t="n">
        <f aca="false">IF(J1090&gt;1.25,1,0)</f>
        <v>0</v>
      </c>
    </row>
    <row r="1091" customFormat="false" ht="15" hidden="false" customHeight="false" outlineLevel="0" collapsed="false">
      <c r="B1091" s="13" t="s">
        <v>1311</v>
      </c>
      <c r="C1091" s="13" t="s">
        <v>252</v>
      </c>
      <c r="D1091" s="19" t="n">
        <v>617</v>
      </c>
      <c r="E1091" s="23" t="n">
        <v>0.2062</v>
      </c>
      <c r="F1091" s="19" t="n">
        <v>60</v>
      </c>
      <c r="G1091" s="19" t="n">
        <v>6</v>
      </c>
      <c r="H1091" s="14" t="n">
        <v>31690</v>
      </c>
      <c r="I1091" s="14" t="n">
        <v>29773.17</v>
      </c>
      <c r="J1091" s="24" t="n">
        <v>1.045</v>
      </c>
      <c r="K1091" s="19" t="n">
        <v>45</v>
      </c>
      <c r="L1091" s="13" t="str">
        <f aca="false">IF(D1091&gt;=Inputs!$C$14,"Near-prime","Non-prime")</f>
        <v>Non-prime</v>
      </c>
      <c r="M1091" s="19" t="n">
        <f aca="false">IF(K1091&lt;=Inputs!$C$19,1,0)</f>
        <v>1</v>
      </c>
      <c r="N1091" s="19" t="n">
        <f aca="false">IF(F1091&lt;=Inputs!$C$20,1,0)</f>
        <v>1</v>
      </c>
      <c r="O1091" s="19" t="n">
        <f aca="false">IF(J1091&lt;=Inputs!$C$21,1,0)</f>
        <v>1</v>
      </c>
      <c r="P1091" s="19" t="n">
        <f aca="false">IF(D1091&gt;=Inputs!$C$22,1,0)</f>
        <v>1</v>
      </c>
      <c r="Q1091" s="19" t="n">
        <f aca="false">IF(I1091&lt;=Inputs!$C$23,1,0)</f>
        <v>1</v>
      </c>
      <c r="R1091" s="19" t="n">
        <f aca="false">M1091*N1091*O1091*P1091*Q1091</f>
        <v>1</v>
      </c>
      <c r="S1091" s="14" t="n">
        <f aca="false">I1091*R1091</f>
        <v>29773.17</v>
      </c>
      <c r="T1091" s="19" t="n">
        <f aca="false">IF(F1091&gt;72,1,0)</f>
        <v>0</v>
      </c>
      <c r="U1091" s="19" t="n">
        <f aca="false">IF(J1091&gt;1.25,1,0)</f>
        <v>0</v>
      </c>
    </row>
    <row r="1092" customFormat="false" ht="15" hidden="false" customHeight="false" outlineLevel="0" collapsed="false">
      <c r="B1092" s="13" t="s">
        <v>1312</v>
      </c>
      <c r="C1092" s="13" t="s">
        <v>223</v>
      </c>
      <c r="D1092" s="19" t="n">
        <v>672</v>
      </c>
      <c r="E1092" s="23" t="n">
        <v>0.2011</v>
      </c>
      <c r="F1092" s="19" t="n">
        <v>66</v>
      </c>
      <c r="G1092" s="19" t="n">
        <v>9</v>
      </c>
      <c r="H1092" s="14" t="n">
        <v>19090</v>
      </c>
      <c r="I1092" s="14" t="n">
        <v>17546</v>
      </c>
      <c r="J1092" s="24" t="n">
        <v>1.348</v>
      </c>
      <c r="K1092" s="19" t="n">
        <v>0</v>
      </c>
      <c r="L1092" s="13" t="str">
        <f aca="false">IF(D1092&gt;=Inputs!$C$14,"Near-prime","Non-prime")</f>
        <v>Near-prime</v>
      </c>
      <c r="M1092" s="19" t="n">
        <f aca="false">IF(K1092&lt;=Inputs!$C$19,1,0)</f>
        <v>1</v>
      </c>
      <c r="N1092" s="19" t="n">
        <f aca="false">IF(F1092&lt;=Inputs!$C$20,1,0)</f>
        <v>1</v>
      </c>
      <c r="O1092" s="19" t="n">
        <f aca="false">IF(J1092&lt;=Inputs!$C$21,1,0)</f>
        <v>1</v>
      </c>
      <c r="P1092" s="19" t="n">
        <f aca="false">IF(D1092&gt;=Inputs!$C$22,1,0)</f>
        <v>1</v>
      </c>
      <c r="Q1092" s="19" t="n">
        <f aca="false">IF(I1092&lt;=Inputs!$C$23,1,0)</f>
        <v>1</v>
      </c>
      <c r="R1092" s="19" t="n">
        <f aca="false">M1092*N1092*O1092*P1092*Q1092</f>
        <v>1</v>
      </c>
      <c r="S1092" s="14" t="n">
        <f aca="false">I1092*R1092</f>
        <v>17546</v>
      </c>
      <c r="T1092" s="19" t="n">
        <f aca="false">IF(F1092&gt;72,1,0)</f>
        <v>0</v>
      </c>
      <c r="U1092" s="19" t="n">
        <f aca="false">IF(J1092&gt;1.25,1,0)</f>
        <v>1</v>
      </c>
    </row>
    <row r="1093" customFormat="false" ht="15" hidden="false" customHeight="false" outlineLevel="0" collapsed="false">
      <c r="B1093" s="13" t="s">
        <v>1313</v>
      </c>
      <c r="C1093" s="13" t="s">
        <v>223</v>
      </c>
      <c r="D1093" s="19" t="n">
        <v>644</v>
      </c>
      <c r="E1093" s="23" t="n">
        <v>0.2012</v>
      </c>
      <c r="F1093" s="19" t="n">
        <v>66</v>
      </c>
      <c r="G1093" s="19" t="n">
        <v>10</v>
      </c>
      <c r="H1093" s="14" t="n">
        <v>21000</v>
      </c>
      <c r="I1093" s="14" t="n">
        <v>19097.17</v>
      </c>
      <c r="J1093" s="24" t="n">
        <v>1.204</v>
      </c>
      <c r="K1093" s="19" t="n">
        <v>0</v>
      </c>
      <c r="L1093" s="13" t="str">
        <f aca="false">IF(D1093&gt;=Inputs!$C$14,"Near-prime","Non-prime")</f>
        <v>Near-prime</v>
      </c>
      <c r="M1093" s="19" t="n">
        <f aca="false">IF(K1093&lt;=Inputs!$C$19,1,0)</f>
        <v>1</v>
      </c>
      <c r="N1093" s="19" t="n">
        <f aca="false">IF(F1093&lt;=Inputs!$C$20,1,0)</f>
        <v>1</v>
      </c>
      <c r="O1093" s="19" t="n">
        <f aca="false">IF(J1093&lt;=Inputs!$C$21,1,0)</f>
        <v>1</v>
      </c>
      <c r="P1093" s="19" t="n">
        <f aca="false">IF(D1093&gt;=Inputs!$C$22,1,0)</f>
        <v>1</v>
      </c>
      <c r="Q1093" s="19" t="n">
        <f aca="false">IF(I1093&lt;=Inputs!$C$23,1,0)</f>
        <v>1</v>
      </c>
      <c r="R1093" s="19" t="n">
        <f aca="false">M1093*N1093*O1093*P1093*Q1093</f>
        <v>1</v>
      </c>
      <c r="S1093" s="14" t="n">
        <f aca="false">I1093*R1093</f>
        <v>19097.17</v>
      </c>
      <c r="T1093" s="19" t="n">
        <f aca="false">IF(F1093&gt;72,1,0)</f>
        <v>0</v>
      </c>
      <c r="U1093" s="19" t="n">
        <f aca="false">IF(J1093&gt;1.25,1,0)</f>
        <v>0</v>
      </c>
    </row>
    <row r="1094" customFormat="false" ht="15" hidden="false" customHeight="false" outlineLevel="0" collapsed="false">
      <c r="B1094" s="13" t="s">
        <v>1314</v>
      </c>
      <c r="C1094" s="13" t="s">
        <v>217</v>
      </c>
      <c r="D1094" s="19" t="n">
        <v>665</v>
      </c>
      <c r="E1094" s="23" t="n">
        <v>0.2029</v>
      </c>
      <c r="F1094" s="19" t="n">
        <v>66</v>
      </c>
      <c r="G1094" s="19" t="n">
        <v>9</v>
      </c>
      <c r="H1094" s="14" t="n">
        <v>21940</v>
      </c>
      <c r="I1094" s="14" t="n">
        <v>20174.46</v>
      </c>
      <c r="J1094" s="24" t="n">
        <v>1.092</v>
      </c>
      <c r="K1094" s="19" t="n">
        <v>0</v>
      </c>
      <c r="L1094" s="13" t="str">
        <f aca="false">IF(D1094&gt;=Inputs!$C$14,"Near-prime","Non-prime")</f>
        <v>Near-prime</v>
      </c>
      <c r="M1094" s="19" t="n">
        <f aca="false">IF(K1094&lt;=Inputs!$C$19,1,0)</f>
        <v>1</v>
      </c>
      <c r="N1094" s="19" t="n">
        <f aca="false">IF(F1094&lt;=Inputs!$C$20,1,0)</f>
        <v>1</v>
      </c>
      <c r="O1094" s="19" t="n">
        <f aca="false">IF(J1094&lt;=Inputs!$C$21,1,0)</f>
        <v>1</v>
      </c>
      <c r="P1094" s="19" t="n">
        <f aca="false">IF(D1094&gt;=Inputs!$C$22,1,0)</f>
        <v>1</v>
      </c>
      <c r="Q1094" s="19" t="n">
        <f aca="false">IF(I1094&lt;=Inputs!$C$23,1,0)</f>
        <v>1</v>
      </c>
      <c r="R1094" s="19" t="n">
        <f aca="false">M1094*N1094*O1094*P1094*Q1094</f>
        <v>1</v>
      </c>
      <c r="S1094" s="14" t="n">
        <f aca="false">I1094*R1094</f>
        <v>20174.46</v>
      </c>
      <c r="T1094" s="19" t="n">
        <f aca="false">IF(F1094&gt;72,1,0)</f>
        <v>0</v>
      </c>
      <c r="U1094" s="19" t="n">
        <f aca="false">IF(J1094&gt;1.25,1,0)</f>
        <v>0</v>
      </c>
    </row>
    <row r="1095" customFormat="false" ht="15" hidden="false" customHeight="false" outlineLevel="0" collapsed="false">
      <c r="B1095" s="13" t="s">
        <v>1315</v>
      </c>
      <c r="C1095" s="13" t="s">
        <v>237</v>
      </c>
      <c r="D1095" s="19" t="n">
        <v>694</v>
      </c>
      <c r="E1095" s="23" t="n">
        <v>0.1902</v>
      </c>
      <c r="F1095" s="19" t="n">
        <v>75</v>
      </c>
      <c r="G1095" s="19" t="n">
        <v>8</v>
      </c>
      <c r="H1095" s="14" t="n">
        <v>31610</v>
      </c>
      <c r="I1095" s="14" t="n">
        <v>29728.68</v>
      </c>
      <c r="J1095" s="24" t="n">
        <v>0.938</v>
      </c>
      <c r="K1095" s="19" t="n">
        <v>0</v>
      </c>
      <c r="L1095" s="13" t="str">
        <f aca="false">IF(D1095&gt;=Inputs!$C$14,"Near-prime","Non-prime")</f>
        <v>Near-prime</v>
      </c>
      <c r="M1095" s="19" t="n">
        <f aca="false">IF(K1095&lt;=Inputs!$C$19,1,0)</f>
        <v>1</v>
      </c>
      <c r="N1095" s="19" t="n">
        <f aca="false">IF(F1095&lt;=Inputs!$C$20,1,0)</f>
        <v>1</v>
      </c>
      <c r="O1095" s="19" t="n">
        <f aca="false">IF(J1095&lt;=Inputs!$C$21,1,0)</f>
        <v>1</v>
      </c>
      <c r="P1095" s="19" t="n">
        <f aca="false">IF(D1095&gt;=Inputs!$C$22,1,0)</f>
        <v>1</v>
      </c>
      <c r="Q1095" s="19" t="n">
        <f aca="false">IF(I1095&lt;=Inputs!$C$23,1,0)</f>
        <v>1</v>
      </c>
      <c r="R1095" s="19" t="n">
        <f aca="false">M1095*N1095*O1095*P1095*Q1095</f>
        <v>1</v>
      </c>
      <c r="S1095" s="14" t="n">
        <f aca="false">I1095*R1095</f>
        <v>29728.68</v>
      </c>
      <c r="T1095" s="19" t="n">
        <f aca="false">IF(F1095&gt;72,1,0)</f>
        <v>1</v>
      </c>
      <c r="U1095" s="19" t="n">
        <f aca="false">IF(J1095&gt;1.25,1,0)</f>
        <v>0</v>
      </c>
    </row>
    <row r="1096" customFormat="false" ht="15" hidden="false" customHeight="false" outlineLevel="0" collapsed="false">
      <c r="B1096" s="13" t="s">
        <v>1316</v>
      </c>
      <c r="C1096" s="13" t="s">
        <v>228</v>
      </c>
      <c r="D1096" s="19" t="n">
        <v>522</v>
      </c>
      <c r="E1096" s="23" t="n">
        <v>0.2201</v>
      </c>
      <c r="F1096" s="19" t="n">
        <v>60</v>
      </c>
      <c r="G1096" s="19" t="n">
        <v>6</v>
      </c>
      <c r="H1096" s="14" t="n">
        <v>20040</v>
      </c>
      <c r="I1096" s="14" t="n">
        <v>18871.37</v>
      </c>
      <c r="J1096" s="24" t="n">
        <v>0.913</v>
      </c>
      <c r="K1096" s="19" t="n">
        <v>0</v>
      </c>
      <c r="L1096" s="13" t="str">
        <f aca="false">IF(D1096&gt;=Inputs!$C$14,"Near-prime","Non-prime")</f>
        <v>Non-prime</v>
      </c>
      <c r="M1096" s="19" t="n">
        <f aca="false">IF(K1096&lt;=Inputs!$C$19,1,0)</f>
        <v>1</v>
      </c>
      <c r="N1096" s="19" t="n">
        <f aca="false">IF(F1096&lt;=Inputs!$C$20,1,0)</f>
        <v>1</v>
      </c>
      <c r="O1096" s="19" t="n">
        <f aca="false">IF(J1096&lt;=Inputs!$C$21,1,0)</f>
        <v>1</v>
      </c>
      <c r="P1096" s="19" t="n">
        <f aca="false">IF(D1096&gt;=Inputs!$C$22,1,0)</f>
        <v>0</v>
      </c>
      <c r="Q1096" s="19" t="n">
        <f aca="false">IF(I1096&lt;=Inputs!$C$23,1,0)</f>
        <v>1</v>
      </c>
      <c r="R1096" s="19" t="n">
        <f aca="false">M1096*N1096*O1096*P1096*Q1096</f>
        <v>0</v>
      </c>
      <c r="S1096" s="14" t="n">
        <f aca="false">I1096*R1096</f>
        <v>0</v>
      </c>
      <c r="T1096" s="19" t="n">
        <f aca="false">IF(F1096&gt;72,1,0)</f>
        <v>0</v>
      </c>
      <c r="U1096" s="19" t="n">
        <f aca="false">IF(J1096&gt;1.25,1,0)</f>
        <v>0</v>
      </c>
    </row>
    <row r="1097" customFormat="false" ht="15" hidden="false" customHeight="false" outlineLevel="0" collapsed="false">
      <c r="B1097" s="13" t="s">
        <v>1317</v>
      </c>
      <c r="C1097" s="13" t="s">
        <v>223</v>
      </c>
      <c r="D1097" s="19" t="n">
        <v>725</v>
      </c>
      <c r="E1097" s="23" t="n">
        <v>0.1928</v>
      </c>
      <c r="F1097" s="19" t="n">
        <v>72</v>
      </c>
      <c r="G1097" s="19" t="n">
        <v>9</v>
      </c>
      <c r="H1097" s="14" t="n">
        <v>27060</v>
      </c>
      <c r="I1097" s="14" t="n">
        <v>25119.18</v>
      </c>
      <c r="J1097" s="24" t="n">
        <v>1.138</v>
      </c>
      <c r="K1097" s="19" t="n">
        <v>0</v>
      </c>
      <c r="L1097" s="13" t="str">
        <f aca="false">IF(D1097&gt;=Inputs!$C$14,"Near-prime","Non-prime")</f>
        <v>Near-prime</v>
      </c>
      <c r="M1097" s="19" t="n">
        <f aca="false">IF(K1097&lt;=Inputs!$C$19,1,0)</f>
        <v>1</v>
      </c>
      <c r="N1097" s="19" t="n">
        <f aca="false">IF(F1097&lt;=Inputs!$C$20,1,0)</f>
        <v>1</v>
      </c>
      <c r="O1097" s="19" t="n">
        <f aca="false">IF(J1097&lt;=Inputs!$C$21,1,0)</f>
        <v>1</v>
      </c>
      <c r="P1097" s="19" t="n">
        <f aca="false">IF(D1097&gt;=Inputs!$C$22,1,0)</f>
        <v>1</v>
      </c>
      <c r="Q1097" s="19" t="n">
        <f aca="false">IF(I1097&lt;=Inputs!$C$23,1,0)</f>
        <v>1</v>
      </c>
      <c r="R1097" s="19" t="n">
        <f aca="false">M1097*N1097*O1097*P1097*Q1097</f>
        <v>1</v>
      </c>
      <c r="S1097" s="14" t="n">
        <f aca="false">I1097*R1097</f>
        <v>25119.18</v>
      </c>
      <c r="T1097" s="19" t="n">
        <f aca="false">IF(F1097&gt;72,1,0)</f>
        <v>0</v>
      </c>
      <c r="U1097" s="19" t="n">
        <f aca="false">IF(J1097&gt;1.25,1,0)</f>
        <v>0</v>
      </c>
    </row>
    <row r="1098" customFormat="false" ht="15" hidden="false" customHeight="false" outlineLevel="0" collapsed="false">
      <c r="B1098" s="13" t="s">
        <v>1318</v>
      </c>
      <c r="C1098" s="13" t="s">
        <v>223</v>
      </c>
      <c r="D1098" s="19" t="n">
        <v>549</v>
      </c>
      <c r="E1098" s="23" t="n">
        <v>0.2385</v>
      </c>
      <c r="F1098" s="19" t="n">
        <v>60</v>
      </c>
      <c r="G1098" s="19" t="n">
        <v>2</v>
      </c>
      <c r="H1098" s="14" t="n">
        <v>24800</v>
      </c>
      <c r="I1098" s="14" t="n">
        <v>24358.88</v>
      </c>
      <c r="J1098" s="24" t="n">
        <v>1.037</v>
      </c>
      <c r="K1098" s="19" t="n">
        <v>0</v>
      </c>
      <c r="L1098" s="13" t="str">
        <f aca="false">IF(D1098&gt;=Inputs!$C$14,"Near-prime","Non-prime")</f>
        <v>Non-prime</v>
      </c>
      <c r="M1098" s="19" t="n">
        <f aca="false">IF(K1098&lt;=Inputs!$C$19,1,0)</f>
        <v>1</v>
      </c>
      <c r="N1098" s="19" t="n">
        <f aca="false">IF(F1098&lt;=Inputs!$C$20,1,0)</f>
        <v>1</v>
      </c>
      <c r="O1098" s="19" t="n">
        <f aca="false">IF(J1098&lt;=Inputs!$C$21,1,0)</f>
        <v>1</v>
      </c>
      <c r="P1098" s="19" t="n">
        <f aca="false">IF(D1098&gt;=Inputs!$C$22,1,0)</f>
        <v>1</v>
      </c>
      <c r="Q1098" s="19" t="n">
        <f aca="false">IF(I1098&lt;=Inputs!$C$23,1,0)</f>
        <v>1</v>
      </c>
      <c r="R1098" s="19" t="n">
        <f aca="false">M1098*N1098*O1098*P1098*Q1098</f>
        <v>1</v>
      </c>
      <c r="S1098" s="14" t="n">
        <f aca="false">I1098*R1098</f>
        <v>24358.88</v>
      </c>
      <c r="T1098" s="19" t="n">
        <f aca="false">IF(F1098&gt;72,1,0)</f>
        <v>0</v>
      </c>
      <c r="U1098" s="19" t="n">
        <f aca="false">IF(J1098&gt;1.25,1,0)</f>
        <v>0</v>
      </c>
    </row>
    <row r="1099" customFormat="false" ht="15" hidden="false" customHeight="false" outlineLevel="0" collapsed="false">
      <c r="B1099" s="13" t="s">
        <v>1319</v>
      </c>
      <c r="C1099" s="13" t="s">
        <v>223</v>
      </c>
      <c r="D1099" s="19" t="n">
        <v>649</v>
      </c>
      <c r="E1099" s="23" t="n">
        <v>0.2144</v>
      </c>
      <c r="F1099" s="19" t="n">
        <v>72</v>
      </c>
      <c r="G1099" s="19" t="n">
        <v>7</v>
      </c>
      <c r="H1099" s="14" t="n">
        <v>30250</v>
      </c>
      <c r="I1099" s="14" t="n">
        <v>28701.95</v>
      </c>
      <c r="J1099" s="24" t="n">
        <v>1.149</v>
      </c>
      <c r="K1099" s="19" t="n">
        <v>0</v>
      </c>
      <c r="L1099" s="13" t="str">
        <f aca="false">IF(D1099&gt;=Inputs!$C$14,"Near-prime","Non-prime")</f>
        <v>Near-prime</v>
      </c>
      <c r="M1099" s="19" t="n">
        <f aca="false">IF(K1099&lt;=Inputs!$C$19,1,0)</f>
        <v>1</v>
      </c>
      <c r="N1099" s="19" t="n">
        <f aca="false">IF(F1099&lt;=Inputs!$C$20,1,0)</f>
        <v>1</v>
      </c>
      <c r="O1099" s="19" t="n">
        <f aca="false">IF(J1099&lt;=Inputs!$C$21,1,0)</f>
        <v>1</v>
      </c>
      <c r="P1099" s="19" t="n">
        <f aca="false">IF(D1099&gt;=Inputs!$C$22,1,0)</f>
        <v>1</v>
      </c>
      <c r="Q1099" s="19" t="n">
        <f aca="false">IF(I1099&lt;=Inputs!$C$23,1,0)</f>
        <v>1</v>
      </c>
      <c r="R1099" s="19" t="n">
        <f aca="false">M1099*N1099*O1099*P1099*Q1099</f>
        <v>1</v>
      </c>
      <c r="S1099" s="14" t="n">
        <f aca="false">I1099*R1099</f>
        <v>28701.95</v>
      </c>
      <c r="T1099" s="19" t="n">
        <f aca="false">IF(F1099&gt;72,1,0)</f>
        <v>0</v>
      </c>
      <c r="U1099" s="19" t="n">
        <f aca="false">IF(J1099&gt;1.25,1,0)</f>
        <v>0</v>
      </c>
    </row>
    <row r="1100" customFormat="false" ht="15" hidden="false" customHeight="false" outlineLevel="0" collapsed="false">
      <c r="B1100" s="13" t="s">
        <v>1320</v>
      </c>
      <c r="C1100" s="13" t="s">
        <v>217</v>
      </c>
      <c r="D1100" s="19" t="n">
        <v>656</v>
      </c>
      <c r="E1100" s="23" t="n">
        <v>0.1906</v>
      </c>
      <c r="F1100" s="19" t="n">
        <v>72</v>
      </c>
      <c r="G1100" s="19" t="n">
        <v>3</v>
      </c>
      <c r="H1100" s="14" t="n">
        <v>25760</v>
      </c>
      <c r="I1100" s="14" t="n">
        <v>25168.97</v>
      </c>
      <c r="J1100" s="24" t="n">
        <v>0.972</v>
      </c>
      <c r="K1100" s="19" t="n">
        <v>0</v>
      </c>
      <c r="L1100" s="13" t="str">
        <f aca="false">IF(D1100&gt;=Inputs!$C$14,"Near-prime","Non-prime")</f>
        <v>Near-prime</v>
      </c>
      <c r="M1100" s="19" t="n">
        <f aca="false">IF(K1100&lt;=Inputs!$C$19,1,0)</f>
        <v>1</v>
      </c>
      <c r="N1100" s="19" t="n">
        <f aca="false">IF(F1100&lt;=Inputs!$C$20,1,0)</f>
        <v>1</v>
      </c>
      <c r="O1100" s="19" t="n">
        <f aca="false">IF(J1100&lt;=Inputs!$C$21,1,0)</f>
        <v>1</v>
      </c>
      <c r="P1100" s="19" t="n">
        <f aca="false">IF(D1100&gt;=Inputs!$C$22,1,0)</f>
        <v>1</v>
      </c>
      <c r="Q1100" s="19" t="n">
        <f aca="false">IF(I1100&lt;=Inputs!$C$23,1,0)</f>
        <v>1</v>
      </c>
      <c r="R1100" s="19" t="n">
        <f aca="false">M1100*N1100*O1100*P1100*Q1100</f>
        <v>1</v>
      </c>
      <c r="S1100" s="14" t="n">
        <f aca="false">I1100*R1100</f>
        <v>25168.97</v>
      </c>
      <c r="T1100" s="19" t="n">
        <f aca="false">IF(F1100&gt;72,1,0)</f>
        <v>0</v>
      </c>
      <c r="U1100" s="19" t="n">
        <f aca="false">IF(J1100&gt;1.25,1,0)</f>
        <v>0</v>
      </c>
    </row>
    <row r="1101" customFormat="false" ht="15" hidden="false" customHeight="false" outlineLevel="0" collapsed="false">
      <c r="B1101" s="13" t="s">
        <v>1321</v>
      </c>
      <c r="C1101" s="13" t="s">
        <v>223</v>
      </c>
      <c r="D1101" s="19" t="n">
        <v>640</v>
      </c>
      <c r="E1101" s="23" t="n">
        <v>0.2244</v>
      </c>
      <c r="F1101" s="19" t="n">
        <v>66</v>
      </c>
      <c r="G1101" s="19" t="n">
        <v>7</v>
      </c>
      <c r="H1101" s="14" t="n">
        <v>28210</v>
      </c>
      <c r="I1101" s="14" t="n">
        <v>26580.08</v>
      </c>
      <c r="J1101" s="24" t="n">
        <v>0.997</v>
      </c>
      <c r="K1101" s="19" t="n">
        <v>0</v>
      </c>
      <c r="L1101" s="13" t="str">
        <f aca="false">IF(D1101&gt;=Inputs!$C$14,"Near-prime","Non-prime")</f>
        <v>Near-prime</v>
      </c>
      <c r="M1101" s="19" t="n">
        <f aca="false">IF(K1101&lt;=Inputs!$C$19,1,0)</f>
        <v>1</v>
      </c>
      <c r="N1101" s="19" t="n">
        <f aca="false">IF(F1101&lt;=Inputs!$C$20,1,0)</f>
        <v>1</v>
      </c>
      <c r="O1101" s="19" t="n">
        <f aca="false">IF(J1101&lt;=Inputs!$C$21,1,0)</f>
        <v>1</v>
      </c>
      <c r="P1101" s="19" t="n">
        <f aca="false">IF(D1101&gt;=Inputs!$C$22,1,0)</f>
        <v>1</v>
      </c>
      <c r="Q1101" s="19" t="n">
        <f aca="false">IF(I1101&lt;=Inputs!$C$23,1,0)</f>
        <v>1</v>
      </c>
      <c r="R1101" s="19" t="n">
        <f aca="false">M1101*N1101*O1101*P1101*Q1101</f>
        <v>1</v>
      </c>
      <c r="S1101" s="14" t="n">
        <f aca="false">I1101*R1101</f>
        <v>26580.08</v>
      </c>
      <c r="T1101" s="19" t="n">
        <f aca="false">IF(F1101&gt;72,1,0)</f>
        <v>0</v>
      </c>
      <c r="U1101" s="19" t="n">
        <f aca="false">IF(J1101&gt;1.25,1,0)</f>
        <v>0</v>
      </c>
    </row>
    <row r="1102" customFormat="false" ht="15" hidden="false" customHeight="false" outlineLevel="0" collapsed="false">
      <c r="B1102" s="13" t="s">
        <v>1322</v>
      </c>
      <c r="C1102" s="13" t="s">
        <v>226</v>
      </c>
      <c r="D1102" s="19" t="n">
        <v>658</v>
      </c>
      <c r="E1102" s="23" t="n">
        <v>0.184</v>
      </c>
      <c r="F1102" s="19" t="n">
        <v>66</v>
      </c>
      <c r="G1102" s="19" t="n">
        <v>8</v>
      </c>
      <c r="H1102" s="14" t="n">
        <v>31220</v>
      </c>
      <c r="I1102" s="14" t="n">
        <v>28883.88</v>
      </c>
      <c r="J1102" s="24" t="n">
        <v>1.117</v>
      </c>
      <c r="K1102" s="19" t="n">
        <v>30</v>
      </c>
      <c r="L1102" s="13" t="str">
        <f aca="false">IF(D1102&gt;=Inputs!$C$14,"Near-prime","Non-prime")</f>
        <v>Near-prime</v>
      </c>
      <c r="M1102" s="19" t="n">
        <f aca="false">IF(K1102&lt;=Inputs!$C$19,1,0)</f>
        <v>1</v>
      </c>
      <c r="N1102" s="19" t="n">
        <f aca="false">IF(F1102&lt;=Inputs!$C$20,1,0)</f>
        <v>1</v>
      </c>
      <c r="O1102" s="19" t="n">
        <f aca="false">IF(J1102&lt;=Inputs!$C$21,1,0)</f>
        <v>1</v>
      </c>
      <c r="P1102" s="19" t="n">
        <f aca="false">IF(D1102&gt;=Inputs!$C$22,1,0)</f>
        <v>1</v>
      </c>
      <c r="Q1102" s="19" t="n">
        <f aca="false">IF(I1102&lt;=Inputs!$C$23,1,0)</f>
        <v>1</v>
      </c>
      <c r="R1102" s="19" t="n">
        <f aca="false">M1102*N1102*O1102*P1102*Q1102</f>
        <v>1</v>
      </c>
      <c r="S1102" s="14" t="n">
        <f aca="false">I1102*R1102</f>
        <v>28883.88</v>
      </c>
      <c r="T1102" s="19" t="n">
        <f aca="false">IF(F1102&gt;72,1,0)</f>
        <v>0</v>
      </c>
      <c r="U1102" s="19" t="n">
        <f aca="false">IF(J1102&gt;1.25,1,0)</f>
        <v>0</v>
      </c>
    </row>
    <row r="1103" customFormat="false" ht="15" hidden="false" customHeight="false" outlineLevel="0" collapsed="false">
      <c r="B1103" s="13" t="s">
        <v>1323</v>
      </c>
      <c r="C1103" s="13" t="s">
        <v>217</v>
      </c>
      <c r="D1103" s="19" t="n">
        <v>619</v>
      </c>
      <c r="E1103" s="23" t="n">
        <v>0.205</v>
      </c>
      <c r="F1103" s="19" t="n">
        <v>66</v>
      </c>
      <c r="G1103" s="19" t="n">
        <v>4</v>
      </c>
      <c r="H1103" s="14" t="n">
        <v>30900</v>
      </c>
      <c r="I1103" s="14" t="n">
        <v>29847.75</v>
      </c>
      <c r="J1103" s="24" t="n">
        <v>1.197</v>
      </c>
      <c r="K1103" s="19" t="n">
        <v>0</v>
      </c>
      <c r="L1103" s="13" t="str">
        <f aca="false">IF(D1103&gt;=Inputs!$C$14,"Near-prime","Non-prime")</f>
        <v>Non-prime</v>
      </c>
      <c r="M1103" s="19" t="n">
        <f aca="false">IF(K1103&lt;=Inputs!$C$19,1,0)</f>
        <v>1</v>
      </c>
      <c r="N1103" s="19" t="n">
        <f aca="false">IF(F1103&lt;=Inputs!$C$20,1,0)</f>
        <v>1</v>
      </c>
      <c r="O1103" s="19" t="n">
        <f aca="false">IF(J1103&lt;=Inputs!$C$21,1,0)</f>
        <v>1</v>
      </c>
      <c r="P1103" s="19" t="n">
        <f aca="false">IF(D1103&gt;=Inputs!$C$22,1,0)</f>
        <v>1</v>
      </c>
      <c r="Q1103" s="19" t="n">
        <f aca="false">IF(I1103&lt;=Inputs!$C$23,1,0)</f>
        <v>1</v>
      </c>
      <c r="R1103" s="19" t="n">
        <f aca="false">M1103*N1103*O1103*P1103*Q1103</f>
        <v>1</v>
      </c>
      <c r="S1103" s="14" t="n">
        <f aca="false">I1103*R1103</f>
        <v>29847.75</v>
      </c>
      <c r="T1103" s="19" t="n">
        <f aca="false">IF(F1103&gt;72,1,0)</f>
        <v>0</v>
      </c>
      <c r="U1103" s="19" t="n">
        <f aca="false">IF(J1103&gt;1.25,1,0)</f>
        <v>0</v>
      </c>
    </row>
    <row r="1104" customFormat="false" ht="15" hidden="false" customHeight="false" outlineLevel="0" collapsed="false">
      <c r="B1104" s="13" t="s">
        <v>1324</v>
      </c>
      <c r="C1104" s="13" t="s">
        <v>226</v>
      </c>
      <c r="D1104" s="19" t="n">
        <v>610</v>
      </c>
      <c r="E1104" s="23" t="n">
        <v>0.2164</v>
      </c>
      <c r="F1104" s="19" t="n">
        <v>72</v>
      </c>
      <c r="G1104" s="19" t="n">
        <v>8</v>
      </c>
      <c r="H1104" s="14" t="n">
        <v>30560</v>
      </c>
      <c r="I1104" s="14" t="n">
        <v>28768.01</v>
      </c>
      <c r="J1104" s="24" t="n">
        <v>0.978</v>
      </c>
      <c r="K1104" s="19" t="n">
        <v>0</v>
      </c>
      <c r="L1104" s="13" t="str">
        <f aca="false">IF(D1104&gt;=Inputs!$C$14,"Near-prime","Non-prime")</f>
        <v>Non-prime</v>
      </c>
      <c r="M1104" s="19" t="n">
        <f aca="false">IF(K1104&lt;=Inputs!$C$19,1,0)</f>
        <v>1</v>
      </c>
      <c r="N1104" s="19" t="n">
        <f aca="false">IF(F1104&lt;=Inputs!$C$20,1,0)</f>
        <v>1</v>
      </c>
      <c r="O1104" s="19" t="n">
        <f aca="false">IF(J1104&lt;=Inputs!$C$21,1,0)</f>
        <v>1</v>
      </c>
      <c r="P1104" s="19" t="n">
        <f aca="false">IF(D1104&gt;=Inputs!$C$22,1,0)</f>
        <v>1</v>
      </c>
      <c r="Q1104" s="19" t="n">
        <f aca="false">IF(I1104&lt;=Inputs!$C$23,1,0)</f>
        <v>1</v>
      </c>
      <c r="R1104" s="19" t="n">
        <f aca="false">M1104*N1104*O1104*P1104*Q1104</f>
        <v>1</v>
      </c>
      <c r="S1104" s="14" t="n">
        <f aca="false">I1104*R1104</f>
        <v>28768.01</v>
      </c>
      <c r="T1104" s="19" t="n">
        <f aca="false">IF(F1104&gt;72,1,0)</f>
        <v>0</v>
      </c>
      <c r="U1104" s="19" t="n">
        <f aca="false">IF(J1104&gt;1.25,1,0)</f>
        <v>0</v>
      </c>
    </row>
    <row r="1105" customFormat="false" ht="15" hidden="false" customHeight="false" outlineLevel="0" collapsed="false">
      <c r="B1105" s="13" t="s">
        <v>1325</v>
      </c>
      <c r="C1105" s="13" t="s">
        <v>217</v>
      </c>
      <c r="D1105" s="19" t="n">
        <v>643</v>
      </c>
      <c r="E1105" s="23" t="n">
        <v>0.2084</v>
      </c>
      <c r="F1105" s="19" t="n">
        <v>72</v>
      </c>
      <c r="G1105" s="19" t="n">
        <v>8</v>
      </c>
      <c r="H1105" s="14" t="n">
        <v>22740</v>
      </c>
      <c r="I1105" s="14" t="n">
        <v>21371.8</v>
      </c>
      <c r="J1105" s="24" t="n">
        <v>1.079</v>
      </c>
      <c r="K1105" s="19" t="n">
        <v>0</v>
      </c>
      <c r="L1105" s="13" t="str">
        <f aca="false">IF(D1105&gt;=Inputs!$C$14,"Near-prime","Non-prime")</f>
        <v>Near-prime</v>
      </c>
      <c r="M1105" s="19" t="n">
        <f aca="false">IF(K1105&lt;=Inputs!$C$19,1,0)</f>
        <v>1</v>
      </c>
      <c r="N1105" s="19" t="n">
        <f aca="false">IF(F1105&lt;=Inputs!$C$20,1,0)</f>
        <v>1</v>
      </c>
      <c r="O1105" s="19" t="n">
        <f aca="false">IF(J1105&lt;=Inputs!$C$21,1,0)</f>
        <v>1</v>
      </c>
      <c r="P1105" s="19" t="n">
        <f aca="false">IF(D1105&gt;=Inputs!$C$22,1,0)</f>
        <v>1</v>
      </c>
      <c r="Q1105" s="19" t="n">
        <f aca="false">IF(I1105&lt;=Inputs!$C$23,1,0)</f>
        <v>1</v>
      </c>
      <c r="R1105" s="19" t="n">
        <f aca="false">M1105*N1105*O1105*P1105*Q1105</f>
        <v>1</v>
      </c>
      <c r="S1105" s="14" t="n">
        <f aca="false">I1105*R1105</f>
        <v>21371.8</v>
      </c>
      <c r="T1105" s="19" t="n">
        <f aca="false">IF(F1105&gt;72,1,0)</f>
        <v>0</v>
      </c>
      <c r="U1105" s="19" t="n">
        <f aca="false">IF(J1105&gt;1.25,1,0)</f>
        <v>0</v>
      </c>
    </row>
    <row r="1106" customFormat="false" ht="15" hidden="false" customHeight="false" outlineLevel="0" collapsed="false">
      <c r="B1106" s="13" t="s">
        <v>1326</v>
      </c>
      <c r="C1106" s="13" t="s">
        <v>252</v>
      </c>
      <c r="D1106" s="19" t="n">
        <v>657</v>
      </c>
      <c r="E1106" s="23" t="n">
        <v>0.2012</v>
      </c>
      <c r="F1106" s="19" t="n">
        <v>60</v>
      </c>
      <c r="G1106" s="19" t="n">
        <v>4</v>
      </c>
      <c r="H1106" s="14" t="n">
        <v>23400</v>
      </c>
      <c r="I1106" s="14" t="n">
        <v>22459.96</v>
      </c>
      <c r="J1106" s="24" t="n">
        <v>1.102</v>
      </c>
      <c r="K1106" s="19" t="n">
        <v>0</v>
      </c>
      <c r="L1106" s="13" t="str">
        <f aca="false">IF(D1106&gt;=Inputs!$C$14,"Near-prime","Non-prime")</f>
        <v>Near-prime</v>
      </c>
      <c r="M1106" s="19" t="n">
        <f aca="false">IF(K1106&lt;=Inputs!$C$19,1,0)</f>
        <v>1</v>
      </c>
      <c r="N1106" s="19" t="n">
        <f aca="false">IF(F1106&lt;=Inputs!$C$20,1,0)</f>
        <v>1</v>
      </c>
      <c r="O1106" s="19" t="n">
        <f aca="false">IF(J1106&lt;=Inputs!$C$21,1,0)</f>
        <v>1</v>
      </c>
      <c r="P1106" s="19" t="n">
        <f aca="false">IF(D1106&gt;=Inputs!$C$22,1,0)</f>
        <v>1</v>
      </c>
      <c r="Q1106" s="19" t="n">
        <f aca="false">IF(I1106&lt;=Inputs!$C$23,1,0)</f>
        <v>1</v>
      </c>
      <c r="R1106" s="19" t="n">
        <f aca="false">M1106*N1106*O1106*P1106*Q1106</f>
        <v>1</v>
      </c>
      <c r="S1106" s="14" t="n">
        <f aca="false">I1106*R1106</f>
        <v>22459.96</v>
      </c>
      <c r="T1106" s="19" t="n">
        <f aca="false">IF(F1106&gt;72,1,0)</f>
        <v>0</v>
      </c>
      <c r="U1106" s="19" t="n">
        <f aca="false">IF(J1106&gt;1.25,1,0)</f>
        <v>0</v>
      </c>
    </row>
    <row r="1107" customFormat="false" ht="15" hidden="false" customHeight="false" outlineLevel="0" collapsed="false">
      <c r="B1107" s="13" t="s">
        <v>1327</v>
      </c>
      <c r="C1107" s="13" t="s">
        <v>237</v>
      </c>
      <c r="D1107" s="19" t="n">
        <v>612</v>
      </c>
      <c r="E1107" s="23" t="n">
        <v>0.2088</v>
      </c>
      <c r="F1107" s="19" t="n">
        <v>60</v>
      </c>
      <c r="G1107" s="19" t="n">
        <v>9</v>
      </c>
      <c r="H1107" s="14" t="n">
        <v>18660</v>
      </c>
      <c r="I1107" s="14" t="n">
        <v>16933.43</v>
      </c>
      <c r="J1107" s="24" t="n">
        <v>0.999</v>
      </c>
      <c r="K1107" s="19" t="n">
        <v>30</v>
      </c>
      <c r="L1107" s="13" t="str">
        <f aca="false">IF(D1107&gt;=Inputs!$C$14,"Near-prime","Non-prime")</f>
        <v>Non-prime</v>
      </c>
      <c r="M1107" s="19" t="n">
        <f aca="false">IF(K1107&lt;=Inputs!$C$19,1,0)</f>
        <v>1</v>
      </c>
      <c r="N1107" s="19" t="n">
        <f aca="false">IF(F1107&lt;=Inputs!$C$20,1,0)</f>
        <v>1</v>
      </c>
      <c r="O1107" s="19" t="n">
        <f aca="false">IF(J1107&lt;=Inputs!$C$21,1,0)</f>
        <v>1</v>
      </c>
      <c r="P1107" s="19" t="n">
        <f aca="false">IF(D1107&gt;=Inputs!$C$22,1,0)</f>
        <v>1</v>
      </c>
      <c r="Q1107" s="19" t="n">
        <f aca="false">IF(I1107&lt;=Inputs!$C$23,1,0)</f>
        <v>1</v>
      </c>
      <c r="R1107" s="19" t="n">
        <f aca="false">M1107*N1107*O1107*P1107*Q1107</f>
        <v>1</v>
      </c>
      <c r="S1107" s="14" t="n">
        <f aca="false">I1107*R1107</f>
        <v>16933.43</v>
      </c>
      <c r="T1107" s="19" t="n">
        <f aca="false">IF(F1107&gt;72,1,0)</f>
        <v>0</v>
      </c>
      <c r="U1107" s="19" t="n">
        <f aca="false">IF(J1107&gt;1.25,1,0)</f>
        <v>0</v>
      </c>
    </row>
    <row r="1108" customFormat="false" ht="15" hidden="false" customHeight="false" outlineLevel="0" collapsed="false">
      <c r="B1108" s="13" t="s">
        <v>1328</v>
      </c>
      <c r="C1108" s="13" t="s">
        <v>223</v>
      </c>
      <c r="D1108" s="19" t="n">
        <v>664</v>
      </c>
      <c r="E1108" s="23" t="n">
        <v>0.1985</v>
      </c>
      <c r="F1108" s="19" t="n">
        <v>72</v>
      </c>
      <c r="G1108" s="19" t="n">
        <v>9</v>
      </c>
      <c r="H1108" s="14" t="n">
        <v>29990</v>
      </c>
      <c r="I1108" s="14" t="n">
        <v>27877.12</v>
      </c>
      <c r="J1108" s="24" t="n">
        <v>1.105</v>
      </c>
      <c r="K1108" s="19" t="n">
        <v>0</v>
      </c>
      <c r="L1108" s="13" t="str">
        <f aca="false">IF(D1108&gt;=Inputs!$C$14,"Near-prime","Non-prime")</f>
        <v>Near-prime</v>
      </c>
      <c r="M1108" s="19" t="n">
        <f aca="false">IF(K1108&lt;=Inputs!$C$19,1,0)</f>
        <v>1</v>
      </c>
      <c r="N1108" s="19" t="n">
        <f aca="false">IF(F1108&lt;=Inputs!$C$20,1,0)</f>
        <v>1</v>
      </c>
      <c r="O1108" s="19" t="n">
        <f aca="false">IF(J1108&lt;=Inputs!$C$21,1,0)</f>
        <v>1</v>
      </c>
      <c r="P1108" s="19" t="n">
        <f aca="false">IF(D1108&gt;=Inputs!$C$22,1,0)</f>
        <v>1</v>
      </c>
      <c r="Q1108" s="19" t="n">
        <f aca="false">IF(I1108&lt;=Inputs!$C$23,1,0)</f>
        <v>1</v>
      </c>
      <c r="R1108" s="19" t="n">
        <f aca="false">M1108*N1108*O1108*P1108*Q1108</f>
        <v>1</v>
      </c>
      <c r="S1108" s="14" t="n">
        <f aca="false">I1108*R1108</f>
        <v>27877.12</v>
      </c>
      <c r="T1108" s="19" t="n">
        <f aca="false">IF(F1108&gt;72,1,0)</f>
        <v>0</v>
      </c>
      <c r="U1108" s="19" t="n">
        <f aca="false">IF(J1108&gt;1.25,1,0)</f>
        <v>0</v>
      </c>
    </row>
    <row r="1109" customFormat="false" ht="15" hidden="false" customHeight="false" outlineLevel="0" collapsed="false">
      <c r="B1109" s="13" t="s">
        <v>1329</v>
      </c>
      <c r="C1109" s="13" t="s">
        <v>257</v>
      </c>
      <c r="D1109" s="19" t="n">
        <v>603</v>
      </c>
      <c r="E1109" s="23" t="n">
        <v>0.2289</v>
      </c>
      <c r="F1109" s="19" t="n">
        <v>66</v>
      </c>
      <c r="G1109" s="19" t="n">
        <v>3</v>
      </c>
      <c r="H1109" s="14" t="n">
        <v>17410</v>
      </c>
      <c r="I1109" s="14" t="n">
        <v>17000.59</v>
      </c>
      <c r="J1109" s="24" t="n">
        <v>1.399</v>
      </c>
      <c r="K1109" s="19" t="n">
        <v>0</v>
      </c>
      <c r="L1109" s="13" t="str">
        <f aca="false">IF(D1109&gt;=Inputs!$C$14,"Near-prime","Non-prime")</f>
        <v>Non-prime</v>
      </c>
      <c r="M1109" s="19" t="n">
        <f aca="false">IF(K1109&lt;=Inputs!$C$19,1,0)</f>
        <v>1</v>
      </c>
      <c r="N1109" s="19" t="n">
        <f aca="false">IF(F1109&lt;=Inputs!$C$20,1,0)</f>
        <v>1</v>
      </c>
      <c r="O1109" s="19" t="n">
        <f aca="false">IF(J1109&lt;=Inputs!$C$21,1,0)</f>
        <v>1</v>
      </c>
      <c r="P1109" s="19" t="n">
        <f aca="false">IF(D1109&gt;=Inputs!$C$22,1,0)</f>
        <v>1</v>
      </c>
      <c r="Q1109" s="19" t="n">
        <f aca="false">IF(I1109&lt;=Inputs!$C$23,1,0)</f>
        <v>1</v>
      </c>
      <c r="R1109" s="19" t="n">
        <f aca="false">M1109*N1109*O1109*P1109*Q1109</f>
        <v>1</v>
      </c>
      <c r="S1109" s="14" t="n">
        <f aca="false">I1109*R1109</f>
        <v>17000.59</v>
      </c>
      <c r="T1109" s="19" t="n">
        <f aca="false">IF(F1109&gt;72,1,0)</f>
        <v>0</v>
      </c>
      <c r="U1109" s="19" t="n">
        <f aca="false">IF(J1109&gt;1.25,1,0)</f>
        <v>1</v>
      </c>
    </row>
    <row r="1110" customFormat="false" ht="15" hidden="false" customHeight="false" outlineLevel="0" collapsed="false">
      <c r="B1110" s="13" t="s">
        <v>1330</v>
      </c>
      <c r="C1110" s="13" t="s">
        <v>237</v>
      </c>
      <c r="D1110" s="19" t="n">
        <v>617</v>
      </c>
      <c r="E1110" s="23" t="n">
        <v>0.2266</v>
      </c>
      <c r="F1110" s="19" t="n">
        <v>72</v>
      </c>
      <c r="G1110" s="19" t="n">
        <v>9</v>
      </c>
      <c r="H1110" s="14" t="n">
        <v>22300</v>
      </c>
      <c r="I1110" s="14" t="n">
        <v>20862.99</v>
      </c>
      <c r="J1110" s="24" t="n">
        <v>1.45</v>
      </c>
      <c r="K1110" s="19" t="n">
        <v>0</v>
      </c>
      <c r="L1110" s="13" t="str">
        <f aca="false">IF(D1110&gt;=Inputs!$C$14,"Near-prime","Non-prime")</f>
        <v>Non-prime</v>
      </c>
      <c r="M1110" s="19" t="n">
        <f aca="false">IF(K1110&lt;=Inputs!$C$19,1,0)</f>
        <v>1</v>
      </c>
      <c r="N1110" s="19" t="n">
        <f aca="false">IF(F1110&lt;=Inputs!$C$20,1,0)</f>
        <v>1</v>
      </c>
      <c r="O1110" s="19" t="n">
        <f aca="false">IF(J1110&lt;=Inputs!$C$21,1,0)</f>
        <v>1</v>
      </c>
      <c r="P1110" s="19" t="n">
        <f aca="false">IF(D1110&gt;=Inputs!$C$22,1,0)</f>
        <v>1</v>
      </c>
      <c r="Q1110" s="19" t="n">
        <f aca="false">IF(I1110&lt;=Inputs!$C$23,1,0)</f>
        <v>1</v>
      </c>
      <c r="R1110" s="19" t="n">
        <f aca="false">M1110*N1110*O1110*P1110*Q1110</f>
        <v>1</v>
      </c>
      <c r="S1110" s="14" t="n">
        <f aca="false">I1110*R1110</f>
        <v>20862.99</v>
      </c>
      <c r="T1110" s="19" t="n">
        <f aca="false">IF(F1110&gt;72,1,0)</f>
        <v>0</v>
      </c>
      <c r="U1110" s="19" t="n">
        <f aca="false">IF(J1110&gt;1.25,1,0)</f>
        <v>1</v>
      </c>
    </row>
    <row r="1111" customFormat="false" ht="15" hidden="false" customHeight="false" outlineLevel="0" collapsed="false">
      <c r="B1111" s="13" t="s">
        <v>1331</v>
      </c>
      <c r="C1111" s="13" t="s">
        <v>219</v>
      </c>
      <c r="D1111" s="19" t="n">
        <v>635</v>
      </c>
      <c r="E1111" s="23" t="n">
        <v>0.211</v>
      </c>
      <c r="F1111" s="19" t="n">
        <v>84</v>
      </c>
      <c r="G1111" s="19" t="n">
        <v>1</v>
      </c>
      <c r="H1111" s="14" t="n">
        <v>23380</v>
      </c>
      <c r="I1111" s="14" t="n">
        <v>23256.32</v>
      </c>
      <c r="J1111" s="24" t="n">
        <v>0.76</v>
      </c>
      <c r="K1111" s="19" t="n">
        <v>30</v>
      </c>
      <c r="L1111" s="13" t="str">
        <f aca="false">IF(D1111&gt;=Inputs!$C$14,"Near-prime","Non-prime")</f>
        <v>Near-prime</v>
      </c>
      <c r="M1111" s="19" t="n">
        <f aca="false">IF(K1111&lt;=Inputs!$C$19,1,0)</f>
        <v>1</v>
      </c>
      <c r="N1111" s="19" t="n">
        <f aca="false">IF(F1111&lt;=Inputs!$C$20,1,0)</f>
        <v>0</v>
      </c>
      <c r="O1111" s="19" t="n">
        <f aca="false">IF(J1111&lt;=Inputs!$C$21,1,0)</f>
        <v>1</v>
      </c>
      <c r="P1111" s="19" t="n">
        <f aca="false">IF(D1111&gt;=Inputs!$C$22,1,0)</f>
        <v>1</v>
      </c>
      <c r="Q1111" s="19" t="n">
        <f aca="false">IF(I1111&lt;=Inputs!$C$23,1,0)</f>
        <v>1</v>
      </c>
      <c r="R1111" s="19" t="n">
        <f aca="false">M1111*N1111*O1111*P1111*Q1111</f>
        <v>0</v>
      </c>
      <c r="S1111" s="14" t="n">
        <f aca="false">I1111*R1111</f>
        <v>0</v>
      </c>
      <c r="T1111" s="19" t="n">
        <f aca="false">IF(F1111&gt;72,1,0)</f>
        <v>1</v>
      </c>
      <c r="U1111" s="19" t="n">
        <f aca="false">IF(J1111&gt;1.25,1,0)</f>
        <v>0</v>
      </c>
    </row>
    <row r="1112" customFormat="false" ht="15" hidden="false" customHeight="false" outlineLevel="0" collapsed="false">
      <c r="B1112" s="13" t="s">
        <v>1332</v>
      </c>
      <c r="C1112" s="13" t="s">
        <v>223</v>
      </c>
      <c r="D1112" s="19" t="n">
        <v>671</v>
      </c>
      <c r="E1112" s="23" t="n">
        <v>0.1895</v>
      </c>
      <c r="F1112" s="19" t="n">
        <v>66</v>
      </c>
      <c r="G1112" s="19" t="n">
        <v>9</v>
      </c>
      <c r="H1112" s="14" t="n">
        <v>29460</v>
      </c>
      <c r="I1112" s="14" t="n">
        <v>26998.63</v>
      </c>
      <c r="J1112" s="24" t="n">
        <v>1.103</v>
      </c>
      <c r="K1112" s="19" t="n">
        <v>0</v>
      </c>
      <c r="L1112" s="13" t="str">
        <f aca="false">IF(D1112&gt;=Inputs!$C$14,"Near-prime","Non-prime")</f>
        <v>Near-prime</v>
      </c>
      <c r="M1112" s="19" t="n">
        <f aca="false">IF(K1112&lt;=Inputs!$C$19,1,0)</f>
        <v>1</v>
      </c>
      <c r="N1112" s="19" t="n">
        <f aca="false">IF(F1112&lt;=Inputs!$C$20,1,0)</f>
        <v>1</v>
      </c>
      <c r="O1112" s="19" t="n">
        <f aca="false">IF(J1112&lt;=Inputs!$C$21,1,0)</f>
        <v>1</v>
      </c>
      <c r="P1112" s="19" t="n">
        <f aca="false">IF(D1112&gt;=Inputs!$C$22,1,0)</f>
        <v>1</v>
      </c>
      <c r="Q1112" s="19" t="n">
        <f aca="false">IF(I1112&lt;=Inputs!$C$23,1,0)</f>
        <v>1</v>
      </c>
      <c r="R1112" s="19" t="n">
        <f aca="false">M1112*N1112*O1112*P1112*Q1112</f>
        <v>1</v>
      </c>
      <c r="S1112" s="14" t="n">
        <f aca="false">I1112*R1112</f>
        <v>26998.63</v>
      </c>
      <c r="T1112" s="19" t="n">
        <f aca="false">IF(F1112&gt;72,1,0)</f>
        <v>0</v>
      </c>
      <c r="U1112" s="19" t="n">
        <f aca="false">IF(J1112&gt;1.25,1,0)</f>
        <v>0</v>
      </c>
    </row>
    <row r="1113" customFormat="false" ht="15" hidden="false" customHeight="false" outlineLevel="0" collapsed="false">
      <c r="B1113" s="13" t="s">
        <v>1333</v>
      </c>
      <c r="C1113" s="13" t="s">
        <v>217</v>
      </c>
      <c r="D1113" s="19" t="n">
        <v>631</v>
      </c>
      <c r="E1113" s="23" t="n">
        <v>0.2181</v>
      </c>
      <c r="F1113" s="19" t="n">
        <v>75</v>
      </c>
      <c r="G1113" s="19" t="n">
        <v>0</v>
      </c>
      <c r="H1113" s="14" t="n">
        <v>28650</v>
      </c>
      <c r="I1113" s="14" t="n">
        <v>28650</v>
      </c>
      <c r="J1113" s="24" t="n">
        <v>1.058</v>
      </c>
      <c r="K1113" s="19" t="n">
        <v>0</v>
      </c>
      <c r="L1113" s="13" t="str">
        <f aca="false">IF(D1113&gt;=Inputs!$C$14,"Near-prime","Non-prime")</f>
        <v>Near-prime</v>
      </c>
      <c r="M1113" s="19" t="n">
        <f aca="false">IF(K1113&lt;=Inputs!$C$19,1,0)</f>
        <v>1</v>
      </c>
      <c r="N1113" s="19" t="n">
        <f aca="false">IF(F1113&lt;=Inputs!$C$20,1,0)</f>
        <v>1</v>
      </c>
      <c r="O1113" s="19" t="n">
        <f aca="false">IF(J1113&lt;=Inputs!$C$21,1,0)</f>
        <v>1</v>
      </c>
      <c r="P1113" s="19" t="n">
        <f aca="false">IF(D1113&gt;=Inputs!$C$22,1,0)</f>
        <v>1</v>
      </c>
      <c r="Q1113" s="19" t="n">
        <f aca="false">IF(I1113&lt;=Inputs!$C$23,1,0)</f>
        <v>1</v>
      </c>
      <c r="R1113" s="19" t="n">
        <f aca="false">M1113*N1113*O1113*P1113*Q1113</f>
        <v>1</v>
      </c>
      <c r="S1113" s="14" t="n">
        <f aca="false">I1113*R1113</f>
        <v>28650</v>
      </c>
      <c r="T1113" s="19" t="n">
        <f aca="false">IF(F1113&gt;72,1,0)</f>
        <v>1</v>
      </c>
      <c r="U1113" s="19" t="n">
        <f aca="false">IF(J1113&gt;1.25,1,0)</f>
        <v>0</v>
      </c>
    </row>
    <row r="1114" customFormat="false" ht="15" hidden="false" customHeight="false" outlineLevel="0" collapsed="false">
      <c r="B1114" s="13" t="s">
        <v>1334</v>
      </c>
      <c r="C1114" s="13" t="s">
        <v>252</v>
      </c>
      <c r="D1114" s="19" t="n">
        <v>668</v>
      </c>
      <c r="E1114" s="23" t="n">
        <v>0.2197</v>
      </c>
      <c r="F1114" s="19" t="n">
        <v>48</v>
      </c>
      <c r="G1114" s="19" t="n">
        <v>0</v>
      </c>
      <c r="H1114" s="14" t="n">
        <v>30860</v>
      </c>
      <c r="I1114" s="14" t="n">
        <v>30860</v>
      </c>
      <c r="J1114" s="24" t="n">
        <v>1.285</v>
      </c>
      <c r="K1114" s="19" t="n">
        <v>15</v>
      </c>
      <c r="L1114" s="13" t="str">
        <f aca="false">IF(D1114&gt;=Inputs!$C$14,"Near-prime","Non-prime")</f>
        <v>Near-prime</v>
      </c>
      <c r="M1114" s="19" t="n">
        <f aca="false">IF(K1114&lt;=Inputs!$C$19,1,0)</f>
        <v>1</v>
      </c>
      <c r="N1114" s="19" t="n">
        <f aca="false">IF(F1114&lt;=Inputs!$C$20,1,0)</f>
        <v>1</v>
      </c>
      <c r="O1114" s="19" t="n">
        <f aca="false">IF(J1114&lt;=Inputs!$C$21,1,0)</f>
        <v>1</v>
      </c>
      <c r="P1114" s="19" t="n">
        <f aca="false">IF(D1114&gt;=Inputs!$C$22,1,0)</f>
        <v>1</v>
      </c>
      <c r="Q1114" s="19" t="n">
        <f aca="false">IF(I1114&lt;=Inputs!$C$23,1,0)</f>
        <v>1</v>
      </c>
      <c r="R1114" s="19" t="n">
        <f aca="false">M1114*N1114*O1114*P1114*Q1114</f>
        <v>1</v>
      </c>
      <c r="S1114" s="14" t="n">
        <f aca="false">I1114*R1114</f>
        <v>30860</v>
      </c>
      <c r="T1114" s="19" t="n">
        <f aca="false">IF(F1114&gt;72,1,0)</f>
        <v>0</v>
      </c>
      <c r="U1114" s="19" t="n">
        <f aca="false">IF(J1114&gt;1.25,1,0)</f>
        <v>1</v>
      </c>
    </row>
    <row r="1115" customFormat="false" ht="15" hidden="false" customHeight="false" outlineLevel="0" collapsed="false">
      <c r="B1115" s="13" t="s">
        <v>1335</v>
      </c>
      <c r="C1115" s="13" t="s">
        <v>217</v>
      </c>
      <c r="D1115" s="19" t="n">
        <v>731</v>
      </c>
      <c r="E1115" s="23" t="n">
        <v>0.1972</v>
      </c>
      <c r="F1115" s="19" t="n">
        <v>72</v>
      </c>
      <c r="G1115" s="19" t="n">
        <v>1</v>
      </c>
      <c r="H1115" s="14" t="n">
        <v>25980</v>
      </c>
      <c r="I1115" s="14" t="n">
        <v>25788.85</v>
      </c>
      <c r="J1115" s="24" t="n">
        <v>1.097</v>
      </c>
      <c r="K1115" s="19" t="n">
        <v>0</v>
      </c>
      <c r="L1115" s="13" t="str">
        <f aca="false">IF(D1115&gt;=Inputs!$C$14,"Near-prime","Non-prime")</f>
        <v>Near-prime</v>
      </c>
      <c r="M1115" s="19" t="n">
        <f aca="false">IF(K1115&lt;=Inputs!$C$19,1,0)</f>
        <v>1</v>
      </c>
      <c r="N1115" s="19" t="n">
        <f aca="false">IF(F1115&lt;=Inputs!$C$20,1,0)</f>
        <v>1</v>
      </c>
      <c r="O1115" s="19" t="n">
        <f aca="false">IF(J1115&lt;=Inputs!$C$21,1,0)</f>
        <v>1</v>
      </c>
      <c r="P1115" s="19" t="n">
        <f aca="false">IF(D1115&gt;=Inputs!$C$22,1,0)</f>
        <v>1</v>
      </c>
      <c r="Q1115" s="19" t="n">
        <f aca="false">IF(I1115&lt;=Inputs!$C$23,1,0)</f>
        <v>1</v>
      </c>
      <c r="R1115" s="19" t="n">
        <f aca="false">M1115*N1115*O1115*P1115*Q1115</f>
        <v>1</v>
      </c>
      <c r="S1115" s="14" t="n">
        <f aca="false">I1115*R1115</f>
        <v>25788.85</v>
      </c>
      <c r="T1115" s="19" t="n">
        <f aca="false">IF(F1115&gt;72,1,0)</f>
        <v>0</v>
      </c>
      <c r="U1115" s="19" t="n">
        <f aca="false">IF(J1115&gt;1.25,1,0)</f>
        <v>0</v>
      </c>
    </row>
    <row r="1116" customFormat="false" ht="15" hidden="false" customHeight="false" outlineLevel="0" collapsed="false">
      <c r="B1116" s="13" t="s">
        <v>1336</v>
      </c>
      <c r="C1116" s="13" t="s">
        <v>257</v>
      </c>
      <c r="D1116" s="19" t="n">
        <v>623</v>
      </c>
      <c r="E1116" s="23" t="n">
        <v>0.2044</v>
      </c>
      <c r="F1116" s="19" t="n">
        <v>72</v>
      </c>
      <c r="G1116" s="19" t="n">
        <v>3</v>
      </c>
      <c r="H1116" s="14" t="n">
        <v>15080</v>
      </c>
      <c r="I1116" s="14" t="n">
        <v>14749.83</v>
      </c>
      <c r="J1116" s="24" t="n">
        <v>0.979</v>
      </c>
      <c r="K1116" s="19" t="n">
        <v>0</v>
      </c>
      <c r="L1116" s="13" t="str">
        <f aca="false">IF(D1116&gt;=Inputs!$C$14,"Near-prime","Non-prime")</f>
        <v>Near-prime</v>
      </c>
      <c r="M1116" s="19" t="n">
        <f aca="false">IF(K1116&lt;=Inputs!$C$19,1,0)</f>
        <v>1</v>
      </c>
      <c r="N1116" s="19" t="n">
        <f aca="false">IF(F1116&lt;=Inputs!$C$20,1,0)</f>
        <v>1</v>
      </c>
      <c r="O1116" s="19" t="n">
        <f aca="false">IF(J1116&lt;=Inputs!$C$21,1,0)</f>
        <v>1</v>
      </c>
      <c r="P1116" s="19" t="n">
        <f aca="false">IF(D1116&gt;=Inputs!$C$22,1,0)</f>
        <v>1</v>
      </c>
      <c r="Q1116" s="19" t="n">
        <f aca="false">IF(I1116&lt;=Inputs!$C$23,1,0)</f>
        <v>1</v>
      </c>
      <c r="R1116" s="19" t="n">
        <f aca="false">M1116*N1116*O1116*P1116*Q1116</f>
        <v>1</v>
      </c>
      <c r="S1116" s="14" t="n">
        <f aca="false">I1116*R1116</f>
        <v>14749.83</v>
      </c>
      <c r="T1116" s="19" t="n">
        <f aca="false">IF(F1116&gt;72,1,0)</f>
        <v>0</v>
      </c>
      <c r="U1116" s="19" t="n">
        <f aca="false">IF(J1116&gt;1.25,1,0)</f>
        <v>0</v>
      </c>
    </row>
    <row r="1117" customFormat="false" ht="15" hidden="false" customHeight="false" outlineLevel="0" collapsed="false">
      <c r="B1117" s="13" t="s">
        <v>1337</v>
      </c>
      <c r="C1117" s="13" t="s">
        <v>257</v>
      </c>
      <c r="D1117" s="19" t="n">
        <v>715</v>
      </c>
      <c r="E1117" s="23" t="n">
        <v>0.1876</v>
      </c>
      <c r="F1117" s="19" t="n">
        <v>66</v>
      </c>
      <c r="G1117" s="19" t="n">
        <v>3</v>
      </c>
      <c r="H1117" s="14" t="n">
        <v>20430</v>
      </c>
      <c r="I1117" s="14" t="n">
        <v>19884.41</v>
      </c>
      <c r="J1117" s="24" t="n">
        <v>1.286</v>
      </c>
      <c r="K1117" s="19" t="n">
        <v>75</v>
      </c>
      <c r="L1117" s="13" t="str">
        <f aca="false">IF(D1117&gt;=Inputs!$C$14,"Near-prime","Non-prime")</f>
        <v>Near-prime</v>
      </c>
      <c r="M1117" s="19" t="n">
        <f aca="false">IF(K1117&lt;=Inputs!$C$19,1,0)</f>
        <v>0</v>
      </c>
      <c r="N1117" s="19" t="n">
        <f aca="false">IF(F1117&lt;=Inputs!$C$20,1,0)</f>
        <v>1</v>
      </c>
      <c r="O1117" s="19" t="n">
        <f aca="false">IF(J1117&lt;=Inputs!$C$21,1,0)</f>
        <v>1</v>
      </c>
      <c r="P1117" s="19" t="n">
        <f aca="false">IF(D1117&gt;=Inputs!$C$22,1,0)</f>
        <v>1</v>
      </c>
      <c r="Q1117" s="19" t="n">
        <f aca="false">IF(I1117&lt;=Inputs!$C$23,1,0)</f>
        <v>1</v>
      </c>
      <c r="R1117" s="19" t="n">
        <f aca="false">M1117*N1117*O1117*P1117*Q1117</f>
        <v>0</v>
      </c>
      <c r="S1117" s="14" t="n">
        <f aca="false">I1117*R1117</f>
        <v>0</v>
      </c>
      <c r="T1117" s="19" t="n">
        <f aca="false">IF(F1117&gt;72,1,0)</f>
        <v>0</v>
      </c>
      <c r="U1117" s="19" t="n">
        <f aca="false">IF(J1117&gt;1.25,1,0)</f>
        <v>1</v>
      </c>
    </row>
    <row r="1118" customFormat="false" ht="15" hidden="false" customHeight="false" outlineLevel="0" collapsed="false">
      <c r="B1118" s="13" t="s">
        <v>1338</v>
      </c>
      <c r="C1118" s="13" t="s">
        <v>221</v>
      </c>
      <c r="D1118" s="19" t="n">
        <v>579</v>
      </c>
      <c r="E1118" s="23" t="n">
        <v>0.2384</v>
      </c>
      <c r="F1118" s="19" t="n">
        <v>60</v>
      </c>
      <c r="G1118" s="19" t="n">
        <v>1</v>
      </c>
      <c r="H1118" s="14" t="n">
        <v>25650</v>
      </c>
      <c r="I1118" s="14" t="n">
        <v>25424.06</v>
      </c>
      <c r="J1118" s="24" t="n">
        <v>1.192</v>
      </c>
      <c r="K1118" s="19" t="n">
        <v>30</v>
      </c>
      <c r="L1118" s="13" t="str">
        <f aca="false">IF(D1118&gt;=Inputs!$C$14,"Near-prime","Non-prime")</f>
        <v>Non-prime</v>
      </c>
      <c r="M1118" s="19" t="n">
        <f aca="false">IF(K1118&lt;=Inputs!$C$19,1,0)</f>
        <v>1</v>
      </c>
      <c r="N1118" s="19" t="n">
        <f aca="false">IF(F1118&lt;=Inputs!$C$20,1,0)</f>
        <v>1</v>
      </c>
      <c r="O1118" s="19" t="n">
        <f aca="false">IF(J1118&lt;=Inputs!$C$21,1,0)</f>
        <v>1</v>
      </c>
      <c r="P1118" s="19" t="n">
        <f aca="false">IF(D1118&gt;=Inputs!$C$22,1,0)</f>
        <v>1</v>
      </c>
      <c r="Q1118" s="19" t="n">
        <f aca="false">IF(I1118&lt;=Inputs!$C$23,1,0)</f>
        <v>1</v>
      </c>
      <c r="R1118" s="19" t="n">
        <f aca="false">M1118*N1118*O1118*P1118*Q1118</f>
        <v>1</v>
      </c>
      <c r="S1118" s="14" t="n">
        <f aca="false">I1118*R1118</f>
        <v>25424.06</v>
      </c>
      <c r="T1118" s="19" t="n">
        <f aca="false">IF(F1118&gt;72,1,0)</f>
        <v>0</v>
      </c>
      <c r="U1118" s="19" t="n">
        <f aca="false">IF(J1118&gt;1.25,1,0)</f>
        <v>0</v>
      </c>
    </row>
    <row r="1119" customFormat="false" ht="15" hidden="false" customHeight="false" outlineLevel="0" collapsed="false">
      <c r="B1119" s="13" t="s">
        <v>1339</v>
      </c>
      <c r="C1119" s="13" t="s">
        <v>219</v>
      </c>
      <c r="D1119" s="19" t="n">
        <v>681</v>
      </c>
      <c r="E1119" s="23" t="n">
        <v>0.2032</v>
      </c>
      <c r="F1119" s="19" t="n">
        <v>60</v>
      </c>
      <c r="G1119" s="19" t="n">
        <v>1</v>
      </c>
      <c r="H1119" s="14" t="n">
        <v>27410</v>
      </c>
      <c r="I1119" s="14" t="n">
        <v>27143.06</v>
      </c>
      <c r="J1119" s="24" t="n">
        <v>0.834</v>
      </c>
      <c r="K1119" s="19" t="n">
        <v>0</v>
      </c>
      <c r="L1119" s="13" t="str">
        <f aca="false">IF(D1119&gt;=Inputs!$C$14,"Near-prime","Non-prime")</f>
        <v>Near-prime</v>
      </c>
      <c r="M1119" s="19" t="n">
        <f aca="false">IF(K1119&lt;=Inputs!$C$19,1,0)</f>
        <v>1</v>
      </c>
      <c r="N1119" s="19" t="n">
        <f aca="false">IF(F1119&lt;=Inputs!$C$20,1,0)</f>
        <v>1</v>
      </c>
      <c r="O1119" s="19" t="n">
        <f aca="false">IF(J1119&lt;=Inputs!$C$21,1,0)</f>
        <v>1</v>
      </c>
      <c r="P1119" s="19" t="n">
        <f aca="false">IF(D1119&gt;=Inputs!$C$22,1,0)</f>
        <v>1</v>
      </c>
      <c r="Q1119" s="19" t="n">
        <f aca="false">IF(I1119&lt;=Inputs!$C$23,1,0)</f>
        <v>1</v>
      </c>
      <c r="R1119" s="19" t="n">
        <f aca="false">M1119*N1119*O1119*P1119*Q1119</f>
        <v>1</v>
      </c>
      <c r="S1119" s="14" t="n">
        <f aca="false">I1119*R1119</f>
        <v>27143.06</v>
      </c>
      <c r="T1119" s="19" t="n">
        <f aca="false">IF(F1119&gt;72,1,0)</f>
        <v>0</v>
      </c>
      <c r="U1119" s="19" t="n">
        <f aca="false">IF(J1119&gt;1.25,1,0)</f>
        <v>0</v>
      </c>
    </row>
    <row r="1120" customFormat="false" ht="15" hidden="false" customHeight="false" outlineLevel="0" collapsed="false">
      <c r="B1120" s="13" t="s">
        <v>1340</v>
      </c>
      <c r="C1120" s="13" t="s">
        <v>237</v>
      </c>
      <c r="D1120" s="19" t="n">
        <v>637</v>
      </c>
      <c r="E1120" s="23" t="n">
        <v>0.1971</v>
      </c>
      <c r="F1120" s="19" t="n">
        <v>72</v>
      </c>
      <c r="G1120" s="19" t="n">
        <v>2</v>
      </c>
      <c r="H1120" s="14" t="n">
        <v>18610</v>
      </c>
      <c r="I1120" s="14" t="n">
        <v>18333.81</v>
      </c>
      <c r="J1120" s="24" t="n">
        <v>0.906</v>
      </c>
      <c r="K1120" s="19" t="n">
        <v>0</v>
      </c>
      <c r="L1120" s="13" t="str">
        <f aca="false">IF(D1120&gt;=Inputs!$C$14,"Near-prime","Non-prime")</f>
        <v>Near-prime</v>
      </c>
      <c r="M1120" s="19" t="n">
        <f aca="false">IF(K1120&lt;=Inputs!$C$19,1,0)</f>
        <v>1</v>
      </c>
      <c r="N1120" s="19" t="n">
        <f aca="false">IF(F1120&lt;=Inputs!$C$20,1,0)</f>
        <v>1</v>
      </c>
      <c r="O1120" s="19" t="n">
        <f aca="false">IF(J1120&lt;=Inputs!$C$21,1,0)</f>
        <v>1</v>
      </c>
      <c r="P1120" s="19" t="n">
        <f aca="false">IF(D1120&gt;=Inputs!$C$22,1,0)</f>
        <v>1</v>
      </c>
      <c r="Q1120" s="19" t="n">
        <f aca="false">IF(I1120&lt;=Inputs!$C$23,1,0)</f>
        <v>1</v>
      </c>
      <c r="R1120" s="19" t="n">
        <f aca="false">M1120*N1120*O1120*P1120*Q1120</f>
        <v>1</v>
      </c>
      <c r="S1120" s="14" t="n">
        <f aca="false">I1120*R1120</f>
        <v>18333.81</v>
      </c>
      <c r="T1120" s="19" t="n">
        <f aca="false">IF(F1120&gt;72,1,0)</f>
        <v>0</v>
      </c>
      <c r="U1120" s="19" t="n">
        <f aca="false">IF(J1120&gt;1.25,1,0)</f>
        <v>0</v>
      </c>
    </row>
    <row r="1121" customFormat="false" ht="15" hidden="false" customHeight="false" outlineLevel="0" collapsed="false">
      <c r="B1121" s="13" t="s">
        <v>1341</v>
      </c>
      <c r="C1121" s="13" t="s">
        <v>223</v>
      </c>
      <c r="D1121" s="19" t="n">
        <v>757</v>
      </c>
      <c r="E1121" s="23" t="n">
        <v>0.1981</v>
      </c>
      <c r="F1121" s="19" t="n">
        <v>48</v>
      </c>
      <c r="G1121" s="19" t="n">
        <v>3</v>
      </c>
      <c r="H1121" s="14" t="n">
        <v>19570</v>
      </c>
      <c r="I1121" s="14" t="n">
        <v>18745.11</v>
      </c>
      <c r="J1121" s="24" t="n">
        <v>1.215</v>
      </c>
      <c r="K1121" s="19" t="n">
        <v>0</v>
      </c>
      <c r="L1121" s="13" t="str">
        <f aca="false">IF(D1121&gt;=Inputs!$C$14,"Near-prime","Non-prime")</f>
        <v>Near-prime</v>
      </c>
      <c r="M1121" s="19" t="n">
        <f aca="false">IF(K1121&lt;=Inputs!$C$19,1,0)</f>
        <v>1</v>
      </c>
      <c r="N1121" s="19" t="n">
        <f aca="false">IF(F1121&lt;=Inputs!$C$20,1,0)</f>
        <v>1</v>
      </c>
      <c r="O1121" s="19" t="n">
        <f aca="false">IF(J1121&lt;=Inputs!$C$21,1,0)</f>
        <v>1</v>
      </c>
      <c r="P1121" s="19" t="n">
        <f aca="false">IF(D1121&gt;=Inputs!$C$22,1,0)</f>
        <v>1</v>
      </c>
      <c r="Q1121" s="19" t="n">
        <f aca="false">IF(I1121&lt;=Inputs!$C$23,1,0)</f>
        <v>1</v>
      </c>
      <c r="R1121" s="19" t="n">
        <f aca="false">M1121*N1121*O1121*P1121*Q1121</f>
        <v>1</v>
      </c>
      <c r="S1121" s="14" t="n">
        <f aca="false">I1121*R1121</f>
        <v>18745.11</v>
      </c>
      <c r="T1121" s="19" t="n">
        <f aca="false">IF(F1121&gt;72,1,0)</f>
        <v>0</v>
      </c>
      <c r="U1121" s="19" t="n">
        <f aca="false">IF(J1121&gt;1.25,1,0)</f>
        <v>0</v>
      </c>
    </row>
    <row r="1122" customFormat="false" ht="15" hidden="false" customHeight="false" outlineLevel="0" collapsed="false">
      <c r="B1122" s="13" t="s">
        <v>1342</v>
      </c>
      <c r="C1122" s="13" t="s">
        <v>217</v>
      </c>
      <c r="D1122" s="19" t="n">
        <v>621</v>
      </c>
      <c r="E1122" s="23" t="n">
        <v>0.2067</v>
      </c>
      <c r="F1122" s="19" t="n">
        <v>66</v>
      </c>
      <c r="G1122" s="19" t="n">
        <v>10</v>
      </c>
      <c r="H1122" s="14" t="n">
        <v>23290</v>
      </c>
      <c r="I1122" s="14" t="n">
        <v>21211.62</v>
      </c>
      <c r="J1122" s="24" t="n">
        <v>1.075</v>
      </c>
      <c r="K1122" s="19" t="n">
        <v>0</v>
      </c>
      <c r="L1122" s="13" t="str">
        <f aca="false">IF(D1122&gt;=Inputs!$C$14,"Near-prime","Non-prime")</f>
        <v>Near-prime</v>
      </c>
      <c r="M1122" s="19" t="n">
        <f aca="false">IF(K1122&lt;=Inputs!$C$19,1,0)</f>
        <v>1</v>
      </c>
      <c r="N1122" s="19" t="n">
        <f aca="false">IF(F1122&lt;=Inputs!$C$20,1,0)</f>
        <v>1</v>
      </c>
      <c r="O1122" s="19" t="n">
        <f aca="false">IF(J1122&lt;=Inputs!$C$21,1,0)</f>
        <v>1</v>
      </c>
      <c r="P1122" s="19" t="n">
        <f aca="false">IF(D1122&gt;=Inputs!$C$22,1,0)</f>
        <v>1</v>
      </c>
      <c r="Q1122" s="19" t="n">
        <f aca="false">IF(I1122&lt;=Inputs!$C$23,1,0)</f>
        <v>1</v>
      </c>
      <c r="R1122" s="19" t="n">
        <f aca="false">M1122*N1122*O1122*P1122*Q1122</f>
        <v>1</v>
      </c>
      <c r="S1122" s="14" t="n">
        <f aca="false">I1122*R1122</f>
        <v>21211.62</v>
      </c>
      <c r="T1122" s="19" t="n">
        <f aca="false">IF(F1122&gt;72,1,0)</f>
        <v>0</v>
      </c>
      <c r="U1122" s="19" t="n">
        <f aca="false">IF(J1122&gt;1.25,1,0)</f>
        <v>0</v>
      </c>
    </row>
    <row r="1123" customFormat="false" ht="15" hidden="false" customHeight="false" outlineLevel="0" collapsed="false">
      <c r="B1123" s="13" t="s">
        <v>1343</v>
      </c>
      <c r="C1123" s="13" t="s">
        <v>221</v>
      </c>
      <c r="D1123" s="19" t="n">
        <v>604</v>
      </c>
      <c r="E1123" s="23" t="n">
        <v>0.2372</v>
      </c>
      <c r="F1123" s="19" t="n">
        <v>72</v>
      </c>
      <c r="G1123" s="19" t="n">
        <v>6</v>
      </c>
      <c r="H1123" s="14" t="n">
        <v>16120</v>
      </c>
      <c r="I1123" s="14" t="n">
        <v>15470.56</v>
      </c>
      <c r="J1123" s="24" t="n">
        <v>0.909</v>
      </c>
      <c r="K1123" s="19" t="n">
        <v>0</v>
      </c>
      <c r="L1123" s="13" t="str">
        <f aca="false">IF(D1123&gt;=Inputs!$C$14,"Near-prime","Non-prime")</f>
        <v>Non-prime</v>
      </c>
      <c r="M1123" s="19" t="n">
        <f aca="false">IF(K1123&lt;=Inputs!$C$19,1,0)</f>
        <v>1</v>
      </c>
      <c r="N1123" s="19" t="n">
        <f aca="false">IF(F1123&lt;=Inputs!$C$20,1,0)</f>
        <v>1</v>
      </c>
      <c r="O1123" s="19" t="n">
        <f aca="false">IF(J1123&lt;=Inputs!$C$21,1,0)</f>
        <v>1</v>
      </c>
      <c r="P1123" s="19" t="n">
        <f aca="false">IF(D1123&gt;=Inputs!$C$22,1,0)</f>
        <v>1</v>
      </c>
      <c r="Q1123" s="19" t="n">
        <f aca="false">IF(I1123&lt;=Inputs!$C$23,1,0)</f>
        <v>1</v>
      </c>
      <c r="R1123" s="19" t="n">
        <f aca="false">M1123*N1123*O1123*P1123*Q1123</f>
        <v>1</v>
      </c>
      <c r="S1123" s="14" t="n">
        <f aca="false">I1123*R1123</f>
        <v>15470.56</v>
      </c>
      <c r="T1123" s="19" t="n">
        <f aca="false">IF(F1123&gt;72,1,0)</f>
        <v>0</v>
      </c>
      <c r="U1123" s="19" t="n">
        <f aca="false">IF(J1123&gt;1.25,1,0)</f>
        <v>0</v>
      </c>
    </row>
    <row r="1124" customFormat="false" ht="15" hidden="false" customHeight="false" outlineLevel="0" collapsed="false">
      <c r="B1124" s="13" t="s">
        <v>1344</v>
      </c>
      <c r="C1124" s="13" t="s">
        <v>221</v>
      </c>
      <c r="D1124" s="19" t="n">
        <v>702</v>
      </c>
      <c r="E1124" s="23" t="n">
        <v>0.2245</v>
      </c>
      <c r="F1124" s="19" t="n">
        <v>84</v>
      </c>
      <c r="G1124" s="19" t="n">
        <v>7</v>
      </c>
      <c r="H1124" s="14" t="n">
        <v>22740</v>
      </c>
      <c r="I1124" s="14" t="n">
        <v>21898.64</v>
      </c>
      <c r="J1124" s="24" t="n">
        <v>1.115</v>
      </c>
      <c r="K1124" s="19" t="n">
        <v>0</v>
      </c>
      <c r="L1124" s="13" t="str">
        <f aca="false">IF(D1124&gt;=Inputs!$C$14,"Near-prime","Non-prime")</f>
        <v>Near-prime</v>
      </c>
      <c r="M1124" s="19" t="n">
        <f aca="false">IF(K1124&lt;=Inputs!$C$19,1,0)</f>
        <v>1</v>
      </c>
      <c r="N1124" s="19" t="n">
        <f aca="false">IF(F1124&lt;=Inputs!$C$20,1,0)</f>
        <v>0</v>
      </c>
      <c r="O1124" s="19" t="n">
        <f aca="false">IF(J1124&lt;=Inputs!$C$21,1,0)</f>
        <v>1</v>
      </c>
      <c r="P1124" s="19" t="n">
        <f aca="false">IF(D1124&gt;=Inputs!$C$22,1,0)</f>
        <v>1</v>
      </c>
      <c r="Q1124" s="19" t="n">
        <f aca="false">IF(I1124&lt;=Inputs!$C$23,1,0)</f>
        <v>1</v>
      </c>
      <c r="R1124" s="19" t="n">
        <f aca="false">M1124*N1124*O1124*P1124*Q1124</f>
        <v>0</v>
      </c>
      <c r="S1124" s="14" t="n">
        <f aca="false">I1124*R1124</f>
        <v>0</v>
      </c>
      <c r="T1124" s="19" t="n">
        <f aca="false">IF(F1124&gt;72,1,0)</f>
        <v>1</v>
      </c>
      <c r="U1124" s="19" t="n">
        <f aca="false">IF(J1124&gt;1.25,1,0)</f>
        <v>0</v>
      </c>
    </row>
    <row r="1125" customFormat="false" ht="15" hidden="false" customHeight="false" outlineLevel="0" collapsed="false">
      <c r="B1125" s="13" t="s">
        <v>1345</v>
      </c>
      <c r="C1125" s="13" t="s">
        <v>219</v>
      </c>
      <c r="D1125" s="19" t="n">
        <v>669</v>
      </c>
      <c r="E1125" s="23" t="n">
        <v>0.2213</v>
      </c>
      <c r="F1125" s="19" t="n">
        <v>84</v>
      </c>
      <c r="G1125" s="19" t="n">
        <v>1</v>
      </c>
      <c r="H1125" s="14" t="n">
        <v>35530</v>
      </c>
      <c r="I1125" s="14" t="n">
        <v>35350.05</v>
      </c>
      <c r="J1125" s="24" t="n">
        <v>1.356</v>
      </c>
      <c r="K1125" s="19" t="n">
        <v>0</v>
      </c>
      <c r="L1125" s="13" t="str">
        <f aca="false">IF(D1125&gt;=Inputs!$C$14,"Near-prime","Non-prime")</f>
        <v>Near-prime</v>
      </c>
      <c r="M1125" s="19" t="n">
        <f aca="false">IF(K1125&lt;=Inputs!$C$19,1,0)</f>
        <v>1</v>
      </c>
      <c r="N1125" s="19" t="n">
        <f aca="false">IF(F1125&lt;=Inputs!$C$20,1,0)</f>
        <v>0</v>
      </c>
      <c r="O1125" s="19" t="n">
        <f aca="false">IF(J1125&lt;=Inputs!$C$21,1,0)</f>
        <v>1</v>
      </c>
      <c r="P1125" s="19" t="n">
        <f aca="false">IF(D1125&gt;=Inputs!$C$22,1,0)</f>
        <v>1</v>
      </c>
      <c r="Q1125" s="19" t="n">
        <f aca="false">IF(I1125&lt;=Inputs!$C$23,1,0)</f>
        <v>1</v>
      </c>
      <c r="R1125" s="19" t="n">
        <f aca="false">M1125*N1125*O1125*P1125*Q1125</f>
        <v>0</v>
      </c>
      <c r="S1125" s="14" t="n">
        <f aca="false">I1125*R1125</f>
        <v>0</v>
      </c>
      <c r="T1125" s="19" t="n">
        <f aca="false">IF(F1125&gt;72,1,0)</f>
        <v>1</v>
      </c>
      <c r="U1125" s="19" t="n">
        <f aca="false">IF(J1125&gt;1.25,1,0)</f>
        <v>1</v>
      </c>
    </row>
    <row r="1126" customFormat="false" ht="15" hidden="false" customHeight="false" outlineLevel="0" collapsed="false">
      <c r="B1126" s="13" t="s">
        <v>1346</v>
      </c>
      <c r="C1126" s="13" t="s">
        <v>219</v>
      </c>
      <c r="D1126" s="19" t="n">
        <v>651</v>
      </c>
      <c r="E1126" s="23" t="n">
        <v>0.2162</v>
      </c>
      <c r="F1126" s="19" t="n">
        <v>72</v>
      </c>
      <c r="G1126" s="19" t="n">
        <v>7</v>
      </c>
      <c r="H1126" s="14" t="n">
        <v>15790</v>
      </c>
      <c r="I1126" s="14" t="n">
        <v>14986.68</v>
      </c>
      <c r="J1126" s="24" t="n">
        <v>1.097</v>
      </c>
      <c r="K1126" s="19" t="n">
        <v>0</v>
      </c>
      <c r="L1126" s="13" t="str">
        <f aca="false">IF(D1126&gt;=Inputs!$C$14,"Near-prime","Non-prime")</f>
        <v>Near-prime</v>
      </c>
      <c r="M1126" s="19" t="n">
        <f aca="false">IF(K1126&lt;=Inputs!$C$19,1,0)</f>
        <v>1</v>
      </c>
      <c r="N1126" s="19" t="n">
        <f aca="false">IF(F1126&lt;=Inputs!$C$20,1,0)</f>
        <v>1</v>
      </c>
      <c r="O1126" s="19" t="n">
        <f aca="false">IF(J1126&lt;=Inputs!$C$21,1,0)</f>
        <v>1</v>
      </c>
      <c r="P1126" s="19" t="n">
        <f aca="false">IF(D1126&gt;=Inputs!$C$22,1,0)</f>
        <v>1</v>
      </c>
      <c r="Q1126" s="19" t="n">
        <f aca="false">IF(I1126&lt;=Inputs!$C$23,1,0)</f>
        <v>1</v>
      </c>
      <c r="R1126" s="19" t="n">
        <f aca="false">M1126*N1126*O1126*P1126*Q1126</f>
        <v>1</v>
      </c>
      <c r="S1126" s="14" t="n">
        <f aca="false">I1126*R1126</f>
        <v>14986.68</v>
      </c>
      <c r="T1126" s="19" t="n">
        <f aca="false">IF(F1126&gt;72,1,0)</f>
        <v>0</v>
      </c>
      <c r="U1126" s="19" t="n">
        <f aca="false">IF(J1126&gt;1.25,1,0)</f>
        <v>0</v>
      </c>
    </row>
    <row r="1127" customFormat="false" ht="15" hidden="false" customHeight="false" outlineLevel="0" collapsed="false">
      <c r="B1127" s="13" t="s">
        <v>1347</v>
      </c>
      <c r="C1127" s="13" t="s">
        <v>217</v>
      </c>
      <c r="D1127" s="19" t="n">
        <v>522</v>
      </c>
      <c r="E1127" s="23" t="n">
        <v>0.2357</v>
      </c>
      <c r="F1127" s="19" t="n">
        <v>75</v>
      </c>
      <c r="G1127" s="19" t="n">
        <v>5</v>
      </c>
      <c r="H1127" s="14" t="n">
        <v>15110</v>
      </c>
      <c r="I1127" s="14" t="n">
        <v>14642.45</v>
      </c>
      <c r="J1127" s="24" t="n">
        <v>1.084</v>
      </c>
      <c r="K1127" s="19" t="n">
        <v>0</v>
      </c>
      <c r="L1127" s="13" t="str">
        <f aca="false">IF(D1127&gt;=Inputs!$C$14,"Near-prime","Non-prime")</f>
        <v>Non-prime</v>
      </c>
      <c r="M1127" s="19" t="n">
        <f aca="false">IF(K1127&lt;=Inputs!$C$19,1,0)</f>
        <v>1</v>
      </c>
      <c r="N1127" s="19" t="n">
        <f aca="false">IF(F1127&lt;=Inputs!$C$20,1,0)</f>
        <v>1</v>
      </c>
      <c r="O1127" s="19" t="n">
        <f aca="false">IF(J1127&lt;=Inputs!$C$21,1,0)</f>
        <v>1</v>
      </c>
      <c r="P1127" s="19" t="n">
        <f aca="false">IF(D1127&gt;=Inputs!$C$22,1,0)</f>
        <v>0</v>
      </c>
      <c r="Q1127" s="19" t="n">
        <f aca="false">IF(I1127&lt;=Inputs!$C$23,1,0)</f>
        <v>1</v>
      </c>
      <c r="R1127" s="19" t="n">
        <f aca="false">M1127*N1127*O1127*P1127*Q1127</f>
        <v>0</v>
      </c>
      <c r="S1127" s="14" t="n">
        <f aca="false">I1127*R1127</f>
        <v>0</v>
      </c>
      <c r="T1127" s="19" t="n">
        <f aca="false">IF(F1127&gt;72,1,0)</f>
        <v>1</v>
      </c>
      <c r="U1127" s="19" t="n">
        <f aca="false">IF(J1127&gt;1.25,1,0)</f>
        <v>0</v>
      </c>
    </row>
    <row r="1128" customFormat="false" ht="15" hidden="false" customHeight="false" outlineLevel="0" collapsed="false">
      <c r="B1128" s="13" t="s">
        <v>1348</v>
      </c>
      <c r="C1128" s="13" t="s">
        <v>228</v>
      </c>
      <c r="D1128" s="19" t="n">
        <v>668</v>
      </c>
      <c r="E1128" s="23" t="n">
        <v>0.1861</v>
      </c>
      <c r="F1128" s="19" t="n">
        <v>72</v>
      </c>
      <c r="G1128" s="19" t="n">
        <v>8</v>
      </c>
      <c r="H1128" s="14" t="n">
        <v>34380</v>
      </c>
      <c r="I1128" s="14" t="n">
        <v>32159.39</v>
      </c>
      <c r="J1128" s="24" t="n">
        <v>1.364</v>
      </c>
      <c r="K1128" s="19" t="n">
        <v>0</v>
      </c>
      <c r="L1128" s="13" t="str">
        <f aca="false">IF(D1128&gt;=Inputs!$C$14,"Near-prime","Non-prime")</f>
        <v>Near-prime</v>
      </c>
      <c r="M1128" s="19" t="n">
        <f aca="false">IF(K1128&lt;=Inputs!$C$19,1,0)</f>
        <v>1</v>
      </c>
      <c r="N1128" s="19" t="n">
        <f aca="false">IF(F1128&lt;=Inputs!$C$20,1,0)</f>
        <v>1</v>
      </c>
      <c r="O1128" s="19" t="n">
        <f aca="false">IF(J1128&lt;=Inputs!$C$21,1,0)</f>
        <v>1</v>
      </c>
      <c r="P1128" s="19" t="n">
        <f aca="false">IF(D1128&gt;=Inputs!$C$22,1,0)</f>
        <v>1</v>
      </c>
      <c r="Q1128" s="19" t="n">
        <f aca="false">IF(I1128&lt;=Inputs!$C$23,1,0)</f>
        <v>1</v>
      </c>
      <c r="R1128" s="19" t="n">
        <f aca="false">M1128*N1128*O1128*P1128*Q1128</f>
        <v>1</v>
      </c>
      <c r="S1128" s="14" t="n">
        <f aca="false">I1128*R1128</f>
        <v>32159.39</v>
      </c>
      <c r="T1128" s="19" t="n">
        <f aca="false">IF(F1128&gt;72,1,0)</f>
        <v>0</v>
      </c>
      <c r="U1128" s="19" t="n">
        <f aca="false">IF(J1128&gt;1.25,1,0)</f>
        <v>1</v>
      </c>
    </row>
    <row r="1129" customFormat="false" ht="15" hidden="false" customHeight="false" outlineLevel="0" collapsed="false">
      <c r="B1129" s="13" t="s">
        <v>1349</v>
      </c>
      <c r="C1129" s="13" t="s">
        <v>217</v>
      </c>
      <c r="D1129" s="19" t="n">
        <v>642</v>
      </c>
      <c r="E1129" s="23" t="n">
        <v>0.2003</v>
      </c>
      <c r="F1129" s="19" t="n">
        <v>72</v>
      </c>
      <c r="G1129" s="19" t="n">
        <v>9</v>
      </c>
      <c r="H1129" s="14" t="n">
        <v>22890</v>
      </c>
      <c r="I1129" s="14" t="n">
        <v>21286.43</v>
      </c>
      <c r="J1129" s="24" t="n">
        <v>1.081</v>
      </c>
      <c r="K1129" s="19" t="n">
        <v>0</v>
      </c>
      <c r="L1129" s="13" t="str">
        <f aca="false">IF(D1129&gt;=Inputs!$C$14,"Near-prime","Non-prime")</f>
        <v>Near-prime</v>
      </c>
      <c r="M1129" s="19" t="n">
        <f aca="false">IF(K1129&lt;=Inputs!$C$19,1,0)</f>
        <v>1</v>
      </c>
      <c r="N1129" s="19" t="n">
        <f aca="false">IF(F1129&lt;=Inputs!$C$20,1,0)</f>
        <v>1</v>
      </c>
      <c r="O1129" s="19" t="n">
        <f aca="false">IF(J1129&lt;=Inputs!$C$21,1,0)</f>
        <v>1</v>
      </c>
      <c r="P1129" s="19" t="n">
        <f aca="false">IF(D1129&gt;=Inputs!$C$22,1,0)</f>
        <v>1</v>
      </c>
      <c r="Q1129" s="19" t="n">
        <f aca="false">IF(I1129&lt;=Inputs!$C$23,1,0)</f>
        <v>1</v>
      </c>
      <c r="R1129" s="19" t="n">
        <f aca="false">M1129*N1129*O1129*P1129*Q1129</f>
        <v>1</v>
      </c>
      <c r="S1129" s="14" t="n">
        <f aca="false">I1129*R1129</f>
        <v>21286.43</v>
      </c>
      <c r="T1129" s="19" t="n">
        <f aca="false">IF(F1129&gt;72,1,0)</f>
        <v>0</v>
      </c>
      <c r="U1129" s="19" t="n">
        <f aca="false">IF(J1129&gt;1.25,1,0)</f>
        <v>0</v>
      </c>
    </row>
    <row r="1130" customFormat="false" ht="15" hidden="false" customHeight="false" outlineLevel="0" collapsed="false">
      <c r="B1130" s="13" t="s">
        <v>1350</v>
      </c>
      <c r="C1130" s="13" t="s">
        <v>217</v>
      </c>
      <c r="D1130" s="19" t="n">
        <v>651</v>
      </c>
      <c r="E1130" s="23" t="n">
        <v>0.1932</v>
      </c>
      <c r="F1130" s="19" t="n">
        <v>66</v>
      </c>
      <c r="G1130" s="19" t="n">
        <v>7</v>
      </c>
      <c r="H1130" s="14" t="n">
        <v>41710</v>
      </c>
      <c r="I1130" s="14" t="n">
        <v>39070.81</v>
      </c>
      <c r="J1130" s="24" t="n">
        <v>1.324</v>
      </c>
      <c r="K1130" s="19" t="n">
        <v>0</v>
      </c>
      <c r="L1130" s="13" t="str">
        <f aca="false">IF(D1130&gt;=Inputs!$C$14,"Near-prime","Non-prime")</f>
        <v>Near-prime</v>
      </c>
      <c r="M1130" s="19" t="n">
        <f aca="false">IF(K1130&lt;=Inputs!$C$19,1,0)</f>
        <v>1</v>
      </c>
      <c r="N1130" s="19" t="n">
        <f aca="false">IF(F1130&lt;=Inputs!$C$20,1,0)</f>
        <v>1</v>
      </c>
      <c r="O1130" s="19" t="n">
        <f aca="false">IF(J1130&lt;=Inputs!$C$21,1,0)</f>
        <v>1</v>
      </c>
      <c r="P1130" s="19" t="n">
        <f aca="false">IF(D1130&gt;=Inputs!$C$22,1,0)</f>
        <v>1</v>
      </c>
      <c r="Q1130" s="19" t="n">
        <f aca="false">IF(I1130&lt;=Inputs!$C$23,1,0)</f>
        <v>1</v>
      </c>
      <c r="R1130" s="19" t="n">
        <f aca="false">M1130*N1130*O1130*P1130*Q1130</f>
        <v>1</v>
      </c>
      <c r="S1130" s="14" t="n">
        <f aca="false">I1130*R1130</f>
        <v>39070.81</v>
      </c>
      <c r="T1130" s="19" t="n">
        <f aca="false">IF(F1130&gt;72,1,0)</f>
        <v>0</v>
      </c>
      <c r="U1130" s="19" t="n">
        <f aca="false">IF(J1130&gt;1.25,1,0)</f>
        <v>1</v>
      </c>
    </row>
    <row r="1131" customFormat="false" ht="15" hidden="false" customHeight="false" outlineLevel="0" collapsed="false">
      <c r="B1131" s="13" t="s">
        <v>1351</v>
      </c>
      <c r="C1131" s="13" t="s">
        <v>217</v>
      </c>
      <c r="D1131" s="19" t="n">
        <v>606</v>
      </c>
      <c r="E1131" s="23" t="n">
        <v>0.2099</v>
      </c>
      <c r="F1131" s="19" t="n">
        <v>72</v>
      </c>
      <c r="G1131" s="19" t="n">
        <v>1</v>
      </c>
      <c r="H1131" s="14" t="n">
        <v>15200</v>
      </c>
      <c r="I1131" s="14" t="n">
        <v>15093.02</v>
      </c>
      <c r="J1131" s="24" t="n">
        <v>1.092</v>
      </c>
      <c r="K1131" s="19" t="n">
        <v>0</v>
      </c>
      <c r="L1131" s="13" t="str">
        <f aca="false">IF(D1131&gt;=Inputs!$C$14,"Near-prime","Non-prime")</f>
        <v>Non-prime</v>
      </c>
      <c r="M1131" s="19" t="n">
        <f aca="false">IF(K1131&lt;=Inputs!$C$19,1,0)</f>
        <v>1</v>
      </c>
      <c r="N1131" s="19" t="n">
        <f aca="false">IF(F1131&lt;=Inputs!$C$20,1,0)</f>
        <v>1</v>
      </c>
      <c r="O1131" s="19" t="n">
        <f aca="false">IF(J1131&lt;=Inputs!$C$21,1,0)</f>
        <v>1</v>
      </c>
      <c r="P1131" s="19" t="n">
        <f aca="false">IF(D1131&gt;=Inputs!$C$22,1,0)</f>
        <v>1</v>
      </c>
      <c r="Q1131" s="19" t="n">
        <f aca="false">IF(I1131&lt;=Inputs!$C$23,1,0)</f>
        <v>1</v>
      </c>
      <c r="R1131" s="19" t="n">
        <f aca="false">M1131*N1131*O1131*P1131*Q1131</f>
        <v>1</v>
      </c>
      <c r="S1131" s="14" t="n">
        <f aca="false">I1131*R1131</f>
        <v>15093.02</v>
      </c>
      <c r="T1131" s="19" t="n">
        <f aca="false">IF(F1131&gt;72,1,0)</f>
        <v>0</v>
      </c>
      <c r="U1131" s="19" t="n">
        <f aca="false">IF(J1131&gt;1.25,1,0)</f>
        <v>0</v>
      </c>
    </row>
    <row r="1132" customFormat="false" ht="15" hidden="false" customHeight="false" outlineLevel="0" collapsed="false">
      <c r="B1132" s="13" t="s">
        <v>1352</v>
      </c>
      <c r="C1132" s="13" t="s">
        <v>221</v>
      </c>
      <c r="D1132" s="19" t="n">
        <v>715</v>
      </c>
      <c r="E1132" s="23" t="n">
        <v>0.1966</v>
      </c>
      <c r="F1132" s="19" t="n">
        <v>60</v>
      </c>
      <c r="G1132" s="19" t="n">
        <v>3</v>
      </c>
      <c r="H1132" s="14" t="n">
        <v>34020</v>
      </c>
      <c r="I1132" s="14" t="n">
        <v>32990.71</v>
      </c>
      <c r="J1132" s="24" t="n">
        <v>1.068</v>
      </c>
      <c r="K1132" s="19" t="n">
        <v>0</v>
      </c>
      <c r="L1132" s="13" t="str">
        <f aca="false">IF(D1132&gt;=Inputs!$C$14,"Near-prime","Non-prime")</f>
        <v>Near-prime</v>
      </c>
      <c r="M1132" s="19" t="n">
        <f aca="false">IF(K1132&lt;=Inputs!$C$19,1,0)</f>
        <v>1</v>
      </c>
      <c r="N1132" s="19" t="n">
        <f aca="false">IF(F1132&lt;=Inputs!$C$20,1,0)</f>
        <v>1</v>
      </c>
      <c r="O1132" s="19" t="n">
        <f aca="false">IF(J1132&lt;=Inputs!$C$21,1,0)</f>
        <v>1</v>
      </c>
      <c r="P1132" s="19" t="n">
        <f aca="false">IF(D1132&gt;=Inputs!$C$22,1,0)</f>
        <v>1</v>
      </c>
      <c r="Q1132" s="19" t="n">
        <f aca="false">IF(I1132&lt;=Inputs!$C$23,1,0)</f>
        <v>1</v>
      </c>
      <c r="R1132" s="19" t="n">
        <f aca="false">M1132*N1132*O1132*P1132*Q1132</f>
        <v>1</v>
      </c>
      <c r="S1132" s="14" t="n">
        <f aca="false">I1132*R1132</f>
        <v>32990.71</v>
      </c>
      <c r="T1132" s="19" t="n">
        <f aca="false">IF(F1132&gt;72,1,0)</f>
        <v>0</v>
      </c>
      <c r="U1132" s="19" t="n">
        <f aca="false">IF(J1132&gt;1.25,1,0)</f>
        <v>0</v>
      </c>
    </row>
    <row r="1133" customFormat="false" ht="15" hidden="false" customHeight="false" outlineLevel="0" collapsed="false">
      <c r="B1133" s="13" t="s">
        <v>1353</v>
      </c>
      <c r="C1133" s="13" t="s">
        <v>228</v>
      </c>
      <c r="D1133" s="19" t="n">
        <v>646</v>
      </c>
      <c r="E1133" s="23" t="n">
        <v>0.2014</v>
      </c>
      <c r="F1133" s="19" t="n">
        <v>60</v>
      </c>
      <c r="G1133" s="19" t="n">
        <v>0</v>
      </c>
      <c r="H1133" s="14" t="n">
        <v>26560</v>
      </c>
      <c r="I1133" s="14" t="n">
        <v>26560</v>
      </c>
      <c r="J1133" s="24" t="n">
        <v>0.957</v>
      </c>
      <c r="K1133" s="19" t="n">
        <v>0</v>
      </c>
      <c r="L1133" s="13" t="str">
        <f aca="false">IF(D1133&gt;=Inputs!$C$14,"Near-prime","Non-prime")</f>
        <v>Near-prime</v>
      </c>
      <c r="M1133" s="19" t="n">
        <f aca="false">IF(K1133&lt;=Inputs!$C$19,1,0)</f>
        <v>1</v>
      </c>
      <c r="N1133" s="19" t="n">
        <f aca="false">IF(F1133&lt;=Inputs!$C$20,1,0)</f>
        <v>1</v>
      </c>
      <c r="O1133" s="19" t="n">
        <f aca="false">IF(J1133&lt;=Inputs!$C$21,1,0)</f>
        <v>1</v>
      </c>
      <c r="P1133" s="19" t="n">
        <f aca="false">IF(D1133&gt;=Inputs!$C$22,1,0)</f>
        <v>1</v>
      </c>
      <c r="Q1133" s="19" t="n">
        <f aca="false">IF(I1133&lt;=Inputs!$C$23,1,0)</f>
        <v>1</v>
      </c>
      <c r="R1133" s="19" t="n">
        <f aca="false">M1133*N1133*O1133*P1133*Q1133</f>
        <v>1</v>
      </c>
      <c r="S1133" s="14" t="n">
        <f aca="false">I1133*R1133</f>
        <v>26560</v>
      </c>
      <c r="T1133" s="19" t="n">
        <f aca="false">IF(F1133&gt;72,1,0)</f>
        <v>0</v>
      </c>
      <c r="U1133" s="19" t="n">
        <f aca="false">IF(J1133&gt;1.25,1,0)</f>
        <v>0</v>
      </c>
    </row>
    <row r="1134" customFormat="false" ht="15" hidden="false" customHeight="false" outlineLevel="0" collapsed="false">
      <c r="B1134" s="13" t="s">
        <v>1354</v>
      </c>
      <c r="C1134" s="13" t="s">
        <v>219</v>
      </c>
      <c r="D1134" s="19" t="n">
        <v>634</v>
      </c>
      <c r="E1134" s="23" t="n">
        <v>0.2208</v>
      </c>
      <c r="F1134" s="19" t="n">
        <v>72</v>
      </c>
      <c r="G1134" s="19" t="n">
        <v>8</v>
      </c>
      <c r="H1134" s="14" t="n">
        <v>16020</v>
      </c>
      <c r="I1134" s="14" t="n">
        <v>15093.88</v>
      </c>
      <c r="J1134" s="24" t="n">
        <v>0.841</v>
      </c>
      <c r="K1134" s="19" t="n">
        <v>0</v>
      </c>
      <c r="L1134" s="13" t="str">
        <f aca="false">IF(D1134&gt;=Inputs!$C$14,"Near-prime","Non-prime")</f>
        <v>Near-prime</v>
      </c>
      <c r="M1134" s="19" t="n">
        <f aca="false">IF(K1134&lt;=Inputs!$C$19,1,0)</f>
        <v>1</v>
      </c>
      <c r="N1134" s="19" t="n">
        <f aca="false">IF(F1134&lt;=Inputs!$C$20,1,0)</f>
        <v>1</v>
      </c>
      <c r="O1134" s="19" t="n">
        <f aca="false">IF(J1134&lt;=Inputs!$C$21,1,0)</f>
        <v>1</v>
      </c>
      <c r="P1134" s="19" t="n">
        <f aca="false">IF(D1134&gt;=Inputs!$C$22,1,0)</f>
        <v>1</v>
      </c>
      <c r="Q1134" s="19" t="n">
        <f aca="false">IF(I1134&lt;=Inputs!$C$23,1,0)</f>
        <v>1</v>
      </c>
      <c r="R1134" s="19" t="n">
        <f aca="false">M1134*N1134*O1134*P1134*Q1134</f>
        <v>1</v>
      </c>
      <c r="S1134" s="14" t="n">
        <f aca="false">I1134*R1134</f>
        <v>15093.88</v>
      </c>
      <c r="T1134" s="19" t="n">
        <f aca="false">IF(F1134&gt;72,1,0)</f>
        <v>0</v>
      </c>
      <c r="U1134" s="19" t="n">
        <f aca="false">IF(J1134&gt;1.25,1,0)</f>
        <v>0</v>
      </c>
    </row>
    <row r="1135" customFormat="false" ht="15" hidden="false" customHeight="false" outlineLevel="0" collapsed="false">
      <c r="B1135" s="13" t="s">
        <v>1355</v>
      </c>
      <c r="C1135" s="13" t="s">
        <v>221</v>
      </c>
      <c r="D1135" s="19" t="n">
        <v>566</v>
      </c>
      <c r="E1135" s="23" t="n">
        <v>0.2157</v>
      </c>
      <c r="F1135" s="19" t="n">
        <v>72</v>
      </c>
      <c r="G1135" s="19" t="n">
        <v>7</v>
      </c>
      <c r="H1135" s="14" t="n">
        <v>27360</v>
      </c>
      <c r="I1135" s="14" t="n">
        <v>25965.78</v>
      </c>
      <c r="J1135" s="24" t="n">
        <v>1.087</v>
      </c>
      <c r="K1135" s="19" t="n">
        <v>0</v>
      </c>
      <c r="L1135" s="13" t="str">
        <f aca="false">IF(D1135&gt;=Inputs!$C$14,"Near-prime","Non-prime")</f>
        <v>Non-prime</v>
      </c>
      <c r="M1135" s="19" t="n">
        <f aca="false">IF(K1135&lt;=Inputs!$C$19,1,0)</f>
        <v>1</v>
      </c>
      <c r="N1135" s="19" t="n">
        <f aca="false">IF(F1135&lt;=Inputs!$C$20,1,0)</f>
        <v>1</v>
      </c>
      <c r="O1135" s="19" t="n">
        <f aca="false">IF(J1135&lt;=Inputs!$C$21,1,0)</f>
        <v>1</v>
      </c>
      <c r="P1135" s="19" t="n">
        <f aca="false">IF(D1135&gt;=Inputs!$C$22,1,0)</f>
        <v>1</v>
      </c>
      <c r="Q1135" s="19" t="n">
        <f aca="false">IF(I1135&lt;=Inputs!$C$23,1,0)</f>
        <v>1</v>
      </c>
      <c r="R1135" s="19" t="n">
        <f aca="false">M1135*N1135*O1135*P1135*Q1135</f>
        <v>1</v>
      </c>
      <c r="S1135" s="14" t="n">
        <f aca="false">I1135*R1135</f>
        <v>25965.78</v>
      </c>
      <c r="T1135" s="19" t="n">
        <f aca="false">IF(F1135&gt;72,1,0)</f>
        <v>0</v>
      </c>
      <c r="U1135" s="19" t="n">
        <f aca="false">IF(J1135&gt;1.25,1,0)</f>
        <v>0</v>
      </c>
    </row>
    <row r="1136" customFormat="false" ht="15" hidden="false" customHeight="false" outlineLevel="0" collapsed="false">
      <c r="B1136" s="13" t="s">
        <v>1356</v>
      </c>
      <c r="C1136" s="13" t="s">
        <v>257</v>
      </c>
      <c r="D1136" s="19" t="n">
        <v>636</v>
      </c>
      <c r="E1136" s="23" t="n">
        <v>0.2156</v>
      </c>
      <c r="F1136" s="19" t="n">
        <v>60</v>
      </c>
      <c r="G1136" s="19" t="n">
        <v>7</v>
      </c>
      <c r="H1136" s="14" t="n">
        <v>51220</v>
      </c>
      <c r="I1136" s="14" t="n">
        <v>47661.52</v>
      </c>
      <c r="J1136" s="24" t="n">
        <v>1.131</v>
      </c>
      <c r="K1136" s="19" t="n">
        <v>0</v>
      </c>
      <c r="L1136" s="13" t="str">
        <f aca="false">IF(D1136&gt;=Inputs!$C$14,"Near-prime","Non-prime")</f>
        <v>Near-prime</v>
      </c>
      <c r="M1136" s="19" t="n">
        <f aca="false">IF(K1136&lt;=Inputs!$C$19,1,0)</f>
        <v>1</v>
      </c>
      <c r="N1136" s="19" t="n">
        <f aca="false">IF(F1136&lt;=Inputs!$C$20,1,0)</f>
        <v>1</v>
      </c>
      <c r="O1136" s="19" t="n">
        <f aca="false">IF(J1136&lt;=Inputs!$C$21,1,0)</f>
        <v>1</v>
      </c>
      <c r="P1136" s="19" t="n">
        <f aca="false">IF(D1136&gt;=Inputs!$C$22,1,0)</f>
        <v>1</v>
      </c>
      <c r="Q1136" s="19" t="n">
        <f aca="false">IF(I1136&lt;=Inputs!$C$23,1,0)</f>
        <v>1</v>
      </c>
      <c r="R1136" s="19" t="n">
        <f aca="false">M1136*N1136*O1136*P1136*Q1136</f>
        <v>1</v>
      </c>
      <c r="S1136" s="14" t="n">
        <f aca="false">I1136*R1136</f>
        <v>47661.52</v>
      </c>
      <c r="T1136" s="19" t="n">
        <f aca="false">IF(F1136&gt;72,1,0)</f>
        <v>0</v>
      </c>
      <c r="U1136" s="19" t="n">
        <f aca="false">IF(J1136&gt;1.25,1,0)</f>
        <v>0</v>
      </c>
    </row>
    <row r="1137" customFormat="false" ht="15" hidden="false" customHeight="false" outlineLevel="0" collapsed="false">
      <c r="B1137" s="13" t="s">
        <v>1357</v>
      </c>
      <c r="C1137" s="13" t="s">
        <v>228</v>
      </c>
      <c r="D1137" s="19" t="n">
        <v>590</v>
      </c>
      <c r="E1137" s="23" t="n">
        <v>0.2339</v>
      </c>
      <c r="F1137" s="19" t="n">
        <v>84</v>
      </c>
      <c r="G1137" s="19" t="n">
        <v>0</v>
      </c>
      <c r="H1137" s="14" t="n">
        <v>32550</v>
      </c>
      <c r="I1137" s="14" t="n">
        <v>32550</v>
      </c>
      <c r="J1137" s="24" t="n">
        <v>0.918</v>
      </c>
      <c r="K1137" s="19" t="n">
        <v>0</v>
      </c>
      <c r="L1137" s="13" t="str">
        <f aca="false">IF(D1137&gt;=Inputs!$C$14,"Near-prime","Non-prime")</f>
        <v>Non-prime</v>
      </c>
      <c r="M1137" s="19" t="n">
        <f aca="false">IF(K1137&lt;=Inputs!$C$19,1,0)</f>
        <v>1</v>
      </c>
      <c r="N1137" s="19" t="n">
        <f aca="false">IF(F1137&lt;=Inputs!$C$20,1,0)</f>
        <v>0</v>
      </c>
      <c r="O1137" s="19" t="n">
        <f aca="false">IF(J1137&lt;=Inputs!$C$21,1,0)</f>
        <v>1</v>
      </c>
      <c r="P1137" s="19" t="n">
        <f aca="false">IF(D1137&gt;=Inputs!$C$22,1,0)</f>
        <v>1</v>
      </c>
      <c r="Q1137" s="19" t="n">
        <f aca="false">IF(I1137&lt;=Inputs!$C$23,1,0)</f>
        <v>1</v>
      </c>
      <c r="R1137" s="19" t="n">
        <f aca="false">M1137*N1137*O1137*P1137*Q1137</f>
        <v>0</v>
      </c>
      <c r="S1137" s="14" t="n">
        <f aca="false">I1137*R1137</f>
        <v>0</v>
      </c>
      <c r="T1137" s="19" t="n">
        <f aca="false">IF(F1137&gt;72,1,0)</f>
        <v>1</v>
      </c>
      <c r="U1137" s="19" t="n">
        <f aca="false">IF(J1137&gt;1.25,1,0)</f>
        <v>0</v>
      </c>
    </row>
    <row r="1138" customFormat="false" ht="15" hidden="false" customHeight="false" outlineLevel="0" collapsed="false">
      <c r="B1138" s="13" t="s">
        <v>1358</v>
      </c>
      <c r="C1138" s="13" t="s">
        <v>252</v>
      </c>
      <c r="D1138" s="19" t="n">
        <v>718</v>
      </c>
      <c r="E1138" s="23" t="n">
        <v>0.1832</v>
      </c>
      <c r="F1138" s="19" t="n">
        <v>72</v>
      </c>
      <c r="G1138" s="19" t="n">
        <v>6</v>
      </c>
      <c r="H1138" s="14" t="n">
        <v>26090</v>
      </c>
      <c r="I1138" s="14" t="n">
        <v>24834.05</v>
      </c>
      <c r="J1138" s="24" t="n">
        <v>0.997</v>
      </c>
      <c r="K1138" s="19" t="n">
        <v>0</v>
      </c>
      <c r="L1138" s="13" t="str">
        <f aca="false">IF(D1138&gt;=Inputs!$C$14,"Near-prime","Non-prime")</f>
        <v>Near-prime</v>
      </c>
      <c r="M1138" s="19" t="n">
        <f aca="false">IF(K1138&lt;=Inputs!$C$19,1,0)</f>
        <v>1</v>
      </c>
      <c r="N1138" s="19" t="n">
        <f aca="false">IF(F1138&lt;=Inputs!$C$20,1,0)</f>
        <v>1</v>
      </c>
      <c r="O1138" s="19" t="n">
        <f aca="false">IF(J1138&lt;=Inputs!$C$21,1,0)</f>
        <v>1</v>
      </c>
      <c r="P1138" s="19" t="n">
        <f aca="false">IF(D1138&gt;=Inputs!$C$22,1,0)</f>
        <v>1</v>
      </c>
      <c r="Q1138" s="19" t="n">
        <f aca="false">IF(I1138&lt;=Inputs!$C$23,1,0)</f>
        <v>1</v>
      </c>
      <c r="R1138" s="19" t="n">
        <f aca="false">M1138*N1138*O1138*P1138*Q1138</f>
        <v>1</v>
      </c>
      <c r="S1138" s="14" t="n">
        <f aca="false">I1138*R1138</f>
        <v>24834.05</v>
      </c>
      <c r="T1138" s="19" t="n">
        <f aca="false">IF(F1138&gt;72,1,0)</f>
        <v>0</v>
      </c>
      <c r="U1138" s="19" t="n">
        <f aca="false">IF(J1138&gt;1.25,1,0)</f>
        <v>0</v>
      </c>
    </row>
    <row r="1139" customFormat="false" ht="15" hidden="false" customHeight="false" outlineLevel="0" collapsed="false">
      <c r="B1139" s="13" t="s">
        <v>1359</v>
      </c>
      <c r="C1139" s="13" t="s">
        <v>226</v>
      </c>
      <c r="D1139" s="19" t="n">
        <v>659</v>
      </c>
      <c r="E1139" s="23" t="n">
        <v>0.2029</v>
      </c>
      <c r="F1139" s="19" t="n">
        <v>60</v>
      </c>
      <c r="G1139" s="19" t="n">
        <v>7</v>
      </c>
      <c r="H1139" s="14" t="n">
        <v>21440</v>
      </c>
      <c r="I1139" s="14" t="n">
        <v>19900.81</v>
      </c>
      <c r="J1139" s="24" t="n">
        <v>1.047</v>
      </c>
      <c r="K1139" s="19" t="n">
        <v>0</v>
      </c>
      <c r="L1139" s="13" t="str">
        <f aca="false">IF(D1139&gt;=Inputs!$C$14,"Near-prime","Non-prime")</f>
        <v>Near-prime</v>
      </c>
      <c r="M1139" s="19" t="n">
        <f aca="false">IF(K1139&lt;=Inputs!$C$19,1,0)</f>
        <v>1</v>
      </c>
      <c r="N1139" s="19" t="n">
        <f aca="false">IF(F1139&lt;=Inputs!$C$20,1,0)</f>
        <v>1</v>
      </c>
      <c r="O1139" s="19" t="n">
        <f aca="false">IF(J1139&lt;=Inputs!$C$21,1,0)</f>
        <v>1</v>
      </c>
      <c r="P1139" s="19" t="n">
        <f aca="false">IF(D1139&gt;=Inputs!$C$22,1,0)</f>
        <v>1</v>
      </c>
      <c r="Q1139" s="19" t="n">
        <f aca="false">IF(I1139&lt;=Inputs!$C$23,1,0)</f>
        <v>1</v>
      </c>
      <c r="R1139" s="19" t="n">
        <f aca="false">M1139*N1139*O1139*P1139*Q1139</f>
        <v>1</v>
      </c>
      <c r="S1139" s="14" t="n">
        <f aca="false">I1139*R1139</f>
        <v>19900.81</v>
      </c>
      <c r="T1139" s="19" t="n">
        <f aca="false">IF(F1139&gt;72,1,0)</f>
        <v>0</v>
      </c>
      <c r="U1139" s="19" t="n">
        <f aca="false">IF(J1139&gt;1.25,1,0)</f>
        <v>0</v>
      </c>
    </row>
    <row r="1140" customFormat="false" ht="15" hidden="false" customHeight="false" outlineLevel="0" collapsed="false">
      <c r="B1140" s="13" t="s">
        <v>1360</v>
      </c>
      <c r="C1140" s="13" t="s">
        <v>233</v>
      </c>
      <c r="D1140" s="19" t="n">
        <v>615</v>
      </c>
      <c r="E1140" s="23" t="n">
        <v>0.2024</v>
      </c>
      <c r="F1140" s="19" t="n">
        <v>72</v>
      </c>
      <c r="G1140" s="19" t="n">
        <v>10</v>
      </c>
      <c r="H1140" s="14" t="n">
        <v>15420</v>
      </c>
      <c r="I1140" s="14" t="n">
        <v>14217.35</v>
      </c>
      <c r="J1140" s="24" t="n">
        <v>0.815</v>
      </c>
      <c r="K1140" s="19" t="n">
        <v>0</v>
      </c>
      <c r="L1140" s="13" t="str">
        <f aca="false">IF(D1140&gt;=Inputs!$C$14,"Near-prime","Non-prime")</f>
        <v>Non-prime</v>
      </c>
      <c r="M1140" s="19" t="n">
        <f aca="false">IF(K1140&lt;=Inputs!$C$19,1,0)</f>
        <v>1</v>
      </c>
      <c r="N1140" s="19" t="n">
        <f aca="false">IF(F1140&lt;=Inputs!$C$20,1,0)</f>
        <v>1</v>
      </c>
      <c r="O1140" s="19" t="n">
        <f aca="false">IF(J1140&lt;=Inputs!$C$21,1,0)</f>
        <v>1</v>
      </c>
      <c r="P1140" s="19" t="n">
        <f aca="false">IF(D1140&gt;=Inputs!$C$22,1,0)</f>
        <v>1</v>
      </c>
      <c r="Q1140" s="19" t="n">
        <f aca="false">IF(I1140&lt;=Inputs!$C$23,1,0)</f>
        <v>1</v>
      </c>
      <c r="R1140" s="19" t="n">
        <f aca="false">M1140*N1140*O1140*P1140*Q1140</f>
        <v>1</v>
      </c>
      <c r="S1140" s="14" t="n">
        <f aca="false">I1140*R1140</f>
        <v>14217.35</v>
      </c>
      <c r="T1140" s="19" t="n">
        <f aca="false">IF(F1140&gt;72,1,0)</f>
        <v>0</v>
      </c>
      <c r="U1140" s="19" t="n">
        <f aca="false">IF(J1140&gt;1.25,1,0)</f>
        <v>0</v>
      </c>
    </row>
    <row r="1141" customFormat="false" ht="15" hidden="false" customHeight="false" outlineLevel="0" collapsed="false">
      <c r="B1141" s="13" t="s">
        <v>1361</v>
      </c>
      <c r="C1141" s="13" t="s">
        <v>217</v>
      </c>
      <c r="D1141" s="19" t="n">
        <v>637</v>
      </c>
      <c r="E1141" s="23" t="n">
        <v>0.2006</v>
      </c>
      <c r="F1141" s="19" t="n">
        <v>60</v>
      </c>
      <c r="G1141" s="19" t="n">
        <v>6</v>
      </c>
      <c r="H1141" s="14" t="n">
        <v>15320</v>
      </c>
      <c r="I1141" s="14" t="n">
        <v>14379.67</v>
      </c>
      <c r="J1141" s="24" t="n">
        <v>0.991</v>
      </c>
      <c r="K1141" s="19" t="n">
        <v>0</v>
      </c>
      <c r="L1141" s="13" t="str">
        <f aca="false">IF(D1141&gt;=Inputs!$C$14,"Near-prime","Non-prime")</f>
        <v>Near-prime</v>
      </c>
      <c r="M1141" s="19" t="n">
        <f aca="false">IF(K1141&lt;=Inputs!$C$19,1,0)</f>
        <v>1</v>
      </c>
      <c r="N1141" s="19" t="n">
        <f aca="false">IF(F1141&lt;=Inputs!$C$20,1,0)</f>
        <v>1</v>
      </c>
      <c r="O1141" s="19" t="n">
        <f aca="false">IF(J1141&lt;=Inputs!$C$21,1,0)</f>
        <v>1</v>
      </c>
      <c r="P1141" s="19" t="n">
        <f aca="false">IF(D1141&gt;=Inputs!$C$22,1,0)</f>
        <v>1</v>
      </c>
      <c r="Q1141" s="19" t="n">
        <f aca="false">IF(I1141&lt;=Inputs!$C$23,1,0)</f>
        <v>1</v>
      </c>
      <c r="R1141" s="19" t="n">
        <f aca="false">M1141*N1141*O1141*P1141*Q1141</f>
        <v>1</v>
      </c>
      <c r="S1141" s="14" t="n">
        <f aca="false">I1141*R1141</f>
        <v>14379.67</v>
      </c>
      <c r="T1141" s="19" t="n">
        <f aca="false">IF(F1141&gt;72,1,0)</f>
        <v>0</v>
      </c>
      <c r="U1141" s="19" t="n">
        <f aca="false">IF(J1141&gt;1.25,1,0)</f>
        <v>0</v>
      </c>
    </row>
    <row r="1142" customFormat="false" ht="15" hidden="false" customHeight="false" outlineLevel="0" collapsed="false">
      <c r="B1142" s="13" t="s">
        <v>1362</v>
      </c>
      <c r="C1142" s="13" t="s">
        <v>252</v>
      </c>
      <c r="D1142" s="19" t="n">
        <v>722</v>
      </c>
      <c r="E1142" s="23" t="n">
        <v>0.1932</v>
      </c>
      <c r="F1142" s="19" t="n">
        <v>72</v>
      </c>
      <c r="G1142" s="19" t="n">
        <v>3</v>
      </c>
      <c r="H1142" s="14" t="n">
        <v>21210</v>
      </c>
      <c r="I1142" s="14" t="n">
        <v>20727.62</v>
      </c>
      <c r="J1142" s="24" t="n">
        <v>0.771</v>
      </c>
      <c r="K1142" s="19" t="n">
        <v>30</v>
      </c>
      <c r="L1142" s="13" t="str">
        <f aca="false">IF(D1142&gt;=Inputs!$C$14,"Near-prime","Non-prime")</f>
        <v>Near-prime</v>
      </c>
      <c r="M1142" s="19" t="n">
        <f aca="false">IF(K1142&lt;=Inputs!$C$19,1,0)</f>
        <v>1</v>
      </c>
      <c r="N1142" s="19" t="n">
        <f aca="false">IF(F1142&lt;=Inputs!$C$20,1,0)</f>
        <v>1</v>
      </c>
      <c r="O1142" s="19" t="n">
        <f aca="false">IF(J1142&lt;=Inputs!$C$21,1,0)</f>
        <v>1</v>
      </c>
      <c r="P1142" s="19" t="n">
        <f aca="false">IF(D1142&gt;=Inputs!$C$22,1,0)</f>
        <v>1</v>
      </c>
      <c r="Q1142" s="19" t="n">
        <f aca="false">IF(I1142&lt;=Inputs!$C$23,1,0)</f>
        <v>1</v>
      </c>
      <c r="R1142" s="19" t="n">
        <f aca="false">M1142*N1142*O1142*P1142*Q1142</f>
        <v>1</v>
      </c>
      <c r="S1142" s="14" t="n">
        <f aca="false">I1142*R1142</f>
        <v>20727.62</v>
      </c>
      <c r="T1142" s="19" t="n">
        <f aca="false">IF(F1142&gt;72,1,0)</f>
        <v>0</v>
      </c>
      <c r="U1142" s="19" t="n">
        <f aca="false">IF(J1142&gt;1.25,1,0)</f>
        <v>0</v>
      </c>
    </row>
    <row r="1143" customFormat="false" ht="15" hidden="false" customHeight="false" outlineLevel="0" collapsed="false">
      <c r="B1143" s="13" t="s">
        <v>1363</v>
      </c>
      <c r="C1143" s="13" t="s">
        <v>219</v>
      </c>
      <c r="D1143" s="19" t="n">
        <v>654</v>
      </c>
      <c r="E1143" s="23" t="n">
        <v>0.2081</v>
      </c>
      <c r="F1143" s="19" t="n">
        <v>60</v>
      </c>
      <c r="G1143" s="19" t="n">
        <v>0</v>
      </c>
      <c r="H1143" s="14" t="n">
        <v>32960</v>
      </c>
      <c r="I1143" s="14" t="n">
        <v>32960</v>
      </c>
      <c r="J1143" s="24" t="n">
        <v>1.009</v>
      </c>
      <c r="K1143" s="19" t="n">
        <v>0</v>
      </c>
      <c r="L1143" s="13" t="str">
        <f aca="false">IF(D1143&gt;=Inputs!$C$14,"Near-prime","Non-prime")</f>
        <v>Near-prime</v>
      </c>
      <c r="M1143" s="19" t="n">
        <f aca="false">IF(K1143&lt;=Inputs!$C$19,1,0)</f>
        <v>1</v>
      </c>
      <c r="N1143" s="19" t="n">
        <f aca="false">IF(F1143&lt;=Inputs!$C$20,1,0)</f>
        <v>1</v>
      </c>
      <c r="O1143" s="19" t="n">
        <f aca="false">IF(J1143&lt;=Inputs!$C$21,1,0)</f>
        <v>1</v>
      </c>
      <c r="P1143" s="19" t="n">
        <f aca="false">IF(D1143&gt;=Inputs!$C$22,1,0)</f>
        <v>1</v>
      </c>
      <c r="Q1143" s="19" t="n">
        <f aca="false">IF(I1143&lt;=Inputs!$C$23,1,0)</f>
        <v>1</v>
      </c>
      <c r="R1143" s="19" t="n">
        <f aca="false">M1143*N1143*O1143*P1143*Q1143</f>
        <v>1</v>
      </c>
      <c r="S1143" s="14" t="n">
        <f aca="false">I1143*R1143</f>
        <v>32960</v>
      </c>
      <c r="T1143" s="19" t="n">
        <f aca="false">IF(F1143&gt;72,1,0)</f>
        <v>0</v>
      </c>
      <c r="U1143" s="19" t="n">
        <f aca="false">IF(J1143&gt;1.25,1,0)</f>
        <v>0</v>
      </c>
    </row>
    <row r="1144" customFormat="false" ht="15" hidden="false" customHeight="false" outlineLevel="0" collapsed="false">
      <c r="B1144" s="13" t="s">
        <v>1364</v>
      </c>
      <c r="C1144" s="13" t="s">
        <v>252</v>
      </c>
      <c r="D1144" s="19" t="n">
        <v>646</v>
      </c>
      <c r="E1144" s="23" t="n">
        <v>0.2173</v>
      </c>
      <c r="F1144" s="19" t="n">
        <v>60</v>
      </c>
      <c r="G1144" s="19" t="n">
        <v>9</v>
      </c>
      <c r="H1144" s="14" t="n">
        <v>22880</v>
      </c>
      <c r="I1144" s="14" t="n">
        <v>20807.52</v>
      </c>
      <c r="J1144" s="24" t="n">
        <v>1.079</v>
      </c>
      <c r="K1144" s="19" t="n">
        <v>0</v>
      </c>
      <c r="L1144" s="13" t="str">
        <f aca="false">IF(D1144&gt;=Inputs!$C$14,"Near-prime","Non-prime")</f>
        <v>Near-prime</v>
      </c>
      <c r="M1144" s="19" t="n">
        <f aca="false">IF(K1144&lt;=Inputs!$C$19,1,0)</f>
        <v>1</v>
      </c>
      <c r="N1144" s="19" t="n">
        <f aca="false">IF(F1144&lt;=Inputs!$C$20,1,0)</f>
        <v>1</v>
      </c>
      <c r="O1144" s="19" t="n">
        <f aca="false">IF(J1144&lt;=Inputs!$C$21,1,0)</f>
        <v>1</v>
      </c>
      <c r="P1144" s="19" t="n">
        <f aca="false">IF(D1144&gt;=Inputs!$C$22,1,0)</f>
        <v>1</v>
      </c>
      <c r="Q1144" s="19" t="n">
        <f aca="false">IF(I1144&lt;=Inputs!$C$23,1,0)</f>
        <v>1</v>
      </c>
      <c r="R1144" s="19" t="n">
        <f aca="false">M1144*N1144*O1144*P1144*Q1144</f>
        <v>1</v>
      </c>
      <c r="S1144" s="14" t="n">
        <f aca="false">I1144*R1144</f>
        <v>20807.52</v>
      </c>
      <c r="T1144" s="19" t="n">
        <f aca="false">IF(F1144&gt;72,1,0)</f>
        <v>0</v>
      </c>
      <c r="U1144" s="19" t="n">
        <f aca="false">IF(J1144&gt;1.25,1,0)</f>
        <v>0</v>
      </c>
    </row>
    <row r="1145" customFormat="false" ht="15" hidden="false" customHeight="false" outlineLevel="0" collapsed="false">
      <c r="B1145" s="13" t="s">
        <v>1365</v>
      </c>
      <c r="C1145" s="13" t="s">
        <v>223</v>
      </c>
      <c r="D1145" s="19" t="n">
        <v>743</v>
      </c>
      <c r="E1145" s="23" t="n">
        <v>0.177</v>
      </c>
      <c r="F1145" s="19" t="n">
        <v>60</v>
      </c>
      <c r="G1145" s="19" t="n">
        <v>7</v>
      </c>
      <c r="H1145" s="14" t="n">
        <v>42840</v>
      </c>
      <c r="I1145" s="14" t="n">
        <v>39554.56</v>
      </c>
      <c r="J1145" s="24" t="n">
        <v>1.262</v>
      </c>
      <c r="K1145" s="19" t="n">
        <v>30</v>
      </c>
      <c r="L1145" s="13" t="str">
        <f aca="false">IF(D1145&gt;=Inputs!$C$14,"Near-prime","Non-prime")</f>
        <v>Near-prime</v>
      </c>
      <c r="M1145" s="19" t="n">
        <f aca="false">IF(K1145&lt;=Inputs!$C$19,1,0)</f>
        <v>1</v>
      </c>
      <c r="N1145" s="19" t="n">
        <f aca="false">IF(F1145&lt;=Inputs!$C$20,1,0)</f>
        <v>1</v>
      </c>
      <c r="O1145" s="19" t="n">
        <f aca="false">IF(J1145&lt;=Inputs!$C$21,1,0)</f>
        <v>1</v>
      </c>
      <c r="P1145" s="19" t="n">
        <f aca="false">IF(D1145&gt;=Inputs!$C$22,1,0)</f>
        <v>1</v>
      </c>
      <c r="Q1145" s="19" t="n">
        <f aca="false">IF(I1145&lt;=Inputs!$C$23,1,0)</f>
        <v>1</v>
      </c>
      <c r="R1145" s="19" t="n">
        <f aca="false">M1145*N1145*O1145*P1145*Q1145</f>
        <v>1</v>
      </c>
      <c r="S1145" s="14" t="n">
        <f aca="false">I1145*R1145</f>
        <v>39554.56</v>
      </c>
      <c r="T1145" s="19" t="n">
        <f aca="false">IF(F1145&gt;72,1,0)</f>
        <v>0</v>
      </c>
      <c r="U1145" s="19" t="n">
        <f aca="false">IF(J1145&gt;1.25,1,0)</f>
        <v>1</v>
      </c>
    </row>
    <row r="1146" customFormat="false" ht="15" hidden="false" customHeight="false" outlineLevel="0" collapsed="false">
      <c r="B1146" s="13" t="s">
        <v>1366</v>
      </c>
      <c r="C1146" s="13" t="s">
        <v>223</v>
      </c>
      <c r="D1146" s="19" t="n">
        <v>666</v>
      </c>
      <c r="E1146" s="23" t="n">
        <v>0.2054</v>
      </c>
      <c r="F1146" s="19" t="n">
        <v>72</v>
      </c>
      <c r="G1146" s="19" t="n">
        <v>2</v>
      </c>
      <c r="H1146" s="14" t="n">
        <v>17490</v>
      </c>
      <c r="I1146" s="14" t="n">
        <v>17237.75</v>
      </c>
      <c r="J1146" s="24" t="n">
        <v>0.78</v>
      </c>
      <c r="K1146" s="19" t="n">
        <v>15</v>
      </c>
      <c r="L1146" s="13" t="str">
        <f aca="false">IF(D1146&gt;=Inputs!$C$14,"Near-prime","Non-prime")</f>
        <v>Near-prime</v>
      </c>
      <c r="M1146" s="19" t="n">
        <f aca="false">IF(K1146&lt;=Inputs!$C$19,1,0)</f>
        <v>1</v>
      </c>
      <c r="N1146" s="19" t="n">
        <f aca="false">IF(F1146&lt;=Inputs!$C$20,1,0)</f>
        <v>1</v>
      </c>
      <c r="O1146" s="19" t="n">
        <f aca="false">IF(J1146&lt;=Inputs!$C$21,1,0)</f>
        <v>1</v>
      </c>
      <c r="P1146" s="19" t="n">
        <f aca="false">IF(D1146&gt;=Inputs!$C$22,1,0)</f>
        <v>1</v>
      </c>
      <c r="Q1146" s="19" t="n">
        <f aca="false">IF(I1146&lt;=Inputs!$C$23,1,0)</f>
        <v>1</v>
      </c>
      <c r="R1146" s="19" t="n">
        <f aca="false">M1146*N1146*O1146*P1146*Q1146</f>
        <v>1</v>
      </c>
      <c r="S1146" s="14" t="n">
        <f aca="false">I1146*R1146</f>
        <v>17237.75</v>
      </c>
      <c r="T1146" s="19" t="n">
        <f aca="false">IF(F1146&gt;72,1,0)</f>
        <v>0</v>
      </c>
      <c r="U1146" s="19" t="n">
        <f aca="false">IF(J1146&gt;1.25,1,0)</f>
        <v>0</v>
      </c>
    </row>
    <row r="1147" customFormat="false" ht="15" hidden="false" customHeight="false" outlineLevel="0" collapsed="false">
      <c r="B1147" s="13" t="s">
        <v>1367</v>
      </c>
      <c r="C1147" s="13" t="s">
        <v>257</v>
      </c>
      <c r="D1147" s="19" t="n">
        <v>693</v>
      </c>
      <c r="E1147" s="23" t="n">
        <v>0.205</v>
      </c>
      <c r="F1147" s="19" t="n">
        <v>72</v>
      </c>
      <c r="G1147" s="19" t="n">
        <v>8</v>
      </c>
      <c r="H1147" s="14" t="n">
        <v>16720</v>
      </c>
      <c r="I1147" s="14" t="n">
        <v>15702.99</v>
      </c>
      <c r="J1147" s="24" t="n">
        <v>0.924</v>
      </c>
      <c r="K1147" s="19" t="n">
        <v>0</v>
      </c>
      <c r="L1147" s="13" t="str">
        <f aca="false">IF(D1147&gt;=Inputs!$C$14,"Near-prime","Non-prime")</f>
        <v>Near-prime</v>
      </c>
      <c r="M1147" s="19" t="n">
        <f aca="false">IF(K1147&lt;=Inputs!$C$19,1,0)</f>
        <v>1</v>
      </c>
      <c r="N1147" s="19" t="n">
        <f aca="false">IF(F1147&lt;=Inputs!$C$20,1,0)</f>
        <v>1</v>
      </c>
      <c r="O1147" s="19" t="n">
        <f aca="false">IF(J1147&lt;=Inputs!$C$21,1,0)</f>
        <v>1</v>
      </c>
      <c r="P1147" s="19" t="n">
        <f aca="false">IF(D1147&gt;=Inputs!$C$22,1,0)</f>
        <v>1</v>
      </c>
      <c r="Q1147" s="19" t="n">
        <f aca="false">IF(I1147&lt;=Inputs!$C$23,1,0)</f>
        <v>1</v>
      </c>
      <c r="R1147" s="19" t="n">
        <f aca="false">M1147*N1147*O1147*P1147*Q1147</f>
        <v>1</v>
      </c>
      <c r="S1147" s="14" t="n">
        <f aca="false">I1147*R1147</f>
        <v>15702.99</v>
      </c>
      <c r="T1147" s="19" t="n">
        <f aca="false">IF(F1147&gt;72,1,0)</f>
        <v>0</v>
      </c>
      <c r="U1147" s="19" t="n">
        <f aca="false">IF(J1147&gt;1.25,1,0)</f>
        <v>0</v>
      </c>
    </row>
    <row r="1148" customFormat="false" ht="15" hidden="false" customHeight="false" outlineLevel="0" collapsed="false">
      <c r="B1148" s="13" t="s">
        <v>1368</v>
      </c>
      <c r="C1148" s="13" t="s">
        <v>257</v>
      </c>
      <c r="D1148" s="19" t="n">
        <v>628</v>
      </c>
      <c r="E1148" s="23" t="n">
        <v>0.2099</v>
      </c>
      <c r="F1148" s="19" t="n">
        <v>60</v>
      </c>
      <c r="G1148" s="19" t="n">
        <v>4</v>
      </c>
      <c r="H1148" s="14" t="n">
        <v>24820</v>
      </c>
      <c r="I1148" s="14" t="n">
        <v>23846.09</v>
      </c>
      <c r="J1148" s="24" t="n">
        <v>1.192</v>
      </c>
      <c r="K1148" s="19" t="n">
        <v>0</v>
      </c>
      <c r="L1148" s="13" t="str">
        <f aca="false">IF(D1148&gt;=Inputs!$C$14,"Near-prime","Non-prime")</f>
        <v>Near-prime</v>
      </c>
      <c r="M1148" s="19" t="n">
        <f aca="false">IF(K1148&lt;=Inputs!$C$19,1,0)</f>
        <v>1</v>
      </c>
      <c r="N1148" s="19" t="n">
        <f aca="false">IF(F1148&lt;=Inputs!$C$20,1,0)</f>
        <v>1</v>
      </c>
      <c r="O1148" s="19" t="n">
        <f aca="false">IF(J1148&lt;=Inputs!$C$21,1,0)</f>
        <v>1</v>
      </c>
      <c r="P1148" s="19" t="n">
        <f aca="false">IF(D1148&gt;=Inputs!$C$22,1,0)</f>
        <v>1</v>
      </c>
      <c r="Q1148" s="19" t="n">
        <f aca="false">IF(I1148&lt;=Inputs!$C$23,1,0)</f>
        <v>1</v>
      </c>
      <c r="R1148" s="19" t="n">
        <f aca="false">M1148*N1148*O1148*P1148*Q1148</f>
        <v>1</v>
      </c>
      <c r="S1148" s="14" t="n">
        <f aca="false">I1148*R1148</f>
        <v>23846.09</v>
      </c>
      <c r="T1148" s="19" t="n">
        <f aca="false">IF(F1148&gt;72,1,0)</f>
        <v>0</v>
      </c>
      <c r="U1148" s="19" t="n">
        <f aca="false">IF(J1148&gt;1.25,1,0)</f>
        <v>0</v>
      </c>
    </row>
    <row r="1149" customFormat="false" ht="15" hidden="false" customHeight="false" outlineLevel="0" collapsed="false">
      <c r="B1149" s="13" t="s">
        <v>1369</v>
      </c>
      <c r="C1149" s="13" t="s">
        <v>217</v>
      </c>
      <c r="D1149" s="19" t="n">
        <v>626</v>
      </c>
      <c r="E1149" s="23" t="n">
        <v>0.2148</v>
      </c>
      <c r="F1149" s="19" t="n">
        <v>72</v>
      </c>
      <c r="G1149" s="19" t="n">
        <v>5</v>
      </c>
      <c r="H1149" s="14" t="n">
        <v>23620</v>
      </c>
      <c r="I1149" s="14" t="n">
        <v>22773.16</v>
      </c>
      <c r="J1149" s="24" t="n">
        <v>1.168</v>
      </c>
      <c r="K1149" s="19" t="n">
        <v>0</v>
      </c>
      <c r="L1149" s="13" t="str">
        <f aca="false">IF(D1149&gt;=Inputs!$C$14,"Near-prime","Non-prime")</f>
        <v>Near-prime</v>
      </c>
      <c r="M1149" s="19" t="n">
        <f aca="false">IF(K1149&lt;=Inputs!$C$19,1,0)</f>
        <v>1</v>
      </c>
      <c r="N1149" s="19" t="n">
        <f aca="false">IF(F1149&lt;=Inputs!$C$20,1,0)</f>
        <v>1</v>
      </c>
      <c r="O1149" s="19" t="n">
        <f aca="false">IF(J1149&lt;=Inputs!$C$21,1,0)</f>
        <v>1</v>
      </c>
      <c r="P1149" s="19" t="n">
        <f aca="false">IF(D1149&gt;=Inputs!$C$22,1,0)</f>
        <v>1</v>
      </c>
      <c r="Q1149" s="19" t="n">
        <f aca="false">IF(I1149&lt;=Inputs!$C$23,1,0)</f>
        <v>1</v>
      </c>
      <c r="R1149" s="19" t="n">
        <f aca="false">M1149*N1149*O1149*P1149*Q1149</f>
        <v>1</v>
      </c>
      <c r="S1149" s="14" t="n">
        <f aca="false">I1149*R1149</f>
        <v>22773.16</v>
      </c>
      <c r="T1149" s="19" t="n">
        <f aca="false">IF(F1149&gt;72,1,0)</f>
        <v>0</v>
      </c>
      <c r="U1149" s="19" t="n">
        <f aca="false">IF(J1149&gt;1.25,1,0)</f>
        <v>0</v>
      </c>
    </row>
    <row r="1150" customFormat="false" ht="15" hidden="false" customHeight="false" outlineLevel="0" collapsed="false">
      <c r="B1150" s="13" t="s">
        <v>1370</v>
      </c>
      <c r="C1150" s="13" t="s">
        <v>237</v>
      </c>
      <c r="D1150" s="19" t="n">
        <v>690</v>
      </c>
      <c r="E1150" s="23" t="n">
        <v>0.1795</v>
      </c>
      <c r="F1150" s="19" t="n">
        <v>66</v>
      </c>
      <c r="G1150" s="19" t="n">
        <v>2</v>
      </c>
      <c r="H1150" s="14" t="n">
        <v>41220</v>
      </c>
      <c r="I1150" s="14" t="n">
        <v>40473.5</v>
      </c>
      <c r="J1150" s="24" t="n">
        <v>1.027</v>
      </c>
      <c r="K1150" s="19" t="n">
        <v>0</v>
      </c>
      <c r="L1150" s="13" t="str">
        <f aca="false">IF(D1150&gt;=Inputs!$C$14,"Near-prime","Non-prime")</f>
        <v>Near-prime</v>
      </c>
      <c r="M1150" s="19" t="n">
        <f aca="false">IF(K1150&lt;=Inputs!$C$19,1,0)</f>
        <v>1</v>
      </c>
      <c r="N1150" s="19" t="n">
        <f aca="false">IF(F1150&lt;=Inputs!$C$20,1,0)</f>
        <v>1</v>
      </c>
      <c r="O1150" s="19" t="n">
        <f aca="false">IF(J1150&lt;=Inputs!$C$21,1,0)</f>
        <v>1</v>
      </c>
      <c r="P1150" s="19" t="n">
        <f aca="false">IF(D1150&gt;=Inputs!$C$22,1,0)</f>
        <v>1</v>
      </c>
      <c r="Q1150" s="19" t="n">
        <f aca="false">IF(I1150&lt;=Inputs!$C$23,1,0)</f>
        <v>1</v>
      </c>
      <c r="R1150" s="19" t="n">
        <f aca="false">M1150*N1150*O1150*P1150*Q1150</f>
        <v>1</v>
      </c>
      <c r="S1150" s="14" t="n">
        <f aca="false">I1150*R1150</f>
        <v>40473.5</v>
      </c>
      <c r="T1150" s="19" t="n">
        <f aca="false">IF(F1150&gt;72,1,0)</f>
        <v>0</v>
      </c>
      <c r="U1150" s="19" t="n">
        <f aca="false">IF(J1150&gt;1.25,1,0)</f>
        <v>0</v>
      </c>
    </row>
    <row r="1151" customFormat="false" ht="15" hidden="false" customHeight="false" outlineLevel="0" collapsed="false">
      <c r="B1151" s="13" t="s">
        <v>1371</v>
      </c>
      <c r="C1151" s="13" t="s">
        <v>219</v>
      </c>
      <c r="D1151" s="19" t="n">
        <v>644</v>
      </c>
      <c r="E1151" s="23" t="n">
        <v>0.1963</v>
      </c>
      <c r="F1151" s="19" t="n">
        <v>66</v>
      </c>
      <c r="G1151" s="19" t="n">
        <v>10</v>
      </c>
      <c r="H1151" s="14" t="n">
        <v>30430</v>
      </c>
      <c r="I1151" s="14" t="n">
        <v>27635.11</v>
      </c>
      <c r="J1151" s="24" t="n">
        <v>1.379</v>
      </c>
      <c r="K1151" s="19" t="n">
        <v>0</v>
      </c>
      <c r="L1151" s="13" t="str">
        <f aca="false">IF(D1151&gt;=Inputs!$C$14,"Near-prime","Non-prime")</f>
        <v>Near-prime</v>
      </c>
      <c r="M1151" s="19" t="n">
        <f aca="false">IF(K1151&lt;=Inputs!$C$19,1,0)</f>
        <v>1</v>
      </c>
      <c r="N1151" s="19" t="n">
        <f aca="false">IF(F1151&lt;=Inputs!$C$20,1,0)</f>
        <v>1</v>
      </c>
      <c r="O1151" s="19" t="n">
        <f aca="false">IF(J1151&lt;=Inputs!$C$21,1,0)</f>
        <v>1</v>
      </c>
      <c r="P1151" s="19" t="n">
        <f aca="false">IF(D1151&gt;=Inputs!$C$22,1,0)</f>
        <v>1</v>
      </c>
      <c r="Q1151" s="19" t="n">
        <f aca="false">IF(I1151&lt;=Inputs!$C$23,1,0)</f>
        <v>1</v>
      </c>
      <c r="R1151" s="19" t="n">
        <f aca="false">M1151*N1151*O1151*P1151*Q1151</f>
        <v>1</v>
      </c>
      <c r="S1151" s="14" t="n">
        <f aca="false">I1151*R1151</f>
        <v>27635.11</v>
      </c>
      <c r="T1151" s="19" t="n">
        <f aca="false">IF(F1151&gt;72,1,0)</f>
        <v>0</v>
      </c>
      <c r="U1151" s="19" t="n">
        <f aca="false">IF(J1151&gt;1.25,1,0)</f>
        <v>1</v>
      </c>
    </row>
    <row r="1152" customFormat="false" ht="15" hidden="false" customHeight="false" outlineLevel="0" collapsed="false">
      <c r="B1152" s="13" t="s">
        <v>1372</v>
      </c>
      <c r="C1152" s="13" t="s">
        <v>221</v>
      </c>
      <c r="D1152" s="19" t="n">
        <v>665</v>
      </c>
      <c r="E1152" s="23" t="n">
        <v>0.217</v>
      </c>
      <c r="F1152" s="19" t="n">
        <v>72</v>
      </c>
      <c r="G1152" s="19" t="n">
        <v>6</v>
      </c>
      <c r="H1152" s="14" t="n">
        <v>24700</v>
      </c>
      <c r="I1152" s="14" t="n">
        <v>23635.48</v>
      </c>
      <c r="J1152" s="24" t="n">
        <v>0.994</v>
      </c>
      <c r="K1152" s="19" t="n">
        <v>0</v>
      </c>
      <c r="L1152" s="13" t="str">
        <f aca="false">IF(D1152&gt;=Inputs!$C$14,"Near-prime","Non-prime")</f>
        <v>Near-prime</v>
      </c>
      <c r="M1152" s="19" t="n">
        <f aca="false">IF(K1152&lt;=Inputs!$C$19,1,0)</f>
        <v>1</v>
      </c>
      <c r="N1152" s="19" t="n">
        <f aca="false">IF(F1152&lt;=Inputs!$C$20,1,0)</f>
        <v>1</v>
      </c>
      <c r="O1152" s="19" t="n">
        <f aca="false">IF(J1152&lt;=Inputs!$C$21,1,0)</f>
        <v>1</v>
      </c>
      <c r="P1152" s="19" t="n">
        <f aca="false">IF(D1152&gt;=Inputs!$C$22,1,0)</f>
        <v>1</v>
      </c>
      <c r="Q1152" s="19" t="n">
        <f aca="false">IF(I1152&lt;=Inputs!$C$23,1,0)</f>
        <v>1</v>
      </c>
      <c r="R1152" s="19" t="n">
        <f aca="false">M1152*N1152*O1152*P1152*Q1152</f>
        <v>1</v>
      </c>
      <c r="S1152" s="14" t="n">
        <f aca="false">I1152*R1152</f>
        <v>23635.48</v>
      </c>
      <c r="T1152" s="19" t="n">
        <f aca="false">IF(F1152&gt;72,1,0)</f>
        <v>0</v>
      </c>
      <c r="U1152" s="19" t="n">
        <f aca="false">IF(J1152&gt;1.25,1,0)</f>
        <v>0</v>
      </c>
    </row>
    <row r="1153" customFormat="false" ht="15" hidden="false" customHeight="false" outlineLevel="0" collapsed="false">
      <c r="B1153" s="13" t="s">
        <v>1373</v>
      </c>
      <c r="C1153" s="13" t="s">
        <v>223</v>
      </c>
      <c r="D1153" s="19" t="n">
        <v>643</v>
      </c>
      <c r="E1153" s="23" t="n">
        <v>0.1868</v>
      </c>
      <c r="F1153" s="19" t="n">
        <v>72</v>
      </c>
      <c r="G1153" s="19" t="n">
        <v>2</v>
      </c>
      <c r="H1153" s="14" t="n">
        <v>18650</v>
      </c>
      <c r="I1153" s="14" t="n">
        <v>18363.29</v>
      </c>
      <c r="J1153" s="24" t="n">
        <v>1.22</v>
      </c>
      <c r="K1153" s="19" t="n">
        <v>0</v>
      </c>
      <c r="L1153" s="13" t="str">
        <f aca="false">IF(D1153&gt;=Inputs!$C$14,"Near-prime","Non-prime")</f>
        <v>Near-prime</v>
      </c>
      <c r="M1153" s="19" t="n">
        <f aca="false">IF(K1153&lt;=Inputs!$C$19,1,0)</f>
        <v>1</v>
      </c>
      <c r="N1153" s="19" t="n">
        <f aca="false">IF(F1153&lt;=Inputs!$C$20,1,0)</f>
        <v>1</v>
      </c>
      <c r="O1153" s="19" t="n">
        <f aca="false">IF(J1153&lt;=Inputs!$C$21,1,0)</f>
        <v>1</v>
      </c>
      <c r="P1153" s="19" t="n">
        <f aca="false">IF(D1153&gt;=Inputs!$C$22,1,0)</f>
        <v>1</v>
      </c>
      <c r="Q1153" s="19" t="n">
        <f aca="false">IF(I1153&lt;=Inputs!$C$23,1,0)</f>
        <v>1</v>
      </c>
      <c r="R1153" s="19" t="n">
        <f aca="false">M1153*N1153*O1153*P1153*Q1153</f>
        <v>1</v>
      </c>
      <c r="S1153" s="14" t="n">
        <f aca="false">I1153*R1153</f>
        <v>18363.29</v>
      </c>
      <c r="T1153" s="19" t="n">
        <f aca="false">IF(F1153&gt;72,1,0)</f>
        <v>0</v>
      </c>
      <c r="U1153" s="19" t="n">
        <f aca="false">IF(J1153&gt;1.25,1,0)</f>
        <v>0</v>
      </c>
    </row>
    <row r="1154" customFormat="false" ht="15" hidden="false" customHeight="false" outlineLevel="0" collapsed="false">
      <c r="B1154" s="13" t="s">
        <v>1374</v>
      </c>
      <c r="C1154" s="13" t="s">
        <v>223</v>
      </c>
      <c r="D1154" s="19" t="n">
        <v>646</v>
      </c>
      <c r="E1154" s="23" t="n">
        <v>0.1849</v>
      </c>
      <c r="F1154" s="19" t="n">
        <v>84</v>
      </c>
      <c r="G1154" s="19" t="n">
        <v>7</v>
      </c>
      <c r="H1154" s="14" t="n">
        <v>30880</v>
      </c>
      <c r="I1154" s="14" t="n">
        <v>29544.69</v>
      </c>
      <c r="J1154" s="24" t="n">
        <v>1.224</v>
      </c>
      <c r="K1154" s="19" t="n">
        <v>0</v>
      </c>
      <c r="L1154" s="13" t="str">
        <f aca="false">IF(D1154&gt;=Inputs!$C$14,"Near-prime","Non-prime")</f>
        <v>Near-prime</v>
      </c>
      <c r="M1154" s="19" t="n">
        <f aca="false">IF(K1154&lt;=Inputs!$C$19,1,0)</f>
        <v>1</v>
      </c>
      <c r="N1154" s="19" t="n">
        <f aca="false">IF(F1154&lt;=Inputs!$C$20,1,0)</f>
        <v>0</v>
      </c>
      <c r="O1154" s="19" t="n">
        <f aca="false">IF(J1154&lt;=Inputs!$C$21,1,0)</f>
        <v>1</v>
      </c>
      <c r="P1154" s="19" t="n">
        <f aca="false">IF(D1154&gt;=Inputs!$C$22,1,0)</f>
        <v>1</v>
      </c>
      <c r="Q1154" s="19" t="n">
        <f aca="false">IF(I1154&lt;=Inputs!$C$23,1,0)</f>
        <v>1</v>
      </c>
      <c r="R1154" s="19" t="n">
        <f aca="false">M1154*N1154*O1154*P1154*Q1154</f>
        <v>0</v>
      </c>
      <c r="S1154" s="14" t="n">
        <f aca="false">I1154*R1154</f>
        <v>0</v>
      </c>
      <c r="T1154" s="19" t="n">
        <f aca="false">IF(F1154&gt;72,1,0)</f>
        <v>1</v>
      </c>
      <c r="U1154" s="19" t="n">
        <f aca="false">IF(J1154&gt;1.25,1,0)</f>
        <v>0</v>
      </c>
    </row>
    <row r="1155" customFormat="false" ht="15" hidden="false" customHeight="false" outlineLevel="0" collapsed="false">
      <c r="B1155" s="13" t="s">
        <v>1375</v>
      </c>
      <c r="C1155" s="13" t="s">
        <v>237</v>
      </c>
      <c r="D1155" s="19" t="n">
        <v>639</v>
      </c>
      <c r="E1155" s="23" t="n">
        <v>0.2102</v>
      </c>
      <c r="F1155" s="19" t="n">
        <v>48</v>
      </c>
      <c r="G1155" s="19" t="n">
        <v>8</v>
      </c>
      <c r="H1155" s="14" t="n">
        <v>56220</v>
      </c>
      <c r="I1155" s="14" t="n">
        <v>49781.89</v>
      </c>
      <c r="J1155" s="24" t="n">
        <v>0.806</v>
      </c>
      <c r="K1155" s="19" t="n">
        <v>0</v>
      </c>
      <c r="L1155" s="13" t="str">
        <f aca="false">IF(D1155&gt;=Inputs!$C$14,"Near-prime","Non-prime")</f>
        <v>Near-prime</v>
      </c>
      <c r="M1155" s="19" t="n">
        <f aca="false">IF(K1155&lt;=Inputs!$C$19,1,0)</f>
        <v>1</v>
      </c>
      <c r="N1155" s="19" t="n">
        <f aca="false">IF(F1155&lt;=Inputs!$C$20,1,0)</f>
        <v>1</v>
      </c>
      <c r="O1155" s="19" t="n">
        <f aca="false">IF(J1155&lt;=Inputs!$C$21,1,0)</f>
        <v>1</v>
      </c>
      <c r="P1155" s="19" t="n">
        <f aca="false">IF(D1155&gt;=Inputs!$C$22,1,0)</f>
        <v>1</v>
      </c>
      <c r="Q1155" s="19" t="n">
        <f aca="false">IF(I1155&lt;=Inputs!$C$23,1,0)</f>
        <v>1</v>
      </c>
      <c r="R1155" s="19" t="n">
        <f aca="false">M1155*N1155*O1155*P1155*Q1155</f>
        <v>1</v>
      </c>
      <c r="S1155" s="14" t="n">
        <f aca="false">I1155*R1155</f>
        <v>49781.89</v>
      </c>
      <c r="T1155" s="19" t="n">
        <f aca="false">IF(F1155&gt;72,1,0)</f>
        <v>0</v>
      </c>
      <c r="U1155" s="19" t="n">
        <f aca="false">IF(J1155&gt;1.25,1,0)</f>
        <v>0</v>
      </c>
    </row>
    <row r="1156" customFormat="false" ht="15" hidden="false" customHeight="false" outlineLevel="0" collapsed="false">
      <c r="B1156" s="13" t="s">
        <v>1376</v>
      </c>
      <c r="C1156" s="13" t="s">
        <v>221</v>
      </c>
      <c r="D1156" s="19" t="n">
        <v>578</v>
      </c>
      <c r="E1156" s="23" t="n">
        <v>0.2036</v>
      </c>
      <c r="F1156" s="19" t="n">
        <v>84</v>
      </c>
      <c r="G1156" s="19" t="n">
        <v>4</v>
      </c>
      <c r="H1156" s="14" t="n">
        <v>25240</v>
      </c>
      <c r="I1156" s="14" t="n">
        <v>24674.9</v>
      </c>
      <c r="J1156" s="24" t="n">
        <v>1.16</v>
      </c>
      <c r="K1156" s="19" t="n">
        <v>0</v>
      </c>
      <c r="L1156" s="13" t="str">
        <f aca="false">IF(D1156&gt;=Inputs!$C$14,"Near-prime","Non-prime")</f>
        <v>Non-prime</v>
      </c>
      <c r="M1156" s="19" t="n">
        <f aca="false">IF(K1156&lt;=Inputs!$C$19,1,0)</f>
        <v>1</v>
      </c>
      <c r="N1156" s="19" t="n">
        <f aca="false">IF(F1156&lt;=Inputs!$C$20,1,0)</f>
        <v>0</v>
      </c>
      <c r="O1156" s="19" t="n">
        <f aca="false">IF(J1156&lt;=Inputs!$C$21,1,0)</f>
        <v>1</v>
      </c>
      <c r="P1156" s="19" t="n">
        <f aca="false">IF(D1156&gt;=Inputs!$C$22,1,0)</f>
        <v>1</v>
      </c>
      <c r="Q1156" s="19" t="n">
        <f aca="false">IF(I1156&lt;=Inputs!$C$23,1,0)</f>
        <v>1</v>
      </c>
      <c r="R1156" s="19" t="n">
        <f aca="false">M1156*N1156*O1156*P1156*Q1156</f>
        <v>0</v>
      </c>
      <c r="S1156" s="14" t="n">
        <f aca="false">I1156*R1156</f>
        <v>0</v>
      </c>
      <c r="T1156" s="19" t="n">
        <f aca="false">IF(F1156&gt;72,1,0)</f>
        <v>1</v>
      </c>
      <c r="U1156" s="19" t="n">
        <f aca="false">IF(J1156&gt;1.25,1,0)</f>
        <v>0</v>
      </c>
    </row>
    <row r="1157" customFormat="false" ht="15" hidden="false" customHeight="false" outlineLevel="0" collapsed="false">
      <c r="B1157" s="13" t="s">
        <v>1377</v>
      </c>
      <c r="C1157" s="13" t="s">
        <v>219</v>
      </c>
      <c r="D1157" s="19" t="n">
        <v>714</v>
      </c>
      <c r="E1157" s="23" t="n">
        <v>0.2103</v>
      </c>
      <c r="F1157" s="19" t="n">
        <v>60</v>
      </c>
      <c r="G1157" s="19" t="n">
        <v>7</v>
      </c>
      <c r="H1157" s="14" t="n">
        <v>15750</v>
      </c>
      <c r="I1157" s="14" t="n">
        <v>14640.66</v>
      </c>
      <c r="J1157" s="24" t="n">
        <v>1.142</v>
      </c>
      <c r="K1157" s="19" t="n">
        <v>75</v>
      </c>
      <c r="L1157" s="13" t="str">
        <f aca="false">IF(D1157&gt;=Inputs!$C$14,"Near-prime","Non-prime")</f>
        <v>Near-prime</v>
      </c>
      <c r="M1157" s="19" t="n">
        <f aca="false">IF(K1157&lt;=Inputs!$C$19,1,0)</f>
        <v>0</v>
      </c>
      <c r="N1157" s="19" t="n">
        <f aca="false">IF(F1157&lt;=Inputs!$C$20,1,0)</f>
        <v>1</v>
      </c>
      <c r="O1157" s="19" t="n">
        <f aca="false">IF(J1157&lt;=Inputs!$C$21,1,0)</f>
        <v>1</v>
      </c>
      <c r="P1157" s="19" t="n">
        <f aca="false">IF(D1157&gt;=Inputs!$C$22,1,0)</f>
        <v>1</v>
      </c>
      <c r="Q1157" s="19" t="n">
        <f aca="false">IF(I1157&lt;=Inputs!$C$23,1,0)</f>
        <v>1</v>
      </c>
      <c r="R1157" s="19" t="n">
        <f aca="false">M1157*N1157*O1157*P1157*Q1157</f>
        <v>0</v>
      </c>
      <c r="S1157" s="14" t="n">
        <f aca="false">I1157*R1157</f>
        <v>0</v>
      </c>
      <c r="T1157" s="19" t="n">
        <f aca="false">IF(F1157&gt;72,1,0)</f>
        <v>0</v>
      </c>
      <c r="U1157" s="19" t="n">
        <f aca="false">IF(J1157&gt;1.25,1,0)</f>
        <v>0</v>
      </c>
    </row>
    <row r="1158" customFormat="false" ht="15" hidden="false" customHeight="false" outlineLevel="0" collapsed="false">
      <c r="B1158" s="13" t="s">
        <v>1378</v>
      </c>
      <c r="C1158" s="13" t="s">
        <v>219</v>
      </c>
      <c r="D1158" s="19" t="n">
        <v>615</v>
      </c>
      <c r="E1158" s="23" t="n">
        <v>0.2292</v>
      </c>
      <c r="F1158" s="19" t="n">
        <v>60</v>
      </c>
      <c r="G1158" s="19" t="n">
        <v>0</v>
      </c>
      <c r="H1158" s="14" t="n">
        <v>14130</v>
      </c>
      <c r="I1158" s="14" t="n">
        <v>14130</v>
      </c>
      <c r="J1158" s="24" t="n">
        <v>0.883</v>
      </c>
      <c r="K1158" s="19" t="n">
        <v>0</v>
      </c>
      <c r="L1158" s="13" t="str">
        <f aca="false">IF(D1158&gt;=Inputs!$C$14,"Near-prime","Non-prime")</f>
        <v>Non-prime</v>
      </c>
      <c r="M1158" s="19" t="n">
        <f aca="false">IF(K1158&lt;=Inputs!$C$19,1,0)</f>
        <v>1</v>
      </c>
      <c r="N1158" s="19" t="n">
        <f aca="false">IF(F1158&lt;=Inputs!$C$20,1,0)</f>
        <v>1</v>
      </c>
      <c r="O1158" s="19" t="n">
        <f aca="false">IF(J1158&lt;=Inputs!$C$21,1,0)</f>
        <v>1</v>
      </c>
      <c r="P1158" s="19" t="n">
        <f aca="false">IF(D1158&gt;=Inputs!$C$22,1,0)</f>
        <v>1</v>
      </c>
      <c r="Q1158" s="19" t="n">
        <f aca="false">IF(I1158&lt;=Inputs!$C$23,1,0)</f>
        <v>1</v>
      </c>
      <c r="R1158" s="19" t="n">
        <f aca="false">M1158*N1158*O1158*P1158*Q1158</f>
        <v>1</v>
      </c>
      <c r="S1158" s="14" t="n">
        <f aca="false">I1158*R1158</f>
        <v>14130</v>
      </c>
      <c r="T1158" s="19" t="n">
        <f aca="false">IF(F1158&gt;72,1,0)</f>
        <v>0</v>
      </c>
      <c r="U1158" s="19" t="n">
        <f aca="false">IF(J1158&gt;1.25,1,0)</f>
        <v>0</v>
      </c>
    </row>
    <row r="1159" customFormat="false" ht="15" hidden="false" customHeight="false" outlineLevel="0" collapsed="false">
      <c r="B1159" s="13" t="s">
        <v>1379</v>
      </c>
      <c r="C1159" s="13" t="s">
        <v>233</v>
      </c>
      <c r="D1159" s="19" t="n">
        <v>584</v>
      </c>
      <c r="E1159" s="23" t="n">
        <v>0.212</v>
      </c>
      <c r="F1159" s="19" t="n">
        <v>72</v>
      </c>
      <c r="G1159" s="19" t="n">
        <v>0</v>
      </c>
      <c r="H1159" s="14" t="n">
        <v>21560</v>
      </c>
      <c r="I1159" s="14" t="n">
        <v>21560</v>
      </c>
      <c r="J1159" s="24" t="n">
        <v>1.349</v>
      </c>
      <c r="K1159" s="19" t="n">
        <v>0</v>
      </c>
      <c r="L1159" s="13" t="str">
        <f aca="false">IF(D1159&gt;=Inputs!$C$14,"Near-prime","Non-prime")</f>
        <v>Non-prime</v>
      </c>
      <c r="M1159" s="19" t="n">
        <f aca="false">IF(K1159&lt;=Inputs!$C$19,1,0)</f>
        <v>1</v>
      </c>
      <c r="N1159" s="19" t="n">
        <f aca="false">IF(F1159&lt;=Inputs!$C$20,1,0)</f>
        <v>1</v>
      </c>
      <c r="O1159" s="19" t="n">
        <f aca="false">IF(J1159&lt;=Inputs!$C$21,1,0)</f>
        <v>1</v>
      </c>
      <c r="P1159" s="19" t="n">
        <f aca="false">IF(D1159&gt;=Inputs!$C$22,1,0)</f>
        <v>1</v>
      </c>
      <c r="Q1159" s="19" t="n">
        <f aca="false">IF(I1159&lt;=Inputs!$C$23,1,0)</f>
        <v>1</v>
      </c>
      <c r="R1159" s="19" t="n">
        <f aca="false">M1159*N1159*O1159*P1159*Q1159</f>
        <v>1</v>
      </c>
      <c r="S1159" s="14" t="n">
        <f aca="false">I1159*R1159</f>
        <v>21560</v>
      </c>
      <c r="T1159" s="19" t="n">
        <f aca="false">IF(F1159&gt;72,1,0)</f>
        <v>0</v>
      </c>
      <c r="U1159" s="19" t="n">
        <f aca="false">IF(J1159&gt;1.25,1,0)</f>
        <v>1</v>
      </c>
    </row>
    <row r="1160" customFormat="false" ht="15" hidden="false" customHeight="false" outlineLevel="0" collapsed="false">
      <c r="B1160" s="13" t="s">
        <v>1380</v>
      </c>
      <c r="C1160" s="13" t="s">
        <v>219</v>
      </c>
      <c r="D1160" s="19" t="n">
        <v>650</v>
      </c>
      <c r="E1160" s="23" t="n">
        <v>0.2076</v>
      </c>
      <c r="F1160" s="19" t="n">
        <v>60</v>
      </c>
      <c r="G1160" s="19" t="n">
        <v>2</v>
      </c>
      <c r="H1160" s="14" t="n">
        <v>26220</v>
      </c>
      <c r="I1160" s="14" t="n">
        <v>25711.24</v>
      </c>
      <c r="J1160" s="24" t="n">
        <v>1.048</v>
      </c>
      <c r="K1160" s="19" t="n">
        <v>0</v>
      </c>
      <c r="L1160" s="13" t="str">
        <f aca="false">IF(D1160&gt;=Inputs!$C$14,"Near-prime","Non-prime")</f>
        <v>Near-prime</v>
      </c>
      <c r="M1160" s="19" t="n">
        <f aca="false">IF(K1160&lt;=Inputs!$C$19,1,0)</f>
        <v>1</v>
      </c>
      <c r="N1160" s="19" t="n">
        <f aca="false">IF(F1160&lt;=Inputs!$C$20,1,0)</f>
        <v>1</v>
      </c>
      <c r="O1160" s="19" t="n">
        <f aca="false">IF(J1160&lt;=Inputs!$C$21,1,0)</f>
        <v>1</v>
      </c>
      <c r="P1160" s="19" t="n">
        <f aca="false">IF(D1160&gt;=Inputs!$C$22,1,0)</f>
        <v>1</v>
      </c>
      <c r="Q1160" s="19" t="n">
        <f aca="false">IF(I1160&lt;=Inputs!$C$23,1,0)</f>
        <v>1</v>
      </c>
      <c r="R1160" s="19" t="n">
        <f aca="false">M1160*N1160*O1160*P1160*Q1160</f>
        <v>1</v>
      </c>
      <c r="S1160" s="14" t="n">
        <f aca="false">I1160*R1160</f>
        <v>25711.24</v>
      </c>
      <c r="T1160" s="19" t="n">
        <f aca="false">IF(F1160&gt;72,1,0)</f>
        <v>0</v>
      </c>
      <c r="U1160" s="19" t="n">
        <f aca="false">IF(J1160&gt;1.25,1,0)</f>
        <v>0</v>
      </c>
    </row>
    <row r="1161" customFormat="false" ht="15" hidden="false" customHeight="false" outlineLevel="0" collapsed="false">
      <c r="B1161" s="13" t="s">
        <v>1381</v>
      </c>
      <c r="C1161" s="13" t="s">
        <v>217</v>
      </c>
      <c r="D1161" s="19" t="n">
        <v>612</v>
      </c>
      <c r="E1161" s="23" t="n">
        <v>0.2034</v>
      </c>
      <c r="F1161" s="19" t="n">
        <v>72</v>
      </c>
      <c r="G1161" s="19" t="n">
        <v>8</v>
      </c>
      <c r="H1161" s="14" t="n">
        <v>19070</v>
      </c>
      <c r="I1161" s="14" t="n">
        <v>17904.1</v>
      </c>
      <c r="J1161" s="24" t="n">
        <v>1.358</v>
      </c>
      <c r="K1161" s="19" t="n">
        <v>0</v>
      </c>
      <c r="L1161" s="13" t="str">
        <f aca="false">IF(D1161&gt;=Inputs!$C$14,"Near-prime","Non-prime")</f>
        <v>Non-prime</v>
      </c>
      <c r="M1161" s="19" t="n">
        <f aca="false">IF(K1161&lt;=Inputs!$C$19,1,0)</f>
        <v>1</v>
      </c>
      <c r="N1161" s="19" t="n">
        <f aca="false">IF(F1161&lt;=Inputs!$C$20,1,0)</f>
        <v>1</v>
      </c>
      <c r="O1161" s="19" t="n">
        <f aca="false">IF(J1161&lt;=Inputs!$C$21,1,0)</f>
        <v>1</v>
      </c>
      <c r="P1161" s="19" t="n">
        <f aca="false">IF(D1161&gt;=Inputs!$C$22,1,0)</f>
        <v>1</v>
      </c>
      <c r="Q1161" s="19" t="n">
        <f aca="false">IF(I1161&lt;=Inputs!$C$23,1,0)</f>
        <v>1</v>
      </c>
      <c r="R1161" s="19" t="n">
        <f aca="false">M1161*N1161*O1161*P1161*Q1161</f>
        <v>1</v>
      </c>
      <c r="S1161" s="14" t="n">
        <f aca="false">I1161*R1161</f>
        <v>17904.1</v>
      </c>
      <c r="T1161" s="19" t="n">
        <f aca="false">IF(F1161&gt;72,1,0)</f>
        <v>0</v>
      </c>
      <c r="U1161" s="19" t="n">
        <f aca="false">IF(J1161&gt;1.25,1,0)</f>
        <v>1</v>
      </c>
    </row>
    <row r="1162" customFormat="false" ht="15" hidden="false" customHeight="false" outlineLevel="0" collapsed="false">
      <c r="B1162" s="13" t="s">
        <v>1382</v>
      </c>
      <c r="C1162" s="13" t="s">
        <v>217</v>
      </c>
      <c r="D1162" s="19" t="n">
        <v>712</v>
      </c>
      <c r="E1162" s="23" t="n">
        <v>0.1686</v>
      </c>
      <c r="F1162" s="19" t="n">
        <v>66</v>
      </c>
      <c r="G1162" s="19" t="n">
        <v>9</v>
      </c>
      <c r="H1162" s="14" t="n">
        <v>20830</v>
      </c>
      <c r="I1162" s="14" t="n">
        <v>18986.07</v>
      </c>
      <c r="J1162" s="24" t="n">
        <v>0.851</v>
      </c>
      <c r="K1162" s="19" t="n">
        <v>0</v>
      </c>
      <c r="L1162" s="13" t="str">
        <f aca="false">IF(D1162&gt;=Inputs!$C$14,"Near-prime","Non-prime")</f>
        <v>Near-prime</v>
      </c>
      <c r="M1162" s="19" t="n">
        <f aca="false">IF(K1162&lt;=Inputs!$C$19,1,0)</f>
        <v>1</v>
      </c>
      <c r="N1162" s="19" t="n">
        <f aca="false">IF(F1162&lt;=Inputs!$C$20,1,0)</f>
        <v>1</v>
      </c>
      <c r="O1162" s="19" t="n">
        <f aca="false">IF(J1162&lt;=Inputs!$C$21,1,0)</f>
        <v>1</v>
      </c>
      <c r="P1162" s="19" t="n">
        <f aca="false">IF(D1162&gt;=Inputs!$C$22,1,0)</f>
        <v>1</v>
      </c>
      <c r="Q1162" s="19" t="n">
        <f aca="false">IF(I1162&lt;=Inputs!$C$23,1,0)</f>
        <v>1</v>
      </c>
      <c r="R1162" s="19" t="n">
        <f aca="false">M1162*N1162*O1162*P1162*Q1162</f>
        <v>1</v>
      </c>
      <c r="S1162" s="14" t="n">
        <f aca="false">I1162*R1162</f>
        <v>18986.07</v>
      </c>
      <c r="T1162" s="19" t="n">
        <f aca="false">IF(F1162&gt;72,1,0)</f>
        <v>0</v>
      </c>
      <c r="U1162" s="19" t="n">
        <f aca="false">IF(J1162&gt;1.25,1,0)</f>
        <v>0</v>
      </c>
    </row>
    <row r="1163" customFormat="false" ht="15" hidden="false" customHeight="false" outlineLevel="0" collapsed="false">
      <c r="B1163" s="13" t="s">
        <v>1383</v>
      </c>
      <c r="C1163" s="13" t="s">
        <v>252</v>
      </c>
      <c r="D1163" s="19" t="n">
        <v>680</v>
      </c>
      <c r="E1163" s="23" t="n">
        <v>0.2028</v>
      </c>
      <c r="F1163" s="19" t="n">
        <v>84</v>
      </c>
      <c r="G1163" s="19" t="n">
        <v>6</v>
      </c>
      <c r="H1163" s="14" t="n">
        <v>20650</v>
      </c>
      <c r="I1163" s="14" t="n">
        <v>19942.32</v>
      </c>
      <c r="J1163" s="24" t="n">
        <v>0.965</v>
      </c>
      <c r="K1163" s="19" t="n">
        <v>0</v>
      </c>
      <c r="L1163" s="13" t="str">
        <f aca="false">IF(D1163&gt;=Inputs!$C$14,"Near-prime","Non-prime")</f>
        <v>Near-prime</v>
      </c>
      <c r="M1163" s="19" t="n">
        <f aca="false">IF(K1163&lt;=Inputs!$C$19,1,0)</f>
        <v>1</v>
      </c>
      <c r="N1163" s="19" t="n">
        <f aca="false">IF(F1163&lt;=Inputs!$C$20,1,0)</f>
        <v>0</v>
      </c>
      <c r="O1163" s="19" t="n">
        <f aca="false">IF(J1163&lt;=Inputs!$C$21,1,0)</f>
        <v>1</v>
      </c>
      <c r="P1163" s="19" t="n">
        <f aca="false">IF(D1163&gt;=Inputs!$C$22,1,0)</f>
        <v>1</v>
      </c>
      <c r="Q1163" s="19" t="n">
        <f aca="false">IF(I1163&lt;=Inputs!$C$23,1,0)</f>
        <v>1</v>
      </c>
      <c r="R1163" s="19" t="n">
        <f aca="false">M1163*N1163*O1163*P1163*Q1163</f>
        <v>0</v>
      </c>
      <c r="S1163" s="14" t="n">
        <f aca="false">I1163*R1163</f>
        <v>0</v>
      </c>
      <c r="T1163" s="19" t="n">
        <f aca="false">IF(F1163&gt;72,1,0)</f>
        <v>1</v>
      </c>
      <c r="U1163" s="19" t="n">
        <f aca="false">IF(J1163&gt;1.25,1,0)</f>
        <v>0</v>
      </c>
    </row>
    <row r="1164" customFormat="false" ht="15" hidden="false" customHeight="false" outlineLevel="0" collapsed="false">
      <c r="B1164" s="13" t="s">
        <v>1384</v>
      </c>
      <c r="C1164" s="13" t="s">
        <v>217</v>
      </c>
      <c r="D1164" s="19" t="n">
        <v>616</v>
      </c>
      <c r="E1164" s="23" t="n">
        <v>0.1953</v>
      </c>
      <c r="F1164" s="19" t="n">
        <v>72</v>
      </c>
      <c r="G1164" s="19" t="n">
        <v>9</v>
      </c>
      <c r="H1164" s="14" t="n">
        <v>38120</v>
      </c>
      <c r="I1164" s="14" t="n">
        <v>35407.24</v>
      </c>
      <c r="J1164" s="24" t="n">
        <v>1.176</v>
      </c>
      <c r="K1164" s="19" t="n">
        <v>0</v>
      </c>
      <c r="L1164" s="13" t="str">
        <f aca="false">IF(D1164&gt;=Inputs!$C$14,"Near-prime","Non-prime")</f>
        <v>Non-prime</v>
      </c>
      <c r="M1164" s="19" t="n">
        <f aca="false">IF(K1164&lt;=Inputs!$C$19,1,0)</f>
        <v>1</v>
      </c>
      <c r="N1164" s="19" t="n">
        <f aca="false">IF(F1164&lt;=Inputs!$C$20,1,0)</f>
        <v>1</v>
      </c>
      <c r="O1164" s="19" t="n">
        <f aca="false">IF(J1164&lt;=Inputs!$C$21,1,0)</f>
        <v>1</v>
      </c>
      <c r="P1164" s="19" t="n">
        <f aca="false">IF(D1164&gt;=Inputs!$C$22,1,0)</f>
        <v>1</v>
      </c>
      <c r="Q1164" s="19" t="n">
        <f aca="false">IF(I1164&lt;=Inputs!$C$23,1,0)</f>
        <v>1</v>
      </c>
      <c r="R1164" s="19" t="n">
        <f aca="false">M1164*N1164*O1164*P1164*Q1164</f>
        <v>1</v>
      </c>
      <c r="S1164" s="14" t="n">
        <f aca="false">I1164*R1164</f>
        <v>35407.24</v>
      </c>
      <c r="T1164" s="19" t="n">
        <f aca="false">IF(F1164&gt;72,1,0)</f>
        <v>0</v>
      </c>
      <c r="U1164" s="19" t="n">
        <f aca="false">IF(J1164&gt;1.25,1,0)</f>
        <v>0</v>
      </c>
    </row>
    <row r="1165" customFormat="false" ht="15" hidden="false" customHeight="false" outlineLevel="0" collapsed="false">
      <c r="B1165" s="13" t="s">
        <v>1385</v>
      </c>
      <c r="C1165" s="13" t="s">
        <v>221</v>
      </c>
      <c r="D1165" s="19" t="n">
        <v>600</v>
      </c>
      <c r="E1165" s="23" t="n">
        <v>0.2245</v>
      </c>
      <c r="F1165" s="19" t="n">
        <v>66</v>
      </c>
      <c r="G1165" s="19" t="n">
        <v>2</v>
      </c>
      <c r="H1165" s="14" t="n">
        <v>15690</v>
      </c>
      <c r="I1165" s="14" t="n">
        <v>15442.95</v>
      </c>
      <c r="J1165" s="24" t="n">
        <v>1.017</v>
      </c>
      <c r="K1165" s="19" t="n">
        <v>15</v>
      </c>
      <c r="L1165" s="13" t="str">
        <f aca="false">IF(D1165&gt;=Inputs!$C$14,"Near-prime","Non-prime")</f>
        <v>Non-prime</v>
      </c>
      <c r="M1165" s="19" t="n">
        <f aca="false">IF(K1165&lt;=Inputs!$C$19,1,0)</f>
        <v>1</v>
      </c>
      <c r="N1165" s="19" t="n">
        <f aca="false">IF(F1165&lt;=Inputs!$C$20,1,0)</f>
        <v>1</v>
      </c>
      <c r="O1165" s="19" t="n">
        <f aca="false">IF(J1165&lt;=Inputs!$C$21,1,0)</f>
        <v>1</v>
      </c>
      <c r="P1165" s="19" t="n">
        <f aca="false">IF(D1165&gt;=Inputs!$C$22,1,0)</f>
        <v>1</v>
      </c>
      <c r="Q1165" s="19" t="n">
        <f aca="false">IF(I1165&lt;=Inputs!$C$23,1,0)</f>
        <v>1</v>
      </c>
      <c r="R1165" s="19" t="n">
        <f aca="false">M1165*N1165*O1165*P1165*Q1165</f>
        <v>1</v>
      </c>
      <c r="S1165" s="14" t="n">
        <f aca="false">I1165*R1165</f>
        <v>15442.95</v>
      </c>
      <c r="T1165" s="19" t="n">
        <f aca="false">IF(F1165&gt;72,1,0)</f>
        <v>0</v>
      </c>
      <c r="U1165" s="19" t="n">
        <f aca="false">IF(J1165&gt;1.25,1,0)</f>
        <v>0</v>
      </c>
    </row>
    <row r="1166" customFormat="false" ht="15" hidden="false" customHeight="false" outlineLevel="0" collapsed="false">
      <c r="B1166" s="13" t="s">
        <v>1386</v>
      </c>
      <c r="C1166" s="13" t="s">
        <v>223</v>
      </c>
      <c r="D1166" s="19" t="n">
        <v>680</v>
      </c>
      <c r="E1166" s="23" t="n">
        <v>0.2174</v>
      </c>
      <c r="F1166" s="19" t="n">
        <v>72</v>
      </c>
      <c r="G1166" s="19" t="n">
        <v>1</v>
      </c>
      <c r="H1166" s="14" t="n">
        <v>20600</v>
      </c>
      <c r="I1166" s="14" t="n">
        <v>20458.78</v>
      </c>
      <c r="J1166" s="24" t="n">
        <v>1.275</v>
      </c>
      <c r="K1166" s="19" t="n">
        <v>0</v>
      </c>
      <c r="L1166" s="13" t="str">
        <f aca="false">IF(D1166&gt;=Inputs!$C$14,"Near-prime","Non-prime")</f>
        <v>Near-prime</v>
      </c>
      <c r="M1166" s="19" t="n">
        <f aca="false">IF(K1166&lt;=Inputs!$C$19,1,0)</f>
        <v>1</v>
      </c>
      <c r="N1166" s="19" t="n">
        <f aca="false">IF(F1166&lt;=Inputs!$C$20,1,0)</f>
        <v>1</v>
      </c>
      <c r="O1166" s="19" t="n">
        <f aca="false">IF(J1166&lt;=Inputs!$C$21,1,0)</f>
        <v>1</v>
      </c>
      <c r="P1166" s="19" t="n">
        <f aca="false">IF(D1166&gt;=Inputs!$C$22,1,0)</f>
        <v>1</v>
      </c>
      <c r="Q1166" s="19" t="n">
        <f aca="false">IF(I1166&lt;=Inputs!$C$23,1,0)</f>
        <v>1</v>
      </c>
      <c r="R1166" s="19" t="n">
        <f aca="false">M1166*N1166*O1166*P1166*Q1166</f>
        <v>1</v>
      </c>
      <c r="S1166" s="14" t="n">
        <f aca="false">I1166*R1166</f>
        <v>20458.78</v>
      </c>
      <c r="T1166" s="19" t="n">
        <f aca="false">IF(F1166&gt;72,1,0)</f>
        <v>0</v>
      </c>
      <c r="U1166" s="19" t="n">
        <f aca="false">IF(J1166&gt;1.25,1,0)</f>
        <v>1</v>
      </c>
    </row>
    <row r="1167" customFormat="false" ht="15" hidden="false" customHeight="false" outlineLevel="0" collapsed="false">
      <c r="B1167" s="13" t="s">
        <v>1387</v>
      </c>
      <c r="C1167" s="13" t="s">
        <v>217</v>
      </c>
      <c r="D1167" s="19" t="n">
        <v>610</v>
      </c>
      <c r="E1167" s="23" t="n">
        <v>0.219</v>
      </c>
      <c r="F1167" s="19" t="n">
        <v>48</v>
      </c>
      <c r="G1167" s="19" t="n">
        <v>10</v>
      </c>
      <c r="H1167" s="14" t="n">
        <v>35410</v>
      </c>
      <c r="I1167" s="14" t="n">
        <v>30332.03</v>
      </c>
      <c r="J1167" s="24" t="n">
        <v>1.005</v>
      </c>
      <c r="K1167" s="19" t="n">
        <v>0</v>
      </c>
      <c r="L1167" s="13" t="str">
        <f aca="false">IF(D1167&gt;=Inputs!$C$14,"Near-prime","Non-prime")</f>
        <v>Non-prime</v>
      </c>
      <c r="M1167" s="19" t="n">
        <f aca="false">IF(K1167&lt;=Inputs!$C$19,1,0)</f>
        <v>1</v>
      </c>
      <c r="N1167" s="19" t="n">
        <f aca="false">IF(F1167&lt;=Inputs!$C$20,1,0)</f>
        <v>1</v>
      </c>
      <c r="O1167" s="19" t="n">
        <f aca="false">IF(J1167&lt;=Inputs!$C$21,1,0)</f>
        <v>1</v>
      </c>
      <c r="P1167" s="19" t="n">
        <f aca="false">IF(D1167&gt;=Inputs!$C$22,1,0)</f>
        <v>1</v>
      </c>
      <c r="Q1167" s="19" t="n">
        <f aca="false">IF(I1167&lt;=Inputs!$C$23,1,0)</f>
        <v>1</v>
      </c>
      <c r="R1167" s="19" t="n">
        <f aca="false">M1167*N1167*O1167*P1167*Q1167</f>
        <v>1</v>
      </c>
      <c r="S1167" s="14" t="n">
        <f aca="false">I1167*R1167</f>
        <v>30332.03</v>
      </c>
      <c r="T1167" s="19" t="n">
        <f aca="false">IF(F1167&gt;72,1,0)</f>
        <v>0</v>
      </c>
      <c r="U1167" s="19" t="n">
        <f aca="false">IF(J1167&gt;1.25,1,0)</f>
        <v>0</v>
      </c>
    </row>
    <row r="1168" customFormat="false" ht="15" hidden="false" customHeight="false" outlineLevel="0" collapsed="false">
      <c r="B1168" s="13" t="s">
        <v>1388</v>
      </c>
      <c r="C1168" s="13" t="s">
        <v>217</v>
      </c>
      <c r="D1168" s="19" t="n">
        <v>575</v>
      </c>
      <c r="E1168" s="23" t="n">
        <v>0.2403</v>
      </c>
      <c r="F1168" s="19" t="n">
        <v>66</v>
      </c>
      <c r="G1168" s="19" t="n">
        <v>0</v>
      </c>
      <c r="H1168" s="14" t="n">
        <v>41200</v>
      </c>
      <c r="I1168" s="14" t="n">
        <v>41200</v>
      </c>
      <c r="J1168" s="24" t="n">
        <v>0.742</v>
      </c>
      <c r="K1168" s="19" t="n">
        <v>0</v>
      </c>
      <c r="L1168" s="13" t="str">
        <f aca="false">IF(D1168&gt;=Inputs!$C$14,"Near-prime","Non-prime")</f>
        <v>Non-prime</v>
      </c>
      <c r="M1168" s="19" t="n">
        <f aca="false">IF(K1168&lt;=Inputs!$C$19,1,0)</f>
        <v>1</v>
      </c>
      <c r="N1168" s="19" t="n">
        <f aca="false">IF(F1168&lt;=Inputs!$C$20,1,0)</f>
        <v>1</v>
      </c>
      <c r="O1168" s="19" t="n">
        <f aca="false">IF(J1168&lt;=Inputs!$C$21,1,0)</f>
        <v>1</v>
      </c>
      <c r="P1168" s="19" t="n">
        <f aca="false">IF(D1168&gt;=Inputs!$C$22,1,0)</f>
        <v>1</v>
      </c>
      <c r="Q1168" s="19" t="n">
        <f aca="false">IF(I1168&lt;=Inputs!$C$23,1,0)</f>
        <v>1</v>
      </c>
      <c r="R1168" s="19" t="n">
        <f aca="false">M1168*N1168*O1168*P1168*Q1168</f>
        <v>1</v>
      </c>
      <c r="S1168" s="14" t="n">
        <f aca="false">I1168*R1168</f>
        <v>41200</v>
      </c>
      <c r="T1168" s="19" t="n">
        <f aca="false">IF(F1168&gt;72,1,0)</f>
        <v>0</v>
      </c>
      <c r="U1168" s="19" t="n">
        <f aca="false">IF(J1168&gt;1.25,1,0)</f>
        <v>0</v>
      </c>
    </row>
    <row r="1169" customFormat="false" ht="15" hidden="false" customHeight="false" outlineLevel="0" collapsed="false">
      <c r="B1169" s="13" t="s">
        <v>1389</v>
      </c>
      <c r="C1169" s="13" t="s">
        <v>217</v>
      </c>
      <c r="D1169" s="19" t="n">
        <v>560</v>
      </c>
      <c r="E1169" s="23" t="n">
        <v>0.2249</v>
      </c>
      <c r="F1169" s="19" t="n">
        <v>72</v>
      </c>
      <c r="G1169" s="19" t="n">
        <v>7</v>
      </c>
      <c r="H1169" s="14" t="n">
        <v>19910</v>
      </c>
      <c r="I1169" s="14" t="n">
        <v>18925.57</v>
      </c>
      <c r="J1169" s="24" t="n">
        <v>1.264</v>
      </c>
      <c r="K1169" s="19" t="n">
        <v>75</v>
      </c>
      <c r="L1169" s="13" t="str">
        <f aca="false">IF(D1169&gt;=Inputs!$C$14,"Near-prime","Non-prime")</f>
        <v>Non-prime</v>
      </c>
      <c r="M1169" s="19" t="n">
        <f aca="false">IF(K1169&lt;=Inputs!$C$19,1,0)</f>
        <v>0</v>
      </c>
      <c r="N1169" s="19" t="n">
        <f aca="false">IF(F1169&lt;=Inputs!$C$20,1,0)</f>
        <v>1</v>
      </c>
      <c r="O1169" s="19" t="n">
        <f aca="false">IF(J1169&lt;=Inputs!$C$21,1,0)</f>
        <v>1</v>
      </c>
      <c r="P1169" s="19" t="n">
        <f aca="false">IF(D1169&gt;=Inputs!$C$22,1,0)</f>
        <v>1</v>
      </c>
      <c r="Q1169" s="19" t="n">
        <f aca="false">IF(I1169&lt;=Inputs!$C$23,1,0)</f>
        <v>1</v>
      </c>
      <c r="R1169" s="19" t="n">
        <f aca="false">M1169*N1169*O1169*P1169*Q1169</f>
        <v>0</v>
      </c>
      <c r="S1169" s="14" t="n">
        <f aca="false">I1169*R1169</f>
        <v>0</v>
      </c>
      <c r="T1169" s="19" t="n">
        <f aca="false">IF(F1169&gt;72,1,0)</f>
        <v>0</v>
      </c>
      <c r="U1169" s="19" t="n">
        <f aca="false">IF(J1169&gt;1.25,1,0)</f>
        <v>1</v>
      </c>
    </row>
    <row r="1170" customFormat="false" ht="15" hidden="false" customHeight="false" outlineLevel="0" collapsed="false">
      <c r="B1170" s="13" t="s">
        <v>1390</v>
      </c>
      <c r="C1170" s="13" t="s">
        <v>217</v>
      </c>
      <c r="D1170" s="19" t="n">
        <v>683</v>
      </c>
      <c r="E1170" s="23" t="n">
        <v>0.2088</v>
      </c>
      <c r="F1170" s="19" t="n">
        <v>66</v>
      </c>
      <c r="G1170" s="19" t="n">
        <v>0</v>
      </c>
      <c r="H1170" s="14" t="n">
        <v>22970</v>
      </c>
      <c r="I1170" s="14" t="n">
        <v>22970</v>
      </c>
      <c r="J1170" s="24" t="n">
        <v>1.038</v>
      </c>
      <c r="K1170" s="19" t="n">
        <v>0</v>
      </c>
      <c r="L1170" s="13" t="str">
        <f aca="false">IF(D1170&gt;=Inputs!$C$14,"Near-prime","Non-prime")</f>
        <v>Near-prime</v>
      </c>
      <c r="M1170" s="19" t="n">
        <f aca="false">IF(K1170&lt;=Inputs!$C$19,1,0)</f>
        <v>1</v>
      </c>
      <c r="N1170" s="19" t="n">
        <f aca="false">IF(F1170&lt;=Inputs!$C$20,1,0)</f>
        <v>1</v>
      </c>
      <c r="O1170" s="19" t="n">
        <f aca="false">IF(J1170&lt;=Inputs!$C$21,1,0)</f>
        <v>1</v>
      </c>
      <c r="P1170" s="19" t="n">
        <f aca="false">IF(D1170&gt;=Inputs!$C$22,1,0)</f>
        <v>1</v>
      </c>
      <c r="Q1170" s="19" t="n">
        <f aca="false">IF(I1170&lt;=Inputs!$C$23,1,0)</f>
        <v>1</v>
      </c>
      <c r="R1170" s="19" t="n">
        <f aca="false">M1170*N1170*O1170*P1170*Q1170</f>
        <v>1</v>
      </c>
      <c r="S1170" s="14" t="n">
        <f aca="false">I1170*R1170</f>
        <v>22970</v>
      </c>
      <c r="T1170" s="19" t="n">
        <f aca="false">IF(F1170&gt;72,1,0)</f>
        <v>0</v>
      </c>
      <c r="U1170" s="19" t="n">
        <f aca="false">IF(J1170&gt;1.25,1,0)</f>
        <v>0</v>
      </c>
    </row>
    <row r="1171" customFormat="false" ht="15" hidden="false" customHeight="false" outlineLevel="0" collapsed="false">
      <c r="B1171" s="13" t="s">
        <v>1391</v>
      </c>
      <c r="C1171" s="13" t="s">
        <v>228</v>
      </c>
      <c r="D1171" s="19" t="n">
        <v>565</v>
      </c>
      <c r="E1171" s="23" t="n">
        <v>0.2361</v>
      </c>
      <c r="F1171" s="19" t="n">
        <v>66</v>
      </c>
      <c r="G1171" s="19" t="n">
        <v>4</v>
      </c>
      <c r="H1171" s="14" t="n">
        <v>46710</v>
      </c>
      <c r="I1171" s="14" t="n">
        <v>45263.9</v>
      </c>
      <c r="J1171" s="24" t="n">
        <v>1.083</v>
      </c>
      <c r="K1171" s="19" t="n">
        <v>0</v>
      </c>
      <c r="L1171" s="13" t="str">
        <f aca="false">IF(D1171&gt;=Inputs!$C$14,"Near-prime","Non-prime")</f>
        <v>Non-prime</v>
      </c>
      <c r="M1171" s="19" t="n">
        <f aca="false">IF(K1171&lt;=Inputs!$C$19,1,0)</f>
        <v>1</v>
      </c>
      <c r="N1171" s="19" t="n">
        <f aca="false">IF(F1171&lt;=Inputs!$C$20,1,0)</f>
        <v>1</v>
      </c>
      <c r="O1171" s="19" t="n">
        <f aca="false">IF(J1171&lt;=Inputs!$C$21,1,0)</f>
        <v>1</v>
      </c>
      <c r="P1171" s="19" t="n">
        <f aca="false">IF(D1171&gt;=Inputs!$C$22,1,0)</f>
        <v>1</v>
      </c>
      <c r="Q1171" s="19" t="n">
        <f aca="false">IF(I1171&lt;=Inputs!$C$23,1,0)</f>
        <v>1</v>
      </c>
      <c r="R1171" s="19" t="n">
        <f aca="false">M1171*N1171*O1171*P1171*Q1171</f>
        <v>1</v>
      </c>
      <c r="S1171" s="14" t="n">
        <f aca="false">I1171*R1171</f>
        <v>45263.9</v>
      </c>
      <c r="T1171" s="19" t="n">
        <f aca="false">IF(F1171&gt;72,1,0)</f>
        <v>0</v>
      </c>
      <c r="U1171" s="19" t="n">
        <f aca="false">IF(J1171&gt;1.25,1,0)</f>
        <v>0</v>
      </c>
    </row>
    <row r="1172" customFormat="false" ht="15" hidden="false" customHeight="false" outlineLevel="0" collapsed="false">
      <c r="B1172" s="13" t="s">
        <v>1392</v>
      </c>
      <c r="C1172" s="13" t="s">
        <v>223</v>
      </c>
      <c r="D1172" s="19" t="n">
        <v>585</v>
      </c>
      <c r="E1172" s="23" t="n">
        <v>0.2157</v>
      </c>
      <c r="F1172" s="19" t="n">
        <v>60</v>
      </c>
      <c r="G1172" s="19" t="n">
        <v>10</v>
      </c>
      <c r="H1172" s="14" t="n">
        <v>38300</v>
      </c>
      <c r="I1172" s="14" t="n">
        <v>34394.19</v>
      </c>
      <c r="J1172" s="24" t="n">
        <v>1.034</v>
      </c>
      <c r="K1172" s="19" t="n">
        <v>0</v>
      </c>
      <c r="L1172" s="13" t="str">
        <f aca="false">IF(D1172&gt;=Inputs!$C$14,"Near-prime","Non-prime")</f>
        <v>Non-prime</v>
      </c>
      <c r="M1172" s="19" t="n">
        <f aca="false">IF(K1172&lt;=Inputs!$C$19,1,0)</f>
        <v>1</v>
      </c>
      <c r="N1172" s="19" t="n">
        <f aca="false">IF(F1172&lt;=Inputs!$C$20,1,0)</f>
        <v>1</v>
      </c>
      <c r="O1172" s="19" t="n">
        <f aca="false">IF(J1172&lt;=Inputs!$C$21,1,0)</f>
        <v>1</v>
      </c>
      <c r="P1172" s="19" t="n">
        <f aca="false">IF(D1172&gt;=Inputs!$C$22,1,0)</f>
        <v>1</v>
      </c>
      <c r="Q1172" s="19" t="n">
        <f aca="false">IF(I1172&lt;=Inputs!$C$23,1,0)</f>
        <v>1</v>
      </c>
      <c r="R1172" s="19" t="n">
        <f aca="false">M1172*N1172*O1172*P1172*Q1172</f>
        <v>1</v>
      </c>
      <c r="S1172" s="14" t="n">
        <f aca="false">I1172*R1172</f>
        <v>34394.19</v>
      </c>
      <c r="T1172" s="19" t="n">
        <f aca="false">IF(F1172&gt;72,1,0)</f>
        <v>0</v>
      </c>
      <c r="U1172" s="19" t="n">
        <f aca="false">IF(J1172&gt;1.25,1,0)</f>
        <v>0</v>
      </c>
    </row>
    <row r="1173" customFormat="false" ht="15" hidden="false" customHeight="false" outlineLevel="0" collapsed="false">
      <c r="B1173" s="13" t="s">
        <v>1393</v>
      </c>
      <c r="C1173" s="13" t="s">
        <v>228</v>
      </c>
      <c r="D1173" s="19" t="n">
        <v>682</v>
      </c>
      <c r="E1173" s="23" t="n">
        <v>0.2061</v>
      </c>
      <c r="F1173" s="19" t="n">
        <v>66</v>
      </c>
      <c r="G1173" s="19" t="n">
        <v>8</v>
      </c>
      <c r="H1173" s="14" t="n">
        <v>18560</v>
      </c>
      <c r="I1173" s="14" t="n">
        <v>17255.74</v>
      </c>
      <c r="J1173" s="24" t="n">
        <v>1.2</v>
      </c>
      <c r="K1173" s="19" t="n">
        <v>0</v>
      </c>
      <c r="L1173" s="13" t="str">
        <f aca="false">IF(D1173&gt;=Inputs!$C$14,"Near-prime","Non-prime")</f>
        <v>Near-prime</v>
      </c>
      <c r="M1173" s="19" t="n">
        <f aca="false">IF(K1173&lt;=Inputs!$C$19,1,0)</f>
        <v>1</v>
      </c>
      <c r="N1173" s="19" t="n">
        <f aca="false">IF(F1173&lt;=Inputs!$C$20,1,0)</f>
        <v>1</v>
      </c>
      <c r="O1173" s="19" t="n">
        <f aca="false">IF(J1173&lt;=Inputs!$C$21,1,0)</f>
        <v>1</v>
      </c>
      <c r="P1173" s="19" t="n">
        <f aca="false">IF(D1173&gt;=Inputs!$C$22,1,0)</f>
        <v>1</v>
      </c>
      <c r="Q1173" s="19" t="n">
        <f aca="false">IF(I1173&lt;=Inputs!$C$23,1,0)</f>
        <v>1</v>
      </c>
      <c r="R1173" s="19" t="n">
        <f aca="false">M1173*N1173*O1173*P1173*Q1173</f>
        <v>1</v>
      </c>
      <c r="S1173" s="14" t="n">
        <f aca="false">I1173*R1173</f>
        <v>17255.74</v>
      </c>
      <c r="T1173" s="19" t="n">
        <f aca="false">IF(F1173&gt;72,1,0)</f>
        <v>0</v>
      </c>
      <c r="U1173" s="19" t="n">
        <f aca="false">IF(J1173&gt;1.25,1,0)</f>
        <v>0</v>
      </c>
    </row>
    <row r="1174" customFormat="false" ht="15" hidden="false" customHeight="false" outlineLevel="0" collapsed="false">
      <c r="B1174" s="13" t="s">
        <v>1394</v>
      </c>
      <c r="C1174" s="13" t="s">
        <v>217</v>
      </c>
      <c r="D1174" s="19" t="n">
        <v>688</v>
      </c>
      <c r="E1174" s="23" t="n">
        <v>0.1997</v>
      </c>
      <c r="F1174" s="19" t="n">
        <v>72</v>
      </c>
      <c r="G1174" s="19" t="n">
        <v>3</v>
      </c>
      <c r="H1174" s="14" t="n">
        <v>17570</v>
      </c>
      <c r="I1174" s="14" t="n">
        <v>17179.11</v>
      </c>
      <c r="J1174" s="24" t="n">
        <v>1.195</v>
      </c>
      <c r="K1174" s="19" t="n">
        <v>15</v>
      </c>
      <c r="L1174" s="13" t="str">
        <f aca="false">IF(D1174&gt;=Inputs!$C$14,"Near-prime","Non-prime")</f>
        <v>Near-prime</v>
      </c>
      <c r="M1174" s="19" t="n">
        <f aca="false">IF(K1174&lt;=Inputs!$C$19,1,0)</f>
        <v>1</v>
      </c>
      <c r="N1174" s="19" t="n">
        <f aca="false">IF(F1174&lt;=Inputs!$C$20,1,0)</f>
        <v>1</v>
      </c>
      <c r="O1174" s="19" t="n">
        <f aca="false">IF(J1174&lt;=Inputs!$C$21,1,0)</f>
        <v>1</v>
      </c>
      <c r="P1174" s="19" t="n">
        <f aca="false">IF(D1174&gt;=Inputs!$C$22,1,0)</f>
        <v>1</v>
      </c>
      <c r="Q1174" s="19" t="n">
        <f aca="false">IF(I1174&lt;=Inputs!$C$23,1,0)</f>
        <v>1</v>
      </c>
      <c r="R1174" s="19" t="n">
        <f aca="false">M1174*N1174*O1174*P1174*Q1174</f>
        <v>1</v>
      </c>
      <c r="S1174" s="14" t="n">
        <f aca="false">I1174*R1174</f>
        <v>17179.11</v>
      </c>
      <c r="T1174" s="19" t="n">
        <f aca="false">IF(F1174&gt;72,1,0)</f>
        <v>0</v>
      </c>
      <c r="U1174" s="19" t="n">
        <f aca="false">IF(J1174&gt;1.25,1,0)</f>
        <v>0</v>
      </c>
    </row>
    <row r="1175" customFormat="false" ht="15" hidden="false" customHeight="false" outlineLevel="0" collapsed="false">
      <c r="B1175" s="13" t="s">
        <v>1395</v>
      </c>
      <c r="C1175" s="13" t="s">
        <v>252</v>
      </c>
      <c r="D1175" s="19" t="n">
        <v>585</v>
      </c>
      <c r="E1175" s="23" t="n">
        <v>0.2019</v>
      </c>
      <c r="F1175" s="19" t="n">
        <v>72</v>
      </c>
      <c r="G1175" s="19" t="n">
        <v>6</v>
      </c>
      <c r="H1175" s="14" t="n">
        <v>25690</v>
      </c>
      <c r="I1175" s="14" t="n">
        <v>24526.33</v>
      </c>
      <c r="J1175" s="24" t="n">
        <v>0.616</v>
      </c>
      <c r="K1175" s="19" t="n">
        <v>0</v>
      </c>
      <c r="L1175" s="13" t="str">
        <f aca="false">IF(D1175&gt;=Inputs!$C$14,"Near-prime","Non-prime")</f>
        <v>Non-prime</v>
      </c>
      <c r="M1175" s="19" t="n">
        <f aca="false">IF(K1175&lt;=Inputs!$C$19,1,0)</f>
        <v>1</v>
      </c>
      <c r="N1175" s="19" t="n">
        <f aca="false">IF(F1175&lt;=Inputs!$C$20,1,0)</f>
        <v>1</v>
      </c>
      <c r="O1175" s="19" t="n">
        <f aca="false">IF(J1175&lt;=Inputs!$C$21,1,0)</f>
        <v>1</v>
      </c>
      <c r="P1175" s="19" t="n">
        <f aca="false">IF(D1175&gt;=Inputs!$C$22,1,0)</f>
        <v>1</v>
      </c>
      <c r="Q1175" s="19" t="n">
        <f aca="false">IF(I1175&lt;=Inputs!$C$23,1,0)</f>
        <v>1</v>
      </c>
      <c r="R1175" s="19" t="n">
        <f aca="false">M1175*N1175*O1175*P1175*Q1175</f>
        <v>1</v>
      </c>
      <c r="S1175" s="14" t="n">
        <f aca="false">I1175*R1175</f>
        <v>24526.33</v>
      </c>
      <c r="T1175" s="19" t="n">
        <f aca="false">IF(F1175&gt;72,1,0)</f>
        <v>0</v>
      </c>
      <c r="U1175" s="19" t="n">
        <f aca="false">IF(J1175&gt;1.25,1,0)</f>
        <v>0</v>
      </c>
    </row>
    <row r="1176" customFormat="false" ht="15" hidden="false" customHeight="false" outlineLevel="0" collapsed="false">
      <c r="B1176" s="13" t="s">
        <v>1396</v>
      </c>
      <c r="C1176" s="13" t="s">
        <v>221</v>
      </c>
      <c r="D1176" s="19" t="n">
        <v>614</v>
      </c>
      <c r="E1176" s="23" t="n">
        <v>0.2048</v>
      </c>
      <c r="F1176" s="19" t="n">
        <v>60</v>
      </c>
      <c r="G1176" s="19" t="n">
        <v>3</v>
      </c>
      <c r="H1176" s="14" t="n">
        <v>17950</v>
      </c>
      <c r="I1176" s="14" t="n">
        <v>17418.96</v>
      </c>
      <c r="J1176" s="24" t="n">
        <v>1.144</v>
      </c>
      <c r="K1176" s="19" t="n">
        <v>15</v>
      </c>
      <c r="L1176" s="13" t="str">
        <f aca="false">IF(D1176&gt;=Inputs!$C$14,"Near-prime","Non-prime")</f>
        <v>Non-prime</v>
      </c>
      <c r="M1176" s="19" t="n">
        <f aca="false">IF(K1176&lt;=Inputs!$C$19,1,0)</f>
        <v>1</v>
      </c>
      <c r="N1176" s="19" t="n">
        <f aca="false">IF(F1176&lt;=Inputs!$C$20,1,0)</f>
        <v>1</v>
      </c>
      <c r="O1176" s="19" t="n">
        <f aca="false">IF(J1176&lt;=Inputs!$C$21,1,0)</f>
        <v>1</v>
      </c>
      <c r="P1176" s="19" t="n">
        <f aca="false">IF(D1176&gt;=Inputs!$C$22,1,0)</f>
        <v>1</v>
      </c>
      <c r="Q1176" s="19" t="n">
        <f aca="false">IF(I1176&lt;=Inputs!$C$23,1,0)</f>
        <v>1</v>
      </c>
      <c r="R1176" s="19" t="n">
        <f aca="false">M1176*N1176*O1176*P1176*Q1176</f>
        <v>1</v>
      </c>
      <c r="S1176" s="14" t="n">
        <f aca="false">I1176*R1176</f>
        <v>17418.96</v>
      </c>
      <c r="T1176" s="19" t="n">
        <f aca="false">IF(F1176&gt;72,1,0)</f>
        <v>0</v>
      </c>
      <c r="U1176" s="19" t="n">
        <f aca="false">IF(J1176&gt;1.25,1,0)</f>
        <v>0</v>
      </c>
    </row>
    <row r="1177" customFormat="false" ht="15" hidden="false" customHeight="false" outlineLevel="0" collapsed="false">
      <c r="B1177" s="13" t="s">
        <v>1397</v>
      </c>
      <c r="C1177" s="13" t="s">
        <v>219</v>
      </c>
      <c r="D1177" s="19" t="n">
        <v>697</v>
      </c>
      <c r="E1177" s="23" t="n">
        <v>0.1874</v>
      </c>
      <c r="F1177" s="19" t="n">
        <v>60</v>
      </c>
      <c r="G1177" s="19" t="n">
        <v>7</v>
      </c>
      <c r="H1177" s="14" t="n">
        <v>21300</v>
      </c>
      <c r="I1177" s="14" t="n">
        <v>19709.01</v>
      </c>
      <c r="J1177" s="24" t="n">
        <v>0.793</v>
      </c>
      <c r="K1177" s="19" t="n">
        <v>0</v>
      </c>
      <c r="L1177" s="13" t="str">
        <f aca="false">IF(D1177&gt;=Inputs!$C$14,"Near-prime","Non-prime")</f>
        <v>Near-prime</v>
      </c>
      <c r="M1177" s="19" t="n">
        <f aca="false">IF(K1177&lt;=Inputs!$C$19,1,0)</f>
        <v>1</v>
      </c>
      <c r="N1177" s="19" t="n">
        <f aca="false">IF(F1177&lt;=Inputs!$C$20,1,0)</f>
        <v>1</v>
      </c>
      <c r="O1177" s="19" t="n">
        <f aca="false">IF(J1177&lt;=Inputs!$C$21,1,0)</f>
        <v>1</v>
      </c>
      <c r="P1177" s="19" t="n">
        <f aca="false">IF(D1177&gt;=Inputs!$C$22,1,0)</f>
        <v>1</v>
      </c>
      <c r="Q1177" s="19" t="n">
        <f aca="false">IF(I1177&lt;=Inputs!$C$23,1,0)</f>
        <v>1</v>
      </c>
      <c r="R1177" s="19" t="n">
        <f aca="false">M1177*N1177*O1177*P1177*Q1177</f>
        <v>1</v>
      </c>
      <c r="S1177" s="14" t="n">
        <f aca="false">I1177*R1177</f>
        <v>19709.01</v>
      </c>
      <c r="T1177" s="19" t="n">
        <f aca="false">IF(F1177&gt;72,1,0)</f>
        <v>0</v>
      </c>
      <c r="U1177" s="19" t="n">
        <f aca="false">IF(J1177&gt;1.25,1,0)</f>
        <v>0</v>
      </c>
    </row>
    <row r="1178" customFormat="false" ht="15" hidden="false" customHeight="false" outlineLevel="0" collapsed="false">
      <c r="B1178" s="13" t="s">
        <v>1398</v>
      </c>
      <c r="C1178" s="13" t="s">
        <v>257</v>
      </c>
      <c r="D1178" s="19" t="n">
        <v>657</v>
      </c>
      <c r="E1178" s="23" t="n">
        <v>0.1931</v>
      </c>
      <c r="F1178" s="19" t="n">
        <v>66</v>
      </c>
      <c r="G1178" s="19" t="n">
        <v>4</v>
      </c>
      <c r="H1178" s="14" t="n">
        <v>27820</v>
      </c>
      <c r="I1178" s="14" t="n">
        <v>26837.97</v>
      </c>
      <c r="J1178" s="24" t="n">
        <v>1.101</v>
      </c>
      <c r="K1178" s="19" t="n">
        <v>0</v>
      </c>
      <c r="L1178" s="13" t="str">
        <f aca="false">IF(D1178&gt;=Inputs!$C$14,"Near-prime","Non-prime")</f>
        <v>Near-prime</v>
      </c>
      <c r="M1178" s="19" t="n">
        <f aca="false">IF(K1178&lt;=Inputs!$C$19,1,0)</f>
        <v>1</v>
      </c>
      <c r="N1178" s="19" t="n">
        <f aca="false">IF(F1178&lt;=Inputs!$C$20,1,0)</f>
        <v>1</v>
      </c>
      <c r="O1178" s="19" t="n">
        <f aca="false">IF(J1178&lt;=Inputs!$C$21,1,0)</f>
        <v>1</v>
      </c>
      <c r="P1178" s="19" t="n">
        <f aca="false">IF(D1178&gt;=Inputs!$C$22,1,0)</f>
        <v>1</v>
      </c>
      <c r="Q1178" s="19" t="n">
        <f aca="false">IF(I1178&lt;=Inputs!$C$23,1,0)</f>
        <v>1</v>
      </c>
      <c r="R1178" s="19" t="n">
        <f aca="false">M1178*N1178*O1178*P1178*Q1178</f>
        <v>1</v>
      </c>
      <c r="S1178" s="14" t="n">
        <f aca="false">I1178*R1178</f>
        <v>26837.97</v>
      </c>
      <c r="T1178" s="19" t="n">
        <f aca="false">IF(F1178&gt;72,1,0)</f>
        <v>0</v>
      </c>
      <c r="U1178" s="19" t="n">
        <f aca="false">IF(J1178&gt;1.25,1,0)</f>
        <v>0</v>
      </c>
    </row>
    <row r="1179" customFormat="false" ht="15" hidden="false" customHeight="false" outlineLevel="0" collapsed="false">
      <c r="B1179" s="13" t="s">
        <v>1399</v>
      </c>
      <c r="C1179" s="13" t="s">
        <v>223</v>
      </c>
      <c r="D1179" s="19" t="n">
        <v>622</v>
      </c>
      <c r="E1179" s="23" t="n">
        <v>0.2031</v>
      </c>
      <c r="F1179" s="19" t="n">
        <v>66</v>
      </c>
      <c r="G1179" s="19" t="n">
        <v>9</v>
      </c>
      <c r="H1179" s="14" t="n">
        <v>13910</v>
      </c>
      <c r="I1179" s="14" t="n">
        <v>12791.27</v>
      </c>
      <c r="J1179" s="24" t="n">
        <v>1.049</v>
      </c>
      <c r="K1179" s="19" t="n">
        <v>0</v>
      </c>
      <c r="L1179" s="13" t="str">
        <f aca="false">IF(D1179&gt;=Inputs!$C$14,"Near-prime","Non-prime")</f>
        <v>Near-prime</v>
      </c>
      <c r="M1179" s="19" t="n">
        <f aca="false">IF(K1179&lt;=Inputs!$C$19,1,0)</f>
        <v>1</v>
      </c>
      <c r="N1179" s="19" t="n">
        <f aca="false">IF(F1179&lt;=Inputs!$C$20,1,0)</f>
        <v>1</v>
      </c>
      <c r="O1179" s="19" t="n">
        <f aca="false">IF(J1179&lt;=Inputs!$C$21,1,0)</f>
        <v>1</v>
      </c>
      <c r="P1179" s="19" t="n">
        <f aca="false">IF(D1179&gt;=Inputs!$C$22,1,0)</f>
        <v>1</v>
      </c>
      <c r="Q1179" s="19" t="n">
        <f aca="false">IF(I1179&lt;=Inputs!$C$23,1,0)</f>
        <v>1</v>
      </c>
      <c r="R1179" s="19" t="n">
        <f aca="false">M1179*N1179*O1179*P1179*Q1179</f>
        <v>1</v>
      </c>
      <c r="S1179" s="14" t="n">
        <f aca="false">I1179*R1179</f>
        <v>12791.27</v>
      </c>
      <c r="T1179" s="19" t="n">
        <f aca="false">IF(F1179&gt;72,1,0)</f>
        <v>0</v>
      </c>
      <c r="U1179" s="19" t="n">
        <f aca="false">IF(J1179&gt;1.25,1,0)</f>
        <v>0</v>
      </c>
    </row>
    <row r="1180" customFormat="false" ht="15" hidden="false" customHeight="false" outlineLevel="0" collapsed="false">
      <c r="B1180" s="13" t="s">
        <v>1400</v>
      </c>
      <c r="C1180" s="13" t="s">
        <v>219</v>
      </c>
      <c r="D1180" s="19" t="n">
        <v>652</v>
      </c>
      <c r="E1180" s="23" t="n">
        <v>0.2204</v>
      </c>
      <c r="F1180" s="19" t="n">
        <v>84</v>
      </c>
      <c r="G1180" s="19" t="n">
        <v>0</v>
      </c>
      <c r="H1180" s="14" t="n">
        <v>26920</v>
      </c>
      <c r="I1180" s="14" t="n">
        <v>26920</v>
      </c>
      <c r="J1180" s="24" t="n">
        <v>1.174</v>
      </c>
      <c r="K1180" s="19" t="n">
        <v>0</v>
      </c>
      <c r="L1180" s="13" t="str">
        <f aca="false">IF(D1180&gt;=Inputs!$C$14,"Near-prime","Non-prime")</f>
        <v>Near-prime</v>
      </c>
      <c r="M1180" s="19" t="n">
        <f aca="false">IF(K1180&lt;=Inputs!$C$19,1,0)</f>
        <v>1</v>
      </c>
      <c r="N1180" s="19" t="n">
        <f aca="false">IF(F1180&lt;=Inputs!$C$20,1,0)</f>
        <v>0</v>
      </c>
      <c r="O1180" s="19" t="n">
        <f aca="false">IF(J1180&lt;=Inputs!$C$21,1,0)</f>
        <v>1</v>
      </c>
      <c r="P1180" s="19" t="n">
        <f aca="false">IF(D1180&gt;=Inputs!$C$22,1,0)</f>
        <v>1</v>
      </c>
      <c r="Q1180" s="19" t="n">
        <f aca="false">IF(I1180&lt;=Inputs!$C$23,1,0)</f>
        <v>1</v>
      </c>
      <c r="R1180" s="19" t="n">
        <f aca="false">M1180*N1180*O1180*P1180*Q1180</f>
        <v>0</v>
      </c>
      <c r="S1180" s="14" t="n">
        <f aca="false">I1180*R1180</f>
        <v>0</v>
      </c>
      <c r="T1180" s="19" t="n">
        <f aca="false">IF(F1180&gt;72,1,0)</f>
        <v>1</v>
      </c>
      <c r="U1180" s="19" t="n">
        <f aca="false">IF(J1180&gt;1.25,1,0)</f>
        <v>0</v>
      </c>
    </row>
    <row r="1181" customFormat="false" ht="15" hidden="false" customHeight="false" outlineLevel="0" collapsed="false">
      <c r="B1181" s="13" t="s">
        <v>1401</v>
      </c>
      <c r="C1181" s="13" t="s">
        <v>217</v>
      </c>
      <c r="D1181" s="19" t="n">
        <v>668</v>
      </c>
      <c r="E1181" s="23" t="n">
        <v>0.1943</v>
      </c>
      <c r="F1181" s="19" t="n">
        <v>72</v>
      </c>
      <c r="G1181" s="19" t="n">
        <v>10</v>
      </c>
      <c r="H1181" s="14" t="n">
        <v>29000</v>
      </c>
      <c r="I1181" s="14" t="n">
        <v>26680.73</v>
      </c>
      <c r="J1181" s="24" t="n">
        <v>0.772</v>
      </c>
      <c r="K1181" s="19" t="n">
        <v>0</v>
      </c>
      <c r="L1181" s="13" t="str">
        <f aca="false">IF(D1181&gt;=Inputs!$C$14,"Near-prime","Non-prime")</f>
        <v>Near-prime</v>
      </c>
      <c r="M1181" s="19" t="n">
        <f aca="false">IF(K1181&lt;=Inputs!$C$19,1,0)</f>
        <v>1</v>
      </c>
      <c r="N1181" s="19" t="n">
        <f aca="false">IF(F1181&lt;=Inputs!$C$20,1,0)</f>
        <v>1</v>
      </c>
      <c r="O1181" s="19" t="n">
        <f aca="false">IF(J1181&lt;=Inputs!$C$21,1,0)</f>
        <v>1</v>
      </c>
      <c r="P1181" s="19" t="n">
        <f aca="false">IF(D1181&gt;=Inputs!$C$22,1,0)</f>
        <v>1</v>
      </c>
      <c r="Q1181" s="19" t="n">
        <f aca="false">IF(I1181&lt;=Inputs!$C$23,1,0)</f>
        <v>1</v>
      </c>
      <c r="R1181" s="19" t="n">
        <f aca="false">M1181*N1181*O1181*P1181*Q1181</f>
        <v>1</v>
      </c>
      <c r="S1181" s="14" t="n">
        <f aca="false">I1181*R1181</f>
        <v>26680.73</v>
      </c>
      <c r="T1181" s="19" t="n">
        <f aca="false">IF(F1181&gt;72,1,0)</f>
        <v>0</v>
      </c>
      <c r="U1181" s="19" t="n">
        <f aca="false">IF(J1181&gt;1.25,1,0)</f>
        <v>0</v>
      </c>
    </row>
    <row r="1182" customFormat="false" ht="15" hidden="false" customHeight="false" outlineLevel="0" collapsed="false">
      <c r="B1182" s="13" t="s">
        <v>1402</v>
      </c>
      <c r="C1182" s="13" t="s">
        <v>226</v>
      </c>
      <c r="D1182" s="19" t="n">
        <v>589</v>
      </c>
      <c r="E1182" s="23" t="n">
        <v>0.2257</v>
      </c>
      <c r="F1182" s="19" t="n">
        <v>60</v>
      </c>
      <c r="G1182" s="19" t="n">
        <v>5</v>
      </c>
      <c r="H1182" s="14" t="n">
        <v>22770</v>
      </c>
      <c r="I1182" s="14" t="n">
        <v>21690.04</v>
      </c>
      <c r="J1182" s="24" t="n">
        <v>1.04</v>
      </c>
      <c r="K1182" s="19" t="n">
        <v>30</v>
      </c>
      <c r="L1182" s="13" t="str">
        <f aca="false">IF(D1182&gt;=Inputs!$C$14,"Near-prime","Non-prime")</f>
        <v>Non-prime</v>
      </c>
      <c r="M1182" s="19" t="n">
        <f aca="false">IF(K1182&lt;=Inputs!$C$19,1,0)</f>
        <v>1</v>
      </c>
      <c r="N1182" s="19" t="n">
        <f aca="false">IF(F1182&lt;=Inputs!$C$20,1,0)</f>
        <v>1</v>
      </c>
      <c r="O1182" s="19" t="n">
        <f aca="false">IF(J1182&lt;=Inputs!$C$21,1,0)</f>
        <v>1</v>
      </c>
      <c r="P1182" s="19" t="n">
        <f aca="false">IF(D1182&gt;=Inputs!$C$22,1,0)</f>
        <v>1</v>
      </c>
      <c r="Q1182" s="19" t="n">
        <f aca="false">IF(I1182&lt;=Inputs!$C$23,1,0)</f>
        <v>1</v>
      </c>
      <c r="R1182" s="19" t="n">
        <f aca="false">M1182*N1182*O1182*P1182*Q1182</f>
        <v>1</v>
      </c>
      <c r="S1182" s="14" t="n">
        <f aca="false">I1182*R1182</f>
        <v>21690.04</v>
      </c>
      <c r="T1182" s="19" t="n">
        <f aca="false">IF(F1182&gt;72,1,0)</f>
        <v>0</v>
      </c>
      <c r="U1182" s="19" t="n">
        <f aca="false">IF(J1182&gt;1.25,1,0)</f>
        <v>0</v>
      </c>
    </row>
    <row r="1183" customFormat="false" ht="15" hidden="false" customHeight="false" outlineLevel="0" collapsed="false">
      <c r="B1183" s="13" t="s">
        <v>1403</v>
      </c>
      <c r="C1183" s="13" t="s">
        <v>252</v>
      </c>
      <c r="D1183" s="19" t="n">
        <v>593</v>
      </c>
      <c r="E1183" s="23" t="n">
        <v>0.2393</v>
      </c>
      <c r="F1183" s="19" t="n">
        <v>72</v>
      </c>
      <c r="G1183" s="19" t="n">
        <v>1</v>
      </c>
      <c r="H1183" s="14" t="n">
        <v>32880</v>
      </c>
      <c r="I1183" s="14" t="n">
        <v>32671.45</v>
      </c>
      <c r="J1183" s="24" t="n">
        <v>1.385</v>
      </c>
      <c r="K1183" s="19" t="n">
        <v>0</v>
      </c>
      <c r="L1183" s="13" t="str">
        <f aca="false">IF(D1183&gt;=Inputs!$C$14,"Near-prime","Non-prime")</f>
        <v>Non-prime</v>
      </c>
      <c r="M1183" s="19" t="n">
        <f aca="false">IF(K1183&lt;=Inputs!$C$19,1,0)</f>
        <v>1</v>
      </c>
      <c r="N1183" s="19" t="n">
        <f aca="false">IF(F1183&lt;=Inputs!$C$20,1,0)</f>
        <v>1</v>
      </c>
      <c r="O1183" s="19" t="n">
        <f aca="false">IF(J1183&lt;=Inputs!$C$21,1,0)</f>
        <v>1</v>
      </c>
      <c r="P1183" s="19" t="n">
        <f aca="false">IF(D1183&gt;=Inputs!$C$22,1,0)</f>
        <v>1</v>
      </c>
      <c r="Q1183" s="19" t="n">
        <f aca="false">IF(I1183&lt;=Inputs!$C$23,1,0)</f>
        <v>1</v>
      </c>
      <c r="R1183" s="19" t="n">
        <f aca="false">M1183*N1183*O1183*P1183*Q1183</f>
        <v>1</v>
      </c>
      <c r="S1183" s="14" t="n">
        <f aca="false">I1183*R1183</f>
        <v>32671.45</v>
      </c>
      <c r="T1183" s="19" t="n">
        <f aca="false">IF(F1183&gt;72,1,0)</f>
        <v>0</v>
      </c>
      <c r="U1183" s="19" t="n">
        <f aca="false">IF(J1183&gt;1.25,1,0)</f>
        <v>1</v>
      </c>
    </row>
    <row r="1184" customFormat="false" ht="15" hidden="false" customHeight="false" outlineLevel="0" collapsed="false">
      <c r="B1184" s="13" t="s">
        <v>1404</v>
      </c>
      <c r="C1184" s="13" t="s">
        <v>217</v>
      </c>
      <c r="D1184" s="19" t="n">
        <v>704</v>
      </c>
      <c r="E1184" s="23" t="n">
        <v>0.1933</v>
      </c>
      <c r="F1184" s="19" t="n">
        <v>60</v>
      </c>
      <c r="G1184" s="19" t="n">
        <v>4</v>
      </c>
      <c r="H1184" s="14" t="n">
        <v>19770</v>
      </c>
      <c r="I1184" s="14" t="n">
        <v>18958.74</v>
      </c>
      <c r="J1184" s="24" t="n">
        <v>1.431</v>
      </c>
      <c r="K1184" s="19" t="n">
        <v>0</v>
      </c>
      <c r="L1184" s="13" t="str">
        <f aca="false">IF(D1184&gt;=Inputs!$C$14,"Near-prime","Non-prime")</f>
        <v>Near-prime</v>
      </c>
      <c r="M1184" s="19" t="n">
        <f aca="false">IF(K1184&lt;=Inputs!$C$19,1,0)</f>
        <v>1</v>
      </c>
      <c r="N1184" s="19" t="n">
        <f aca="false">IF(F1184&lt;=Inputs!$C$20,1,0)</f>
        <v>1</v>
      </c>
      <c r="O1184" s="19" t="n">
        <f aca="false">IF(J1184&lt;=Inputs!$C$21,1,0)</f>
        <v>1</v>
      </c>
      <c r="P1184" s="19" t="n">
        <f aca="false">IF(D1184&gt;=Inputs!$C$22,1,0)</f>
        <v>1</v>
      </c>
      <c r="Q1184" s="19" t="n">
        <f aca="false">IF(I1184&lt;=Inputs!$C$23,1,0)</f>
        <v>1</v>
      </c>
      <c r="R1184" s="19" t="n">
        <f aca="false">M1184*N1184*O1184*P1184*Q1184</f>
        <v>1</v>
      </c>
      <c r="S1184" s="14" t="n">
        <f aca="false">I1184*R1184</f>
        <v>18958.74</v>
      </c>
      <c r="T1184" s="19" t="n">
        <f aca="false">IF(F1184&gt;72,1,0)</f>
        <v>0</v>
      </c>
      <c r="U1184" s="19" t="n">
        <f aca="false">IF(J1184&gt;1.25,1,0)</f>
        <v>1</v>
      </c>
    </row>
    <row r="1185" customFormat="false" ht="15" hidden="false" customHeight="false" outlineLevel="0" collapsed="false">
      <c r="B1185" s="13" t="s">
        <v>1405</v>
      </c>
      <c r="C1185" s="13" t="s">
        <v>223</v>
      </c>
      <c r="D1185" s="19" t="n">
        <v>737</v>
      </c>
      <c r="E1185" s="23" t="n">
        <v>0.1813</v>
      </c>
      <c r="F1185" s="19" t="n">
        <v>66</v>
      </c>
      <c r="G1185" s="19" t="n">
        <v>6</v>
      </c>
      <c r="H1185" s="14" t="n">
        <v>22270</v>
      </c>
      <c r="I1185" s="14" t="n">
        <v>21029.72</v>
      </c>
      <c r="J1185" s="24" t="n">
        <v>0.849</v>
      </c>
      <c r="K1185" s="19" t="n">
        <v>0</v>
      </c>
      <c r="L1185" s="13" t="str">
        <f aca="false">IF(D1185&gt;=Inputs!$C$14,"Near-prime","Non-prime")</f>
        <v>Near-prime</v>
      </c>
      <c r="M1185" s="19" t="n">
        <f aca="false">IF(K1185&lt;=Inputs!$C$19,1,0)</f>
        <v>1</v>
      </c>
      <c r="N1185" s="19" t="n">
        <f aca="false">IF(F1185&lt;=Inputs!$C$20,1,0)</f>
        <v>1</v>
      </c>
      <c r="O1185" s="19" t="n">
        <f aca="false">IF(J1185&lt;=Inputs!$C$21,1,0)</f>
        <v>1</v>
      </c>
      <c r="P1185" s="19" t="n">
        <f aca="false">IF(D1185&gt;=Inputs!$C$22,1,0)</f>
        <v>1</v>
      </c>
      <c r="Q1185" s="19" t="n">
        <f aca="false">IF(I1185&lt;=Inputs!$C$23,1,0)</f>
        <v>1</v>
      </c>
      <c r="R1185" s="19" t="n">
        <f aca="false">M1185*N1185*O1185*P1185*Q1185</f>
        <v>1</v>
      </c>
      <c r="S1185" s="14" t="n">
        <f aca="false">I1185*R1185</f>
        <v>21029.72</v>
      </c>
      <c r="T1185" s="19" t="n">
        <f aca="false">IF(F1185&gt;72,1,0)</f>
        <v>0</v>
      </c>
      <c r="U1185" s="19" t="n">
        <f aca="false">IF(J1185&gt;1.25,1,0)</f>
        <v>0</v>
      </c>
    </row>
    <row r="1186" customFormat="false" ht="15" hidden="false" customHeight="false" outlineLevel="0" collapsed="false">
      <c r="B1186" s="13" t="s">
        <v>1406</v>
      </c>
      <c r="C1186" s="13" t="s">
        <v>217</v>
      </c>
      <c r="D1186" s="19" t="n">
        <v>693</v>
      </c>
      <c r="E1186" s="23" t="n">
        <v>0.2009</v>
      </c>
      <c r="F1186" s="19" t="n">
        <v>72</v>
      </c>
      <c r="G1186" s="19" t="n">
        <v>5</v>
      </c>
      <c r="H1186" s="14" t="n">
        <v>13200</v>
      </c>
      <c r="I1186" s="14" t="n">
        <v>12704.3</v>
      </c>
      <c r="J1186" s="24" t="n">
        <v>0.978</v>
      </c>
      <c r="K1186" s="19" t="n">
        <v>0</v>
      </c>
      <c r="L1186" s="13" t="str">
        <f aca="false">IF(D1186&gt;=Inputs!$C$14,"Near-prime","Non-prime")</f>
        <v>Near-prime</v>
      </c>
      <c r="M1186" s="19" t="n">
        <f aca="false">IF(K1186&lt;=Inputs!$C$19,1,0)</f>
        <v>1</v>
      </c>
      <c r="N1186" s="19" t="n">
        <f aca="false">IF(F1186&lt;=Inputs!$C$20,1,0)</f>
        <v>1</v>
      </c>
      <c r="O1186" s="19" t="n">
        <f aca="false">IF(J1186&lt;=Inputs!$C$21,1,0)</f>
        <v>1</v>
      </c>
      <c r="P1186" s="19" t="n">
        <f aca="false">IF(D1186&gt;=Inputs!$C$22,1,0)</f>
        <v>1</v>
      </c>
      <c r="Q1186" s="19" t="n">
        <f aca="false">IF(I1186&lt;=Inputs!$C$23,1,0)</f>
        <v>1</v>
      </c>
      <c r="R1186" s="19" t="n">
        <f aca="false">M1186*N1186*O1186*P1186*Q1186</f>
        <v>1</v>
      </c>
      <c r="S1186" s="14" t="n">
        <f aca="false">I1186*R1186</f>
        <v>12704.3</v>
      </c>
      <c r="T1186" s="19" t="n">
        <f aca="false">IF(F1186&gt;72,1,0)</f>
        <v>0</v>
      </c>
      <c r="U1186" s="19" t="n">
        <f aca="false">IF(J1186&gt;1.25,1,0)</f>
        <v>0</v>
      </c>
    </row>
    <row r="1187" customFormat="false" ht="15" hidden="false" customHeight="false" outlineLevel="0" collapsed="false">
      <c r="B1187" s="13" t="s">
        <v>1407</v>
      </c>
      <c r="C1187" s="13" t="s">
        <v>237</v>
      </c>
      <c r="D1187" s="19" t="n">
        <v>636</v>
      </c>
      <c r="E1187" s="23" t="n">
        <v>0.1879</v>
      </c>
      <c r="F1187" s="19" t="n">
        <v>66</v>
      </c>
      <c r="G1187" s="19" t="n">
        <v>4</v>
      </c>
      <c r="H1187" s="14" t="n">
        <v>8780</v>
      </c>
      <c r="I1187" s="14" t="n">
        <v>8465.2</v>
      </c>
      <c r="J1187" s="24" t="n">
        <v>0.859</v>
      </c>
      <c r="K1187" s="19" t="n">
        <v>0</v>
      </c>
      <c r="L1187" s="13" t="str">
        <f aca="false">IF(D1187&gt;=Inputs!$C$14,"Near-prime","Non-prime")</f>
        <v>Near-prime</v>
      </c>
      <c r="M1187" s="19" t="n">
        <f aca="false">IF(K1187&lt;=Inputs!$C$19,1,0)</f>
        <v>1</v>
      </c>
      <c r="N1187" s="19" t="n">
        <f aca="false">IF(F1187&lt;=Inputs!$C$20,1,0)</f>
        <v>1</v>
      </c>
      <c r="O1187" s="19" t="n">
        <f aca="false">IF(J1187&lt;=Inputs!$C$21,1,0)</f>
        <v>1</v>
      </c>
      <c r="P1187" s="19" t="n">
        <f aca="false">IF(D1187&gt;=Inputs!$C$22,1,0)</f>
        <v>1</v>
      </c>
      <c r="Q1187" s="19" t="n">
        <f aca="false">IF(I1187&lt;=Inputs!$C$23,1,0)</f>
        <v>1</v>
      </c>
      <c r="R1187" s="19" t="n">
        <f aca="false">M1187*N1187*O1187*P1187*Q1187</f>
        <v>1</v>
      </c>
      <c r="S1187" s="14" t="n">
        <f aca="false">I1187*R1187</f>
        <v>8465.2</v>
      </c>
      <c r="T1187" s="19" t="n">
        <f aca="false">IF(F1187&gt;72,1,0)</f>
        <v>0</v>
      </c>
      <c r="U1187" s="19" t="n">
        <f aca="false">IF(J1187&gt;1.25,1,0)</f>
        <v>0</v>
      </c>
    </row>
    <row r="1188" customFormat="false" ht="15" hidden="false" customHeight="false" outlineLevel="0" collapsed="false">
      <c r="B1188" s="13" t="s">
        <v>1408</v>
      </c>
      <c r="C1188" s="13" t="s">
        <v>221</v>
      </c>
      <c r="D1188" s="19" t="n">
        <v>611</v>
      </c>
      <c r="E1188" s="23" t="n">
        <v>0.2051</v>
      </c>
      <c r="F1188" s="19" t="n">
        <v>66</v>
      </c>
      <c r="G1188" s="19" t="n">
        <v>6</v>
      </c>
      <c r="H1188" s="14" t="n">
        <v>16740</v>
      </c>
      <c r="I1188" s="14" t="n">
        <v>15870.36</v>
      </c>
      <c r="J1188" s="24" t="n">
        <v>1.026</v>
      </c>
      <c r="K1188" s="19" t="n">
        <v>0</v>
      </c>
      <c r="L1188" s="13" t="str">
        <f aca="false">IF(D1188&gt;=Inputs!$C$14,"Near-prime","Non-prime")</f>
        <v>Non-prime</v>
      </c>
      <c r="M1188" s="19" t="n">
        <f aca="false">IF(K1188&lt;=Inputs!$C$19,1,0)</f>
        <v>1</v>
      </c>
      <c r="N1188" s="19" t="n">
        <f aca="false">IF(F1188&lt;=Inputs!$C$20,1,0)</f>
        <v>1</v>
      </c>
      <c r="O1188" s="19" t="n">
        <f aca="false">IF(J1188&lt;=Inputs!$C$21,1,0)</f>
        <v>1</v>
      </c>
      <c r="P1188" s="19" t="n">
        <f aca="false">IF(D1188&gt;=Inputs!$C$22,1,0)</f>
        <v>1</v>
      </c>
      <c r="Q1188" s="19" t="n">
        <f aca="false">IF(I1188&lt;=Inputs!$C$23,1,0)</f>
        <v>1</v>
      </c>
      <c r="R1188" s="19" t="n">
        <f aca="false">M1188*N1188*O1188*P1188*Q1188</f>
        <v>1</v>
      </c>
      <c r="S1188" s="14" t="n">
        <f aca="false">I1188*R1188</f>
        <v>15870.36</v>
      </c>
      <c r="T1188" s="19" t="n">
        <f aca="false">IF(F1188&gt;72,1,0)</f>
        <v>0</v>
      </c>
      <c r="U1188" s="19" t="n">
        <f aca="false">IF(J1188&gt;1.25,1,0)</f>
        <v>0</v>
      </c>
    </row>
    <row r="1189" customFormat="false" ht="15" hidden="false" customHeight="false" outlineLevel="0" collapsed="false">
      <c r="B1189" s="13" t="s">
        <v>1409</v>
      </c>
      <c r="C1189" s="13" t="s">
        <v>221</v>
      </c>
      <c r="D1189" s="19" t="n">
        <v>649</v>
      </c>
      <c r="E1189" s="23" t="n">
        <v>0.2082</v>
      </c>
      <c r="F1189" s="19" t="n">
        <v>66</v>
      </c>
      <c r="G1189" s="19" t="n">
        <v>5</v>
      </c>
      <c r="H1189" s="14" t="n">
        <v>23740</v>
      </c>
      <c r="I1189" s="14" t="n">
        <v>22730.48</v>
      </c>
      <c r="J1189" s="24" t="n">
        <v>1.251</v>
      </c>
      <c r="K1189" s="19" t="n">
        <v>0</v>
      </c>
      <c r="L1189" s="13" t="str">
        <f aca="false">IF(D1189&gt;=Inputs!$C$14,"Near-prime","Non-prime")</f>
        <v>Near-prime</v>
      </c>
      <c r="M1189" s="19" t="n">
        <f aca="false">IF(K1189&lt;=Inputs!$C$19,1,0)</f>
        <v>1</v>
      </c>
      <c r="N1189" s="19" t="n">
        <f aca="false">IF(F1189&lt;=Inputs!$C$20,1,0)</f>
        <v>1</v>
      </c>
      <c r="O1189" s="19" t="n">
        <f aca="false">IF(J1189&lt;=Inputs!$C$21,1,0)</f>
        <v>1</v>
      </c>
      <c r="P1189" s="19" t="n">
        <f aca="false">IF(D1189&gt;=Inputs!$C$22,1,0)</f>
        <v>1</v>
      </c>
      <c r="Q1189" s="19" t="n">
        <f aca="false">IF(I1189&lt;=Inputs!$C$23,1,0)</f>
        <v>1</v>
      </c>
      <c r="R1189" s="19" t="n">
        <f aca="false">M1189*N1189*O1189*P1189*Q1189</f>
        <v>1</v>
      </c>
      <c r="S1189" s="14" t="n">
        <f aca="false">I1189*R1189</f>
        <v>22730.48</v>
      </c>
      <c r="T1189" s="19" t="n">
        <f aca="false">IF(F1189&gt;72,1,0)</f>
        <v>0</v>
      </c>
      <c r="U1189" s="19" t="n">
        <f aca="false">IF(J1189&gt;1.25,1,0)</f>
        <v>1</v>
      </c>
    </row>
    <row r="1190" customFormat="false" ht="15" hidden="false" customHeight="false" outlineLevel="0" collapsed="false">
      <c r="B1190" s="13" t="s">
        <v>1410</v>
      </c>
      <c r="C1190" s="13" t="s">
        <v>252</v>
      </c>
      <c r="D1190" s="19" t="n">
        <v>701</v>
      </c>
      <c r="E1190" s="23" t="n">
        <v>0.1687</v>
      </c>
      <c r="F1190" s="19" t="n">
        <v>60</v>
      </c>
      <c r="G1190" s="19" t="n">
        <v>3</v>
      </c>
      <c r="H1190" s="14" t="n">
        <v>24310</v>
      </c>
      <c r="I1190" s="14" t="n">
        <v>23516.82</v>
      </c>
      <c r="J1190" s="24" t="n">
        <v>1.233</v>
      </c>
      <c r="K1190" s="19" t="n">
        <v>0</v>
      </c>
      <c r="L1190" s="13" t="str">
        <f aca="false">IF(D1190&gt;=Inputs!$C$14,"Near-prime","Non-prime")</f>
        <v>Near-prime</v>
      </c>
      <c r="M1190" s="19" t="n">
        <f aca="false">IF(K1190&lt;=Inputs!$C$19,1,0)</f>
        <v>1</v>
      </c>
      <c r="N1190" s="19" t="n">
        <f aca="false">IF(F1190&lt;=Inputs!$C$20,1,0)</f>
        <v>1</v>
      </c>
      <c r="O1190" s="19" t="n">
        <f aca="false">IF(J1190&lt;=Inputs!$C$21,1,0)</f>
        <v>1</v>
      </c>
      <c r="P1190" s="19" t="n">
        <f aca="false">IF(D1190&gt;=Inputs!$C$22,1,0)</f>
        <v>1</v>
      </c>
      <c r="Q1190" s="19" t="n">
        <f aca="false">IF(I1190&lt;=Inputs!$C$23,1,0)</f>
        <v>1</v>
      </c>
      <c r="R1190" s="19" t="n">
        <f aca="false">M1190*N1190*O1190*P1190*Q1190</f>
        <v>1</v>
      </c>
      <c r="S1190" s="14" t="n">
        <f aca="false">I1190*R1190</f>
        <v>23516.82</v>
      </c>
      <c r="T1190" s="19" t="n">
        <f aca="false">IF(F1190&gt;72,1,0)</f>
        <v>0</v>
      </c>
      <c r="U1190" s="19" t="n">
        <f aca="false">IF(J1190&gt;1.25,1,0)</f>
        <v>0</v>
      </c>
    </row>
    <row r="1191" customFormat="false" ht="15" hidden="false" customHeight="false" outlineLevel="0" collapsed="false">
      <c r="B1191" s="13" t="s">
        <v>1411</v>
      </c>
      <c r="C1191" s="13" t="s">
        <v>223</v>
      </c>
      <c r="D1191" s="19" t="n">
        <v>712</v>
      </c>
      <c r="E1191" s="23" t="n">
        <v>0.2078</v>
      </c>
      <c r="F1191" s="19" t="n">
        <v>60</v>
      </c>
      <c r="G1191" s="19" t="n">
        <v>0</v>
      </c>
      <c r="H1191" s="14" t="n">
        <v>21890</v>
      </c>
      <c r="I1191" s="14" t="n">
        <v>21890</v>
      </c>
      <c r="J1191" s="24" t="n">
        <v>0.948</v>
      </c>
      <c r="K1191" s="19" t="n">
        <v>0</v>
      </c>
      <c r="L1191" s="13" t="str">
        <f aca="false">IF(D1191&gt;=Inputs!$C$14,"Near-prime","Non-prime")</f>
        <v>Near-prime</v>
      </c>
      <c r="M1191" s="19" t="n">
        <f aca="false">IF(K1191&lt;=Inputs!$C$19,1,0)</f>
        <v>1</v>
      </c>
      <c r="N1191" s="19" t="n">
        <f aca="false">IF(F1191&lt;=Inputs!$C$20,1,0)</f>
        <v>1</v>
      </c>
      <c r="O1191" s="19" t="n">
        <f aca="false">IF(J1191&lt;=Inputs!$C$21,1,0)</f>
        <v>1</v>
      </c>
      <c r="P1191" s="19" t="n">
        <f aca="false">IF(D1191&gt;=Inputs!$C$22,1,0)</f>
        <v>1</v>
      </c>
      <c r="Q1191" s="19" t="n">
        <f aca="false">IF(I1191&lt;=Inputs!$C$23,1,0)</f>
        <v>1</v>
      </c>
      <c r="R1191" s="19" t="n">
        <f aca="false">M1191*N1191*O1191*P1191*Q1191</f>
        <v>1</v>
      </c>
      <c r="S1191" s="14" t="n">
        <f aca="false">I1191*R1191</f>
        <v>21890</v>
      </c>
      <c r="T1191" s="19" t="n">
        <f aca="false">IF(F1191&gt;72,1,0)</f>
        <v>0</v>
      </c>
      <c r="U1191" s="19" t="n">
        <f aca="false">IF(J1191&gt;1.25,1,0)</f>
        <v>0</v>
      </c>
    </row>
    <row r="1192" customFormat="false" ht="15" hidden="false" customHeight="false" outlineLevel="0" collapsed="false">
      <c r="B1192" s="13" t="s">
        <v>1412</v>
      </c>
      <c r="C1192" s="13" t="s">
        <v>233</v>
      </c>
      <c r="D1192" s="19" t="n">
        <v>646</v>
      </c>
      <c r="E1192" s="23" t="n">
        <v>0.2139</v>
      </c>
      <c r="F1192" s="19" t="n">
        <v>72</v>
      </c>
      <c r="G1192" s="19" t="n">
        <v>6</v>
      </c>
      <c r="H1192" s="14" t="n">
        <v>21910</v>
      </c>
      <c r="I1192" s="14" t="n">
        <v>20955.99</v>
      </c>
      <c r="J1192" s="24" t="n">
        <v>0.95</v>
      </c>
      <c r="K1192" s="19" t="n">
        <v>0</v>
      </c>
      <c r="L1192" s="13" t="str">
        <f aca="false">IF(D1192&gt;=Inputs!$C$14,"Near-prime","Non-prime")</f>
        <v>Near-prime</v>
      </c>
      <c r="M1192" s="19" t="n">
        <f aca="false">IF(K1192&lt;=Inputs!$C$19,1,0)</f>
        <v>1</v>
      </c>
      <c r="N1192" s="19" t="n">
        <f aca="false">IF(F1192&lt;=Inputs!$C$20,1,0)</f>
        <v>1</v>
      </c>
      <c r="O1192" s="19" t="n">
        <f aca="false">IF(J1192&lt;=Inputs!$C$21,1,0)</f>
        <v>1</v>
      </c>
      <c r="P1192" s="19" t="n">
        <f aca="false">IF(D1192&gt;=Inputs!$C$22,1,0)</f>
        <v>1</v>
      </c>
      <c r="Q1192" s="19" t="n">
        <f aca="false">IF(I1192&lt;=Inputs!$C$23,1,0)</f>
        <v>1</v>
      </c>
      <c r="R1192" s="19" t="n">
        <f aca="false">M1192*N1192*O1192*P1192*Q1192</f>
        <v>1</v>
      </c>
      <c r="S1192" s="14" t="n">
        <f aca="false">I1192*R1192</f>
        <v>20955.99</v>
      </c>
      <c r="T1192" s="19" t="n">
        <f aca="false">IF(F1192&gt;72,1,0)</f>
        <v>0</v>
      </c>
      <c r="U1192" s="19" t="n">
        <f aca="false">IF(J1192&gt;1.25,1,0)</f>
        <v>0</v>
      </c>
    </row>
    <row r="1193" customFormat="false" ht="15" hidden="false" customHeight="false" outlineLevel="0" collapsed="false">
      <c r="B1193" s="13" t="s">
        <v>1413</v>
      </c>
      <c r="C1193" s="13" t="s">
        <v>237</v>
      </c>
      <c r="D1193" s="19" t="n">
        <v>667</v>
      </c>
      <c r="E1193" s="23" t="n">
        <v>0.2179</v>
      </c>
      <c r="F1193" s="19" t="n">
        <v>72</v>
      </c>
      <c r="G1193" s="19" t="n">
        <v>1</v>
      </c>
      <c r="H1193" s="14" t="n">
        <v>23270</v>
      </c>
      <c r="I1193" s="14" t="n">
        <v>23110.76</v>
      </c>
      <c r="J1193" s="24" t="n">
        <v>0.821</v>
      </c>
      <c r="K1193" s="19" t="n">
        <v>0</v>
      </c>
      <c r="L1193" s="13" t="str">
        <f aca="false">IF(D1193&gt;=Inputs!$C$14,"Near-prime","Non-prime")</f>
        <v>Near-prime</v>
      </c>
      <c r="M1193" s="19" t="n">
        <f aca="false">IF(K1193&lt;=Inputs!$C$19,1,0)</f>
        <v>1</v>
      </c>
      <c r="N1193" s="19" t="n">
        <f aca="false">IF(F1193&lt;=Inputs!$C$20,1,0)</f>
        <v>1</v>
      </c>
      <c r="O1193" s="19" t="n">
        <f aca="false">IF(J1193&lt;=Inputs!$C$21,1,0)</f>
        <v>1</v>
      </c>
      <c r="P1193" s="19" t="n">
        <f aca="false">IF(D1193&gt;=Inputs!$C$22,1,0)</f>
        <v>1</v>
      </c>
      <c r="Q1193" s="19" t="n">
        <f aca="false">IF(I1193&lt;=Inputs!$C$23,1,0)</f>
        <v>1</v>
      </c>
      <c r="R1193" s="19" t="n">
        <f aca="false">M1193*N1193*O1193*P1193*Q1193</f>
        <v>1</v>
      </c>
      <c r="S1193" s="14" t="n">
        <f aca="false">I1193*R1193</f>
        <v>23110.76</v>
      </c>
      <c r="T1193" s="19" t="n">
        <f aca="false">IF(F1193&gt;72,1,0)</f>
        <v>0</v>
      </c>
      <c r="U1193" s="19" t="n">
        <f aca="false">IF(J1193&gt;1.25,1,0)</f>
        <v>0</v>
      </c>
    </row>
    <row r="1194" customFormat="false" ht="15" hidden="false" customHeight="false" outlineLevel="0" collapsed="false">
      <c r="B1194" s="13" t="s">
        <v>1414</v>
      </c>
      <c r="C1194" s="13" t="s">
        <v>219</v>
      </c>
      <c r="D1194" s="19" t="n">
        <v>571</v>
      </c>
      <c r="E1194" s="23" t="n">
        <v>0.2182</v>
      </c>
      <c r="F1194" s="19" t="n">
        <v>75</v>
      </c>
      <c r="G1194" s="19" t="n">
        <v>0</v>
      </c>
      <c r="H1194" s="14" t="n">
        <v>24550</v>
      </c>
      <c r="I1194" s="14" t="n">
        <v>24550</v>
      </c>
      <c r="J1194" s="24" t="n">
        <v>0.955</v>
      </c>
      <c r="K1194" s="19" t="n">
        <v>0</v>
      </c>
      <c r="L1194" s="13" t="str">
        <f aca="false">IF(D1194&gt;=Inputs!$C$14,"Near-prime","Non-prime")</f>
        <v>Non-prime</v>
      </c>
      <c r="M1194" s="19" t="n">
        <f aca="false">IF(K1194&lt;=Inputs!$C$19,1,0)</f>
        <v>1</v>
      </c>
      <c r="N1194" s="19" t="n">
        <f aca="false">IF(F1194&lt;=Inputs!$C$20,1,0)</f>
        <v>1</v>
      </c>
      <c r="O1194" s="19" t="n">
        <f aca="false">IF(J1194&lt;=Inputs!$C$21,1,0)</f>
        <v>1</v>
      </c>
      <c r="P1194" s="19" t="n">
        <f aca="false">IF(D1194&gt;=Inputs!$C$22,1,0)</f>
        <v>1</v>
      </c>
      <c r="Q1194" s="19" t="n">
        <f aca="false">IF(I1194&lt;=Inputs!$C$23,1,0)</f>
        <v>1</v>
      </c>
      <c r="R1194" s="19" t="n">
        <f aca="false">M1194*N1194*O1194*P1194*Q1194</f>
        <v>1</v>
      </c>
      <c r="S1194" s="14" t="n">
        <f aca="false">I1194*R1194</f>
        <v>24550</v>
      </c>
      <c r="T1194" s="19" t="n">
        <f aca="false">IF(F1194&gt;72,1,0)</f>
        <v>1</v>
      </c>
      <c r="U1194" s="19" t="n">
        <f aca="false">IF(J1194&gt;1.25,1,0)</f>
        <v>0</v>
      </c>
    </row>
    <row r="1195" customFormat="false" ht="15" hidden="false" customHeight="false" outlineLevel="0" collapsed="false">
      <c r="B1195" s="13" t="s">
        <v>1415</v>
      </c>
      <c r="C1195" s="13" t="s">
        <v>217</v>
      </c>
      <c r="D1195" s="19" t="n">
        <v>639</v>
      </c>
      <c r="E1195" s="23" t="n">
        <v>0.208</v>
      </c>
      <c r="F1195" s="19" t="n">
        <v>48</v>
      </c>
      <c r="G1195" s="19" t="n">
        <v>9</v>
      </c>
      <c r="H1195" s="14" t="n">
        <v>18540</v>
      </c>
      <c r="I1195" s="14" t="n">
        <v>16120.27</v>
      </c>
      <c r="J1195" s="24" t="n">
        <v>1.177</v>
      </c>
      <c r="K1195" s="19" t="n">
        <v>0</v>
      </c>
      <c r="L1195" s="13" t="str">
        <f aca="false">IF(D1195&gt;=Inputs!$C$14,"Near-prime","Non-prime")</f>
        <v>Near-prime</v>
      </c>
      <c r="M1195" s="19" t="n">
        <f aca="false">IF(K1195&lt;=Inputs!$C$19,1,0)</f>
        <v>1</v>
      </c>
      <c r="N1195" s="19" t="n">
        <f aca="false">IF(F1195&lt;=Inputs!$C$20,1,0)</f>
        <v>1</v>
      </c>
      <c r="O1195" s="19" t="n">
        <f aca="false">IF(J1195&lt;=Inputs!$C$21,1,0)</f>
        <v>1</v>
      </c>
      <c r="P1195" s="19" t="n">
        <f aca="false">IF(D1195&gt;=Inputs!$C$22,1,0)</f>
        <v>1</v>
      </c>
      <c r="Q1195" s="19" t="n">
        <f aca="false">IF(I1195&lt;=Inputs!$C$23,1,0)</f>
        <v>1</v>
      </c>
      <c r="R1195" s="19" t="n">
        <f aca="false">M1195*N1195*O1195*P1195*Q1195</f>
        <v>1</v>
      </c>
      <c r="S1195" s="14" t="n">
        <f aca="false">I1195*R1195</f>
        <v>16120.27</v>
      </c>
      <c r="T1195" s="19" t="n">
        <f aca="false">IF(F1195&gt;72,1,0)</f>
        <v>0</v>
      </c>
      <c r="U1195" s="19" t="n">
        <f aca="false">IF(J1195&gt;1.25,1,0)</f>
        <v>0</v>
      </c>
    </row>
    <row r="1196" customFormat="false" ht="15" hidden="false" customHeight="false" outlineLevel="0" collapsed="false">
      <c r="B1196" s="13" t="s">
        <v>1416</v>
      </c>
      <c r="C1196" s="13" t="s">
        <v>223</v>
      </c>
      <c r="D1196" s="19" t="n">
        <v>722</v>
      </c>
      <c r="E1196" s="23" t="n">
        <v>0.2018</v>
      </c>
      <c r="F1196" s="19" t="n">
        <v>75</v>
      </c>
      <c r="G1196" s="19" t="n">
        <v>1</v>
      </c>
      <c r="H1196" s="14" t="n">
        <v>13920</v>
      </c>
      <c r="I1196" s="14" t="n">
        <v>13826.1</v>
      </c>
      <c r="J1196" s="24" t="n">
        <v>1.108</v>
      </c>
      <c r="K1196" s="19" t="n">
        <v>0</v>
      </c>
      <c r="L1196" s="13" t="str">
        <f aca="false">IF(D1196&gt;=Inputs!$C$14,"Near-prime","Non-prime")</f>
        <v>Near-prime</v>
      </c>
      <c r="M1196" s="19" t="n">
        <f aca="false">IF(K1196&lt;=Inputs!$C$19,1,0)</f>
        <v>1</v>
      </c>
      <c r="N1196" s="19" t="n">
        <f aca="false">IF(F1196&lt;=Inputs!$C$20,1,0)</f>
        <v>1</v>
      </c>
      <c r="O1196" s="19" t="n">
        <f aca="false">IF(J1196&lt;=Inputs!$C$21,1,0)</f>
        <v>1</v>
      </c>
      <c r="P1196" s="19" t="n">
        <f aca="false">IF(D1196&gt;=Inputs!$C$22,1,0)</f>
        <v>1</v>
      </c>
      <c r="Q1196" s="19" t="n">
        <f aca="false">IF(I1196&lt;=Inputs!$C$23,1,0)</f>
        <v>1</v>
      </c>
      <c r="R1196" s="19" t="n">
        <f aca="false">M1196*N1196*O1196*P1196*Q1196</f>
        <v>1</v>
      </c>
      <c r="S1196" s="14" t="n">
        <f aca="false">I1196*R1196</f>
        <v>13826.1</v>
      </c>
      <c r="T1196" s="19" t="n">
        <f aca="false">IF(F1196&gt;72,1,0)</f>
        <v>1</v>
      </c>
      <c r="U1196" s="19" t="n">
        <f aca="false">IF(J1196&gt;1.25,1,0)</f>
        <v>0</v>
      </c>
    </row>
    <row r="1197" customFormat="false" ht="15" hidden="false" customHeight="false" outlineLevel="0" collapsed="false">
      <c r="B1197" s="13" t="s">
        <v>1417</v>
      </c>
      <c r="C1197" s="13" t="s">
        <v>223</v>
      </c>
      <c r="D1197" s="19" t="n">
        <v>639</v>
      </c>
      <c r="E1197" s="23" t="n">
        <v>0.231</v>
      </c>
      <c r="F1197" s="19" t="n">
        <v>60</v>
      </c>
      <c r="G1197" s="19" t="n">
        <v>8</v>
      </c>
      <c r="H1197" s="14" t="n">
        <v>29960</v>
      </c>
      <c r="I1197" s="14" t="n">
        <v>27652.34</v>
      </c>
      <c r="J1197" s="24" t="n">
        <v>1.23</v>
      </c>
      <c r="K1197" s="19" t="n">
        <v>0</v>
      </c>
      <c r="L1197" s="13" t="str">
        <f aca="false">IF(D1197&gt;=Inputs!$C$14,"Near-prime","Non-prime")</f>
        <v>Near-prime</v>
      </c>
      <c r="M1197" s="19" t="n">
        <f aca="false">IF(K1197&lt;=Inputs!$C$19,1,0)</f>
        <v>1</v>
      </c>
      <c r="N1197" s="19" t="n">
        <f aca="false">IF(F1197&lt;=Inputs!$C$20,1,0)</f>
        <v>1</v>
      </c>
      <c r="O1197" s="19" t="n">
        <f aca="false">IF(J1197&lt;=Inputs!$C$21,1,0)</f>
        <v>1</v>
      </c>
      <c r="P1197" s="19" t="n">
        <f aca="false">IF(D1197&gt;=Inputs!$C$22,1,0)</f>
        <v>1</v>
      </c>
      <c r="Q1197" s="19" t="n">
        <f aca="false">IF(I1197&lt;=Inputs!$C$23,1,0)</f>
        <v>1</v>
      </c>
      <c r="R1197" s="19" t="n">
        <f aca="false">M1197*N1197*O1197*P1197*Q1197</f>
        <v>1</v>
      </c>
      <c r="S1197" s="14" t="n">
        <f aca="false">I1197*R1197</f>
        <v>27652.34</v>
      </c>
      <c r="T1197" s="19" t="n">
        <f aca="false">IF(F1197&gt;72,1,0)</f>
        <v>0</v>
      </c>
      <c r="U1197" s="19" t="n">
        <f aca="false">IF(J1197&gt;1.25,1,0)</f>
        <v>0</v>
      </c>
    </row>
    <row r="1198" customFormat="false" ht="15" hidden="false" customHeight="false" outlineLevel="0" collapsed="false">
      <c r="B1198" s="13" t="s">
        <v>1418</v>
      </c>
      <c r="C1198" s="13" t="s">
        <v>237</v>
      </c>
      <c r="D1198" s="19" t="n">
        <v>670</v>
      </c>
      <c r="E1198" s="23" t="n">
        <v>0.2129</v>
      </c>
      <c r="F1198" s="19" t="n">
        <v>72</v>
      </c>
      <c r="G1198" s="19" t="n">
        <v>10</v>
      </c>
      <c r="H1198" s="14" t="n">
        <v>15190</v>
      </c>
      <c r="I1198" s="14" t="n">
        <v>14043.47</v>
      </c>
      <c r="J1198" s="24" t="n">
        <v>1.21</v>
      </c>
      <c r="K1198" s="19" t="n">
        <v>30</v>
      </c>
      <c r="L1198" s="13" t="str">
        <f aca="false">IF(D1198&gt;=Inputs!$C$14,"Near-prime","Non-prime")</f>
        <v>Near-prime</v>
      </c>
      <c r="M1198" s="19" t="n">
        <f aca="false">IF(K1198&lt;=Inputs!$C$19,1,0)</f>
        <v>1</v>
      </c>
      <c r="N1198" s="19" t="n">
        <f aca="false">IF(F1198&lt;=Inputs!$C$20,1,0)</f>
        <v>1</v>
      </c>
      <c r="O1198" s="19" t="n">
        <f aca="false">IF(J1198&lt;=Inputs!$C$21,1,0)</f>
        <v>1</v>
      </c>
      <c r="P1198" s="19" t="n">
        <f aca="false">IF(D1198&gt;=Inputs!$C$22,1,0)</f>
        <v>1</v>
      </c>
      <c r="Q1198" s="19" t="n">
        <f aca="false">IF(I1198&lt;=Inputs!$C$23,1,0)</f>
        <v>1</v>
      </c>
      <c r="R1198" s="19" t="n">
        <f aca="false">M1198*N1198*O1198*P1198*Q1198</f>
        <v>1</v>
      </c>
      <c r="S1198" s="14" t="n">
        <f aca="false">I1198*R1198</f>
        <v>14043.47</v>
      </c>
      <c r="T1198" s="19" t="n">
        <f aca="false">IF(F1198&gt;72,1,0)</f>
        <v>0</v>
      </c>
      <c r="U1198" s="19" t="n">
        <f aca="false">IF(J1198&gt;1.25,1,0)</f>
        <v>0</v>
      </c>
    </row>
    <row r="1199" customFormat="false" ht="15" hidden="false" customHeight="false" outlineLevel="0" collapsed="false">
      <c r="B1199" s="13" t="s">
        <v>1419</v>
      </c>
      <c r="C1199" s="13" t="s">
        <v>217</v>
      </c>
      <c r="D1199" s="19" t="n">
        <v>693</v>
      </c>
      <c r="E1199" s="23" t="n">
        <v>0.2032</v>
      </c>
      <c r="F1199" s="19" t="n">
        <v>66</v>
      </c>
      <c r="G1199" s="19" t="n">
        <v>1</v>
      </c>
      <c r="H1199" s="14" t="n">
        <v>40310</v>
      </c>
      <c r="I1199" s="14" t="n">
        <v>39973.59</v>
      </c>
      <c r="J1199" s="24" t="n">
        <v>1.238</v>
      </c>
      <c r="K1199" s="19" t="n">
        <v>0</v>
      </c>
      <c r="L1199" s="13" t="str">
        <f aca="false">IF(D1199&gt;=Inputs!$C$14,"Near-prime","Non-prime")</f>
        <v>Near-prime</v>
      </c>
      <c r="M1199" s="19" t="n">
        <f aca="false">IF(K1199&lt;=Inputs!$C$19,1,0)</f>
        <v>1</v>
      </c>
      <c r="N1199" s="19" t="n">
        <f aca="false">IF(F1199&lt;=Inputs!$C$20,1,0)</f>
        <v>1</v>
      </c>
      <c r="O1199" s="19" t="n">
        <f aca="false">IF(J1199&lt;=Inputs!$C$21,1,0)</f>
        <v>1</v>
      </c>
      <c r="P1199" s="19" t="n">
        <f aca="false">IF(D1199&gt;=Inputs!$C$22,1,0)</f>
        <v>1</v>
      </c>
      <c r="Q1199" s="19" t="n">
        <f aca="false">IF(I1199&lt;=Inputs!$C$23,1,0)</f>
        <v>1</v>
      </c>
      <c r="R1199" s="19" t="n">
        <f aca="false">M1199*N1199*O1199*P1199*Q1199</f>
        <v>1</v>
      </c>
      <c r="S1199" s="14" t="n">
        <f aca="false">I1199*R1199</f>
        <v>39973.59</v>
      </c>
      <c r="T1199" s="19" t="n">
        <f aca="false">IF(F1199&gt;72,1,0)</f>
        <v>0</v>
      </c>
      <c r="U1199" s="19" t="n">
        <f aca="false">IF(J1199&gt;1.25,1,0)</f>
        <v>0</v>
      </c>
    </row>
    <row r="1200" customFormat="false" ht="15" hidden="false" customHeight="false" outlineLevel="0" collapsed="false">
      <c r="B1200" s="13" t="s">
        <v>1420</v>
      </c>
      <c r="C1200" s="13" t="s">
        <v>217</v>
      </c>
      <c r="D1200" s="19" t="n">
        <v>689</v>
      </c>
      <c r="E1200" s="23" t="n">
        <v>0.2185</v>
      </c>
      <c r="F1200" s="19" t="n">
        <v>84</v>
      </c>
      <c r="G1200" s="19" t="n">
        <v>9</v>
      </c>
      <c r="H1200" s="14" t="n">
        <v>16660</v>
      </c>
      <c r="I1200" s="14" t="n">
        <v>15833.13</v>
      </c>
      <c r="J1200" s="24" t="n">
        <v>1.205</v>
      </c>
      <c r="K1200" s="19" t="n">
        <v>0</v>
      </c>
      <c r="L1200" s="13" t="str">
        <f aca="false">IF(D1200&gt;=Inputs!$C$14,"Near-prime","Non-prime")</f>
        <v>Near-prime</v>
      </c>
      <c r="M1200" s="19" t="n">
        <f aca="false">IF(K1200&lt;=Inputs!$C$19,1,0)</f>
        <v>1</v>
      </c>
      <c r="N1200" s="19" t="n">
        <f aca="false">IF(F1200&lt;=Inputs!$C$20,1,0)</f>
        <v>0</v>
      </c>
      <c r="O1200" s="19" t="n">
        <f aca="false">IF(J1200&lt;=Inputs!$C$21,1,0)</f>
        <v>1</v>
      </c>
      <c r="P1200" s="19" t="n">
        <f aca="false">IF(D1200&gt;=Inputs!$C$22,1,0)</f>
        <v>1</v>
      </c>
      <c r="Q1200" s="19" t="n">
        <f aca="false">IF(I1200&lt;=Inputs!$C$23,1,0)</f>
        <v>1</v>
      </c>
      <c r="R1200" s="19" t="n">
        <f aca="false">M1200*N1200*O1200*P1200*Q1200</f>
        <v>0</v>
      </c>
      <c r="S1200" s="14" t="n">
        <f aca="false">I1200*R1200</f>
        <v>0</v>
      </c>
      <c r="T1200" s="19" t="n">
        <f aca="false">IF(F1200&gt;72,1,0)</f>
        <v>1</v>
      </c>
      <c r="U1200" s="19" t="n">
        <f aca="false">IF(J1200&gt;1.25,1,0)</f>
        <v>0</v>
      </c>
    </row>
    <row r="1201" customFormat="false" ht="15" hidden="false" customHeight="false" outlineLevel="0" collapsed="false">
      <c r="B1201" s="13" t="s">
        <v>1421</v>
      </c>
      <c r="C1201" s="13" t="s">
        <v>226</v>
      </c>
      <c r="D1201" s="19" t="n">
        <v>651</v>
      </c>
      <c r="E1201" s="23" t="n">
        <v>0.217</v>
      </c>
      <c r="F1201" s="19" t="n">
        <v>60</v>
      </c>
      <c r="G1201" s="19" t="n">
        <v>7</v>
      </c>
      <c r="H1201" s="14" t="n">
        <v>21250</v>
      </c>
      <c r="I1201" s="14" t="n">
        <v>19779.02</v>
      </c>
      <c r="J1201" s="24" t="n">
        <v>0.932</v>
      </c>
      <c r="K1201" s="19" t="n">
        <v>0</v>
      </c>
      <c r="L1201" s="13" t="str">
        <f aca="false">IF(D1201&gt;=Inputs!$C$14,"Near-prime","Non-prime")</f>
        <v>Near-prime</v>
      </c>
      <c r="M1201" s="19" t="n">
        <f aca="false">IF(K1201&lt;=Inputs!$C$19,1,0)</f>
        <v>1</v>
      </c>
      <c r="N1201" s="19" t="n">
        <f aca="false">IF(F1201&lt;=Inputs!$C$20,1,0)</f>
        <v>1</v>
      </c>
      <c r="O1201" s="19" t="n">
        <f aca="false">IF(J1201&lt;=Inputs!$C$21,1,0)</f>
        <v>1</v>
      </c>
      <c r="P1201" s="19" t="n">
        <f aca="false">IF(D1201&gt;=Inputs!$C$22,1,0)</f>
        <v>1</v>
      </c>
      <c r="Q1201" s="19" t="n">
        <f aca="false">IF(I1201&lt;=Inputs!$C$23,1,0)</f>
        <v>1</v>
      </c>
      <c r="R1201" s="19" t="n">
        <f aca="false">M1201*N1201*O1201*P1201*Q1201</f>
        <v>1</v>
      </c>
      <c r="S1201" s="14" t="n">
        <f aca="false">I1201*R1201</f>
        <v>19779.02</v>
      </c>
      <c r="T1201" s="19" t="n">
        <f aca="false">IF(F1201&gt;72,1,0)</f>
        <v>0</v>
      </c>
      <c r="U1201" s="19" t="n">
        <f aca="false">IF(J1201&gt;1.25,1,0)</f>
        <v>0</v>
      </c>
    </row>
    <row r="1202" customFormat="false" ht="15" hidden="false" customHeight="false" outlineLevel="0" collapsed="false">
      <c r="B1202" s="13" t="s">
        <v>1422</v>
      </c>
      <c r="C1202" s="13" t="s">
        <v>223</v>
      </c>
      <c r="D1202" s="19" t="n">
        <v>617</v>
      </c>
      <c r="E1202" s="23" t="n">
        <v>0.1889</v>
      </c>
      <c r="F1202" s="19" t="n">
        <v>48</v>
      </c>
      <c r="G1202" s="19" t="n">
        <v>6</v>
      </c>
      <c r="H1202" s="14" t="n">
        <v>33160</v>
      </c>
      <c r="I1202" s="14" t="n">
        <v>30241.83</v>
      </c>
      <c r="J1202" s="24" t="n">
        <v>1.181</v>
      </c>
      <c r="K1202" s="19" t="n">
        <v>0</v>
      </c>
      <c r="L1202" s="13" t="str">
        <f aca="false">IF(D1202&gt;=Inputs!$C$14,"Near-prime","Non-prime")</f>
        <v>Non-prime</v>
      </c>
      <c r="M1202" s="19" t="n">
        <f aca="false">IF(K1202&lt;=Inputs!$C$19,1,0)</f>
        <v>1</v>
      </c>
      <c r="N1202" s="19" t="n">
        <f aca="false">IF(F1202&lt;=Inputs!$C$20,1,0)</f>
        <v>1</v>
      </c>
      <c r="O1202" s="19" t="n">
        <f aca="false">IF(J1202&lt;=Inputs!$C$21,1,0)</f>
        <v>1</v>
      </c>
      <c r="P1202" s="19" t="n">
        <f aca="false">IF(D1202&gt;=Inputs!$C$22,1,0)</f>
        <v>1</v>
      </c>
      <c r="Q1202" s="19" t="n">
        <f aca="false">IF(I1202&lt;=Inputs!$C$23,1,0)</f>
        <v>1</v>
      </c>
      <c r="R1202" s="19" t="n">
        <f aca="false">M1202*N1202*O1202*P1202*Q1202</f>
        <v>1</v>
      </c>
      <c r="S1202" s="14" t="n">
        <f aca="false">I1202*R1202</f>
        <v>30241.83</v>
      </c>
      <c r="T1202" s="19" t="n">
        <f aca="false">IF(F1202&gt;72,1,0)</f>
        <v>0</v>
      </c>
      <c r="U1202" s="19" t="n">
        <f aca="false">IF(J1202&gt;1.25,1,0)</f>
        <v>0</v>
      </c>
    </row>
    <row r="1203" customFormat="false" ht="15" hidden="false" customHeight="false" outlineLevel="0" collapsed="false">
      <c r="B1203" s="13" t="s">
        <v>1423</v>
      </c>
      <c r="C1203" s="13" t="s">
        <v>223</v>
      </c>
      <c r="D1203" s="19" t="n">
        <v>534</v>
      </c>
      <c r="E1203" s="23" t="n">
        <v>0.2359</v>
      </c>
      <c r="F1203" s="19" t="n">
        <v>72</v>
      </c>
      <c r="G1203" s="19" t="n">
        <v>5</v>
      </c>
      <c r="H1203" s="14" t="n">
        <v>20410</v>
      </c>
      <c r="I1203" s="14" t="n">
        <v>19728.55</v>
      </c>
      <c r="J1203" s="24" t="n">
        <v>0.891</v>
      </c>
      <c r="K1203" s="19" t="n">
        <v>0</v>
      </c>
      <c r="L1203" s="13" t="str">
        <f aca="false">IF(D1203&gt;=Inputs!$C$14,"Near-prime","Non-prime")</f>
        <v>Non-prime</v>
      </c>
      <c r="M1203" s="19" t="n">
        <f aca="false">IF(K1203&lt;=Inputs!$C$19,1,0)</f>
        <v>1</v>
      </c>
      <c r="N1203" s="19" t="n">
        <f aca="false">IF(F1203&lt;=Inputs!$C$20,1,0)</f>
        <v>1</v>
      </c>
      <c r="O1203" s="19" t="n">
        <f aca="false">IF(J1203&lt;=Inputs!$C$21,1,0)</f>
        <v>1</v>
      </c>
      <c r="P1203" s="19" t="n">
        <f aca="false">IF(D1203&gt;=Inputs!$C$22,1,0)</f>
        <v>0</v>
      </c>
      <c r="Q1203" s="19" t="n">
        <f aca="false">IF(I1203&lt;=Inputs!$C$23,1,0)</f>
        <v>1</v>
      </c>
      <c r="R1203" s="19" t="n">
        <f aca="false">M1203*N1203*O1203*P1203*Q1203</f>
        <v>0</v>
      </c>
      <c r="S1203" s="14" t="n">
        <f aca="false">I1203*R1203</f>
        <v>0</v>
      </c>
      <c r="T1203" s="19" t="n">
        <f aca="false">IF(F1203&gt;72,1,0)</f>
        <v>0</v>
      </c>
      <c r="U1203" s="19" t="n">
        <f aca="false">IF(J1203&gt;1.25,1,0)</f>
        <v>0</v>
      </c>
    </row>
    <row r="1204" customFormat="false" ht="15" hidden="false" customHeight="false" outlineLevel="0" collapsed="false">
      <c r="B1204" s="13" t="s">
        <v>1424</v>
      </c>
      <c r="C1204" s="13" t="s">
        <v>217</v>
      </c>
      <c r="D1204" s="19" t="n">
        <v>586</v>
      </c>
      <c r="E1204" s="23" t="n">
        <v>0.2223</v>
      </c>
      <c r="F1204" s="19" t="n">
        <v>72</v>
      </c>
      <c r="G1204" s="19" t="n">
        <v>4</v>
      </c>
      <c r="H1204" s="14" t="n">
        <v>15880</v>
      </c>
      <c r="I1204" s="14" t="n">
        <v>15439.97</v>
      </c>
      <c r="J1204" s="24" t="n">
        <v>0.721</v>
      </c>
      <c r="K1204" s="19" t="n">
        <v>0</v>
      </c>
      <c r="L1204" s="13" t="str">
        <f aca="false">IF(D1204&gt;=Inputs!$C$14,"Near-prime","Non-prime")</f>
        <v>Non-prime</v>
      </c>
      <c r="M1204" s="19" t="n">
        <f aca="false">IF(K1204&lt;=Inputs!$C$19,1,0)</f>
        <v>1</v>
      </c>
      <c r="N1204" s="19" t="n">
        <f aca="false">IF(F1204&lt;=Inputs!$C$20,1,0)</f>
        <v>1</v>
      </c>
      <c r="O1204" s="19" t="n">
        <f aca="false">IF(J1204&lt;=Inputs!$C$21,1,0)</f>
        <v>1</v>
      </c>
      <c r="P1204" s="19" t="n">
        <f aca="false">IF(D1204&gt;=Inputs!$C$22,1,0)</f>
        <v>1</v>
      </c>
      <c r="Q1204" s="19" t="n">
        <f aca="false">IF(I1204&lt;=Inputs!$C$23,1,0)</f>
        <v>1</v>
      </c>
      <c r="R1204" s="19" t="n">
        <f aca="false">M1204*N1204*O1204*P1204*Q1204</f>
        <v>1</v>
      </c>
      <c r="S1204" s="14" t="n">
        <f aca="false">I1204*R1204</f>
        <v>15439.97</v>
      </c>
      <c r="T1204" s="19" t="n">
        <f aca="false">IF(F1204&gt;72,1,0)</f>
        <v>0</v>
      </c>
      <c r="U1204" s="19" t="n">
        <f aca="false">IF(J1204&gt;1.25,1,0)</f>
        <v>0</v>
      </c>
    </row>
    <row r="1205" customFormat="false" ht="15" hidden="false" customHeight="false" outlineLevel="0" collapsed="false">
      <c r="B1205" s="16" t="s">
        <v>1425</v>
      </c>
      <c r="C1205" s="16" t="s">
        <v>217</v>
      </c>
      <c r="D1205" s="21" t="n">
        <v>630</v>
      </c>
      <c r="E1205" s="29" t="n">
        <v>0.2187</v>
      </c>
      <c r="F1205" s="21" t="n">
        <v>72</v>
      </c>
      <c r="G1205" s="21" t="n">
        <v>9</v>
      </c>
      <c r="H1205" s="22" t="n">
        <v>22430</v>
      </c>
      <c r="I1205" s="22" t="n">
        <v>20947.62</v>
      </c>
      <c r="J1205" s="17" t="n">
        <v>0.787</v>
      </c>
      <c r="K1205" s="21" t="n">
        <v>0</v>
      </c>
      <c r="L1205" s="16" t="str">
        <f aca="false">IF(D1205&gt;=Inputs!$C$14,"Near-prime","Non-prime")</f>
        <v>Near-prime</v>
      </c>
      <c r="M1205" s="21" t="n">
        <f aca="false">IF(K1205&lt;=Inputs!$C$19,1,0)</f>
        <v>1</v>
      </c>
      <c r="N1205" s="21" t="n">
        <f aca="false">IF(F1205&lt;=Inputs!$C$20,1,0)</f>
        <v>1</v>
      </c>
      <c r="O1205" s="21" t="n">
        <f aca="false">IF(J1205&lt;=Inputs!$C$21,1,0)</f>
        <v>1</v>
      </c>
      <c r="P1205" s="21" t="n">
        <f aca="false">IF(D1205&gt;=Inputs!$C$22,1,0)</f>
        <v>1</v>
      </c>
      <c r="Q1205" s="21" t="n">
        <f aca="false">IF(I1205&lt;=Inputs!$C$23,1,0)</f>
        <v>1</v>
      </c>
      <c r="R1205" s="21" t="n">
        <f aca="false">M1205*N1205*O1205*P1205*Q1205</f>
        <v>1</v>
      </c>
      <c r="S1205" s="22" t="n">
        <f aca="false">I1205*R1205</f>
        <v>20947.62</v>
      </c>
      <c r="T1205" s="21" t="n">
        <f aca="false">IF(F1205&gt;72,1,0)</f>
        <v>0</v>
      </c>
      <c r="U1205" s="21" t="n">
        <f aca="false">IF(J1205&gt;1.25,1,0)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A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44"/>
    <col collapsed="false" customWidth="true" hidden="false" outlineLevel="0" max="29" min="3" style="0" width="14"/>
  </cols>
  <sheetData>
    <row r="2" customFormat="false" ht="15" hidden="false" customHeight="false" outlineLevel="0" collapsed="false">
      <c r="B2" s="8" t="s">
        <v>1426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false" outlineLevel="0" collapsed="false">
      <c r="B3" s="10" t="s">
        <v>1427</v>
      </c>
    </row>
    <row r="5" customFormat="false" ht="15" hidden="false" customHeight="false" outlineLevel="0" collapsed="false">
      <c r="B5" s="11" t="s">
        <v>1428</v>
      </c>
      <c r="C5" s="12"/>
      <c r="D5" s="12"/>
    </row>
    <row r="6" customFormat="false" ht="15" hidden="false" customHeight="false" outlineLevel="0" collapsed="false">
      <c r="B6" s="3" t="s">
        <v>35</v>
      </c>
      <c r="C6" s="3" t="s">
        <v>36</v>
      </c>
      <c r="D6" s="3" t="s">
        <v>63</v>
      </c>
    </row>
    <row r="7" customFormat="false" ht="15" hidden="false" customHeight="false" outlineLevel="0" collapsed="false">
      <c r="B7" s="13" t="s">
        <v>123</v>
      </c>
      <c r="C7" s="24" t="n">
        <f aca="false">Inputs!C46</f>
        <v>0.1</v>
      </c>
      <c r="D7" s="13" t="s">
        <v>71</v>
      </c>
    </row>
    <row r="8" customFormat="false" ht="15" hidden="false" customHeight="false" outlineLevel="0" collapsed="false">
      <c r="B8" s="13" t="s">
        <v>1429</v>
      </c>
      <c r="C8" s="31" t="n">
        <f aca="false">1-(1-C7)^(1/12)</f>
        <v>0.00874161095469672</v>
      </c>
      <c r="D8" s="13" t="s">
        <v>71</v>
      </c>
    </row>
    <row r="9" customFormat="false" ht="15" hidden="false" customHeight="false" outlineLevel="0" collapsed="false">
      <c r="B9" s="13" t="s">
        <v>1430</v>
      </c>
      <c r="C9" s="23" t="n">
        <f aca="false">Inputs!C47</f>
        <v>0.0314375293062565</v>
      </c>
      <c r="D9" s="13" t="s">
        <v>71</v>
      </c>
    </row>
    <row r="10" customFormat="false" ht="15" hidden="false" customHeight="false" outlineLevel="0" collapsed="false">
      <c r="B10" s="16" t="s">
        <v>1431</v>
      </c>
      <c r="C10" s="29" t="n">
        <f aca="false">'Borrowing Base'!$C$48-Inputs!C48</f>
        <v>0.820349928148999</v>
      </c>
      <c r="D10" s="16" t="s">
        <v>71</v>
      </c>
    </row>
    <row r="12" customFormat="false" ht="31.5" hidden="false" customHeight="true" outlineLevel="0" collapsed="false">
      <c r="B12" s="30" t="s">
        <v>1432</v>
      </c>
      <c r="C12" s="30" t="s">
        <v>1433</v>
      </c>
      <c r="D12" s="30" t="s">
        <v>1434</v>
      </c>
      <c r="E12" s="30" t="s">
        <v>1435</v>
      </c>
      <c r="F12" s="30" t="s">
        <v>1436</v>
      </c>
      <c r="G12" s="30" t="s">
        <v>1437</v>
      </c>
      <c r="H12" s="30" t="s">
        <v>1438</v>
      </c>
      <c r="I12" s="30" t="s">
        <v>1439</v>
      </c>
      <c r="J12" s="30" t="s">
        <v>1440</v>
      </c>
      <c r="K12" s="30" t="s">
        <v>1441</v>
      </c>
      <c r="L12" s="30" t="s">
        <v>1442</v>
      </c>
      <c r="M12" s="30" t="s">
        <v>1443</v>
      </c>
      <c r="N12" s="30" t="s">
        <v>1444</v>
      </c>
      <c r="O12" s="30" t="s">
        <v>1445</v>
      </c>
      <c r="P12" s="30" t="s">
        <v>1446</v>
      </c>
      <c r="Q12" s="30" t="s">
        <v>19</v>
      </c>
      <c r="R12" s="30" t="s">
        <v>1447</v>
      </c>
      <c r="S12" s="30" t="s">
        <v>1448</v>
      </c>
      <c r="T12" s="30" t="s">
        <v>1449</v>
      </c>
      <c r="U12" s="30" t="s">
        <v>1450</v>
      </c>
      <c r="V12" s="30" t="s">
        <v>1451</v>
      </c>
      <c r="W12" s="30" t="s">
        <v>1452</v>
      </c>
      <c r="X12" s="30" t="s">
        <v>1453</v>
      </c>
      <c r="Y12" s="30" t="s">
        <v>1454</v>
      </c>
      <c r="Z12" s="30" t="s">
        <v>1455</v>
      </c>
      <c r="AA12" s="30" t="s">
        <v>1456</v>
      </c>
      <c r="AB12" s="30" t="s">
        <v>1457</v>
      </c>
      <c r="AC12" s="30" t="s">
        <v>1458</v>
      </c>
    </row>
    <row r="13" customFormat="false" ht="15" hidden="false" customHeight="false" outlineLevel="0" collapsed="false">
      <c r="B13" s="32" t="n">
        <v>0</v>
      </c>
      <c r="N13" s="14" t="n">
        <f aca="false">'Borrowing Base'!C8</f>
        <v>28800313.51</v>
      </c>
      <c r="S13" s="14" t="n">
        <f aca="false">Inputs!$C$8</f>
        <v>19500000</v>
      </c>
      <c r="AA13" s="14" t="n">
        <f aca="false">Inputs!$C$35</f>
        <v>12000000</v>
      </c>
      <c r="AC13" s="14" t="n">
        <v>0</v>
      </c>
    </row>
    <row r="14" customFormat="false" ht="15" hidden="false" customHeight="false" outlineLevel="0" collapsed="false">
      <c r="B14" s="19" t="n">
        <f aca="false">B13+1</f>
        <v>1</v>
      </c>
      <c r="C14" s="14" t="n">
        <f aca="false">N13</f>
        <v>28800313.51</v>
      </c>
      <c r="D14" s="14" t="n">
        <f aca="false">C14*$C$8</f>
        <v>251761.136077716</v>
      </c>
      <c r="E14" s="14" t="n">
        <f aca="false">D14*(1-Inputs!$C$40)</f>
        <v>95014.65275573</v>
      </c>
      <c r="F14" s="14" t="n">
        <f aca="false">(C14-D14)*Inputs!$C$39</f>
        <v>570971.047478446</v>
      </c>
      <c r="G14" s="14" t="n">
        <f aca="false">(C14-D14)*'Borrowing Base'!$C$9/12</f>
        <v>494337.273494404</v>
      </c>
      <c r="H14" s="14" t="n">
        <f aca="false">Inputs!$C$37</f>
        <v>10000000</v>
      </c>
      <c r="I14" s="14" t="n">
        <f aca="false">C14-D14-F14+H14</f>
        <v>37977581.3264438</v>
      </c>
      <c r="J14" s="14" t="n">
        <f aca="false">I14*$C$9</f>
        <v>1193921.32593082</v>
      </c>
      <c r="K14" s="14" t="n">
        <f aca="false">I14*'Borrowing Base'!$C$59</f>
        <v>3176423.07585255</v>
      </c>
      <c r="L14" s="14" t="n">
        <f aca="false">I14-J14-K14</f>
        <v>33607236.9246605</v>
      </c>
      <c r="M14" s="14" t="n">
        <f aca="false">L14*0</f>
        <v>0</v>
      </c>
      <c r="N14" s="14" t="n">
        <f aca="false">I14-M14</f>
        <v>37977581.3264438</v>
      </c>
      <c r="O14" s="14" t="n">
        <f aca="false">L14-M14</f>
        <v>33607236.9246605</v>
      </c>
      <c r="P14" s="23" t="n">
        <f aca="false">$C$10</f>
        <v>0.820349928148999</v>
      </c>
      <c r="Q14" s="14" t="n">
        <f aca="false">MIN(Inputs!$C$7,P14*O14*(1-'Borrowing Base'!$C$60))</f>
        <v>26821982.3854624</v>
      </c>
      <c r="R14" s="14" t="n">
        <f aca="false">S13</f>
        <v>19500000</v>
      </c>
      <c r="S14" s="14" t="n">
        <f aca="false">Q14</f>
        <v>26821982.3854624</v>
      </c>
      <c r="T14" s="19" t="n">
        <f aca="false">IF(P14*O14*(1-'Borrowing Base'!$C$60)&gt;Inputs!$C$7,1,0)</f>
        <v>0</v>
      </c>
      <c r="U14" s="14" t="n">
        <f aca="false">R14*(Inputs!$C$9+Inputs!$C$10)/12</f>
        <v>96362.5</v>
      </c>
      <c r="V14" s="14" t="n">
        <f aca="false">MAX(0,Inputs!$C$7-R14)*Inputs!$C$11/12</f>
        <v>8541.66666666667</v>
      </c>
      <c r="W14" s="14" t="n">
        <f aca="false">Inputs!$C$38</f>
        <v>600000</v>
      </c>
      <c r="X14" s="14" t="n">
        <f aca="false">M14*(Inputs!$C$41-Inputs!$C$42)</f>
        <v>0</v>
      </c>
      <c r="Y14" s="14" t="n">
        <f aca="false">Inputs!C49</f>
        <v>1600000</v>
      </c>
      <c r="Z14" s="14" t="n">
        <f aca="false">AA13</f>
        <v>12000000</v>
      </c>
      <c r="AA14" s="14" t="n">
        <f aca="false">Z14-H14+F14+G14+E14-U14-V14-W14+(S14-R14)+X14+Y14</f>
        <v>11377401.1925243</v>
      </c>
      <c r="AB14" s="19" t="n">
        <f aca="false">IF(AA14&lt;Inputs!$C$36,1,0)</f>
        <v>0</v>
      </c>
      <c r="AC14" s="14" t="n">
        <f aca="false">AC13+M14*(1-Inputs!$C$41)</f>
        <v>0</v>
      </c>
    </row>
    <row r="15" customFormat="false" ht="15" hidden="false" customHeight="false" outlineLevel="0" collapsed="false">
      <c r="B15" s="19" t="n">
        <f aca="false">B14+1</f>
        <v>2</v>
      </c>
      <c r="C15" s="14" t="n">
        <f aca="false">N14</f>
        <v>37977581.3264438</v>
      </c>
      <c r="D15" s="14" t="n">
        <f aca="false">C15*$C$8</f>
        <v>331985.240956127</v>
      </c>
      <c r="E15" s="14" t="n">
        <f aca="false">D15*(1-Inputs!$C$40)</f>
        <v>125291.229936842</v>
      </c>
      <c r="F15" s="14" t="n">
        <f aca="false">(C15-D15)*Inputs!$C$39</f>
        <v>752911.921709754</v>
      </c>
      <c r="G15" s="14" t="n">
        <f aca="false">(C15-D15)*'Borrowing Base'!$C$9/12</f>
        <v>651858.668146361</v>
      </c>
      <c r="H15" s="14" t="n">
        <f aca="false">Inputs!$C$37</f>
        <v>10000000</v>
      </c>
      <c r="I15" s="14" t="n">
        <f aca="false">C15-D15-F15+H15</f>
        <v>46892684.163778</v>
      </c>
      <c r="J15" s="14" t="n">
        <f aca="false">I15*$C$9</f>
        <v>1474190.1326478</v>
      </c>
      <c r="K15" s="14" t="n">
        <f aca="false">I15*'Borrowing Base'!$C$59</f>
        <v>3922077.15352254</v>
      </c>
      <c r="L15" s="14" t="n">
        <f aca="false">I15-J15-K15</f>
        <v>41496416.8776076</v>
      </c>
      <c r="M15" s="14" t="n">
        <f aca="false">L15*0</f>
        <v>0</v>
      </c>
      <c r="N15" s="14" t="n">
        <f aca="false">I15-M15</f>
        <v>46892684.163778</v>
      </c>
      <c r="O15" s="14" t="n">
        <f aca="false">L15-M15</f>
        <v>41496416.8776076</v>
      </c>
      <c r="P15" s="23" t="n">
        <f aca="false">$C$10</f>
        <v>0.820349928148999</v>
      </c>
      <c r="Q15" s="14" t="n">
        <f aca="false">MIN(Inputs!$C$7,P15*O15*(1-'Borrowing Base'!$C$60))</f>
        <v>33118347.84413</v>
      </c>
      <c r="R15" s="14" t="n">
        <f aca="false">S14</f>
        <v>26821982.3854624</v>
      </c>
      <c r="S15" s="14" t="n">
        <f aca="false">Q15</f>
        <v>33118347.84413</v>
      </c>
      <c r="T15" s="19" t="n">
        <f aca="false">IF(P15*O15*(1-'Borrowing Base'!$C$60)&gt;Inputs!$C$7,1,0)</f>
        <v>0</v>
      </c>
      <c r="U15" s="14" t="n">
        <f aca="false">R15*(Inputs!$C$9+Inputs!$C$10)/12</f>
        <v>132545.29628816</v>
      </c>
      <c r="V15" s="14" t="n">
        <f aca="false">MAX(0,Inputs!$C$7-R15)*Inputs!$C$11/12</f>
        <v>5490.84067272401</v>
      </c>
      <c r="W15" s="14" t="n">
        <f aca="false">Inputs!$C$38</f>
        <v>600000</v>
      </c>
      <c r="X15" s="14" t="n">
        <f aca="false">M15*(Inputs!$C$41-Inputs!$C$42)</f>
        <v>0</v>
      </c>
      <c r="Y15" s="14" t="n">
        <f aca="false">Inputs!C49</f>
        <v>1600000</v>
      </c>
      <c r="Z15" s="14" t="n">
        <f aca="false">AA14</f>
        <v>11377401.1925243</v>
      </c>
      <c r="AA15" s="14" t="n">
        <f aca="false">Z15-H15+F15+G15+E15-U15-V15-W15+(S15-R15)+X15+Y15</f>
        <v>10065792.334024</v>
      </c>
      <c r="AB15" s="19" t="n">
        <f aca="false">IF(AA15&lt;Inputs!$C$36,1,0)</f>
        <v>0</v>
      </c>
      <c r="AC15" s="14" t="n">
        <f aca="false">AC14+M15*(1-Inputs!$C$41)</f>
        <v>0</v>
      </c>
    </row>
    <row r="16" customFormat="false" ht="15" hidden="false" customHeight="false" outlineLevel="0" collapsed="false">
      <c r="B16" s="19" t="n">
        <f aca="false">B15+1</f>
        <v>3</v>
      </c>
      <c r="C16" s="14" t="n">
        <f aca="false">N15</f>
        <v>46892684.163778</v>
      </c>
      <c r="D16" s="14" t="n">
        <f aca="false">C16*$C$8</f>
        <v>409917.601581215</v>
      </c>
      <c r="E16" s="14" t="n">
        <f aca="false">D16*(1-Inputs!$C$40)</f>
        <v>154702.90283675</v>
      </c>
      <c r="F16" s="14" t="n">
        <f aca="false">(C16-D16)*Inputs!$C$39</f>
        <v>929655.331243935</v>
      </c>
      <c r="G16" s="14" t="n">
        <f aca="false">(C16-D16)*'Borrowing Base'!$C$9/12</f>
        <v>804880.183971172</v>
      </c>
      <c r="H16" s="14" t="n">
        <f aca="false">Inputs!$C$37</f>
        <v>10000000</v>
      </c>
      <c r="I16" s="14" t="n">
        <f aca="false">C16-D16-F16+H16</f>
        <v>55553111.2309528</v>
      </c>
      <c r="J16" s="14" t="n">
        <f aca="false">I16*$C$9</f>
        <v>1746452.56237681</v>
      </c>
      <c r="K16" s="14" t="n">
        <f aca="false">I16*'Borrowing Base'!$C$59</f>
        <v>4646430.29614243</v>
      </c>
      <c r="L16" s="14" t="n">
        <f aca="false">I16-J16-K16</f>
        <v>49160228.3724336</v>
      </c>
      <c r="M16" s="14" t="n">
        <f aca="false">L16*Inputs!C50</f>
        <v>49160228.3724336</v>
      </c>
      <c r="N16" s="14" t="n">
        <f aca="false">I16-M16</f>
        <v>6392882.85851923</v>
      </c>
      <c r="O16" s="14" t="n">
        <f aca="false">L16-M16</f>
        <v>0</v>
      </c>
      <c r="P16" s="23" t="n">
        <f aca="false">$C$10</f>
        <v>0.820349928148999</v>
      </c>
      <c r="Q16" s="14" t="n">
        <f aca="false">MIN(Inputs!$C$7,P16*O16*(1-'Borrowing Base'!$C$60))</f>
        <v>0</v>
      </c>
      <c r="R16" s="14" t="n">
        <f aca="false">S15</f>
        <v>33118347.84413</v>
      </c>
      <c r="S16" s="14" t="n">
        <f aca="false">Q16</f>
        <v>0</v>
      </c>
      <c r="T16" s="19" t="n">
        <f aca="false">IF(P16*O16*(1-'Borrowing Base'!$C$60)&gt;Inputs!$C$7,1,0)</f>
        <v>0</v>
      </c>
      <c r="U16" s="14" t="n">
        <f aca="false">R16*(Inputs!$C$9+Inputs!$C$10)/12</f>
        <v>163659.835596409</v>
      </c>
      <c r="V16" s="14" t="n">
        <f aca="false">MAX(0,Inputs!$C$7-R16)*Inputs!$C$11/12</f>
        <v>2867.35506494584</v>
      </c>
      <c r="W16" s="14" t="n">
        <f aca="false">Inputs!$C$38</f>
        <v>600000</v>
      </c>
      <c r="X16" s="14" t="n">
        <f aca="false">M16*(Inputs!$C$41-Inputs!$C$42)</f>
        <v>45719012.3863632</v>
      </c>
      <c r="Y16" s="14" t="n">
        <f aca="false">Inputs!C49</f>
        <v>1600000</v>
      </c>
      <c r="Z16" s="14" t="n">
        <f aca="false">AA15</f>
        <v>10065792.334024</v>
      </c>
      <c r="AA16" s="14" t="n">
        <f aca="false">Z16-H16+F16+G16+E16-U16-V16-W16+(S16-R16)+X16+Y16</f>
        <v>15389168.1036477</v>
      </c>
      <c r="AB16" s="19" t="n">
        <f aca="false">IF(AA16&lt;Inputs!$C$36,1,0)</f>
        <v>0</v>
      </c>
      <c r="AC16" s="14" t="n">
        <f aca="false">AC15+M16*(1-Inputs!$C$41)</f>
        <v>2949613.70234602</v>
      </c>
    </row>
    <row r="17" customFormat="false" ht="15" hidden="false" customHeight="false" outlineLevel="0" collapsed="false">
      <c r="B17" s="19" t="n">
        <f aca="false">B16+1</f>
        <v>4</v>
      </c>
      <c r="C17" s="14" t="n">
        <f aca="false">N16</f>
        <v>6392882.85851923</v>
      </c>
      <c r="D17" s="14" t="n">
        <f aca="false">C17*$C$8</f>
        <v>55884.0948281246</v>
      </c>
      <c r="E17" s="14" t="n">
        <f aca="false">D17*(1-Inputs!$C$40)</f>
        <v>21090.6573881342</v>
      </c>
      <c r="F17" s="14" t="n">
        <f aca="false">(C17-D17)*Inputs!$C$39</f>
        <v>126739.975273822</v>
      </c>
      <c r="G17" s="14" t="n">
        <f aca="false">(C17-D17)*'Borrowing Base'!$C$9/12</f>
        <v>109729.370860919</v>
      </c>
      <c r="H17" s="14" t="n">
        <f aca="false">Inputs!$C$37</f>
        <v>10000000</v>
      </c>
      <c r="I17" s="14" t="n">
        <f aca="false">C17-D17-F17+H17</f>
        <v>16210258.7884173</v>
      </c>
      <c r="J17" s="14" t="n">
        <f aca="false">I17*$C$9</f>
        <v>509610.48572287</v>
      </c>
      <c r="K17" s="14" t="n">
        <f aca="false">I17*'Borrowing Base'!$C$59</f>
        <v>1355816.72878197</v>
      </c>
      <c r="L17" s="14" t="n">
        <f aca="false">I17-J17-K17</f>
        <v>14344831.5739125</v>
      </c>
      <c r="M17" s="14" t="n">
        <f aca="false">L17*0</f>
        <v>0</v>
      </c>
      <c r="N17" s="14" t="n">
        <f aca="false">I17-M17</f>
        <v>16210258.7884173</v>
      </c>
      <c r="O17" s="14" t="n">
        <f aca="false">L17-M17</f>
        <v>14344831.5739125</v>
      </c>
      <c r="P17" s="23" t="n">
        <f aca="false">$C$10</f>
        <v>0.820349928148999</v>
      </c>
      <c r="Q17" s="14" t="n">
        <f aca="false">MIN(Inputs!$C$7,P17*O17*(1-'Borrowing Base'!$C$60))</f>
        <v>11448629.9680167</v>
      </c>
      <c r="R17" s="14" t="n">
        <f aca="false">S16</f>
        <v>0</v>
      </c>
      <c r="S17" s="14" t="n">
        <f aca="false">Q17</f>
        <v>11448629.9680167</v>
      </c>
      <c r="T17" s="19" t="n">
        <f aca="false">IF(P17*O17*(1-'Borrowing Base'!$C$60)&gt;Inputs!$C$7,1,0)</f>
        <v>0</v>
      </c>
      <c r="U17" s="14" t="n">
        <f aca="false">R17*(Inputs!$C$9+Inputs!$C$10)/12</f>
        <v>0</v>
      </c>
      <c r="V17" s="14" t="n">
        <f aca="false">MAX(0,Inputs!$C$7-R17)*Inputs!$C$11/12</f>
        <v>16666.6666666667</v>
      </c>
      <c r="W17" s="14" t="n">
        <f aca="false">Inputs!$C$38</f>
        <v>600000</v>
      </c>
      <c r="X17" s="14" t="n">
        <f aca="false">M17*(Inputs!$C$41-Inputs!$C$42)</f>
        <v>0</v>
      </c>
      <c r="Y17" s="14" t="n">
        <f aca="false">Inputs!C49</f>
        <v>1600000</v>
      </c>
      <c r="Z17" s="14" t="n">
        <f aca="false">AA16</f>
        <v>15389168.1036477</v>
      </c>
      <c r="AA17" s="14" t="n">
        <f aca="false">Z17-H17+F17+G17+E17-U17-V17-W17+(S17-R17)+X17+Y17</f>
        <v>18078691.4085206</v>
      </c>
      <c r="AB17" s="19" t="n">
        <f aca="false">IF(AA17&lt;Inputs!$C$36,1,0)</f>
        <v>0</v>
      </c>
      <c r="AC17" s="14" t="n">
        <f aca="false">AC16+M17*(1-Inputs!$C$41)</f>
        <v>2949613.70234602</v>
      </c>
    </row>
    <row r="18" customFormat="false" ht="15" hidden="false" customHeight="false" outlineLevel="0" collapsed="false">
      <c r="B18" s="19" t="n">
        <f aca="false">B17+1</f>
        <v>5</v>
      </c>
      <c r="C18" s="14" t="n">
        <f aca="false">N17</f>
        <v>16210258.7884173</v>
      </c>
      <c r="D18" s="14" t="n">
        <f aca="false">C18*$C$8</f>
        <v>141703.775803297</v>
      </c>
      <c r="E18" s="14" t="n">
        <f aca="false">D18*(1-Inputs!$C$40)</f>
        <v>53479.0049881644</v>
      </c>
      <c r="F18" s="14" t="n">
        <f aca="false">(C18-D18)*Inputs!$C$39</f>
        <v>321371.10025228</v>
      </c>
      <c r="G18" s="14" t="n">
        <f aca="false">(C18-D18)*'Borrowing Base'!$C$9/12</f>
        <v>278237.77436737</v>
      </c>
      <c r="H18" s="14" t="n">
        <f aca="false">Inputs!$C$37</f>
        <v>10000000</v>
      </c>
      <c r="I18" s="14" t="n">
        <f aca="false">C18-D18-F18+H18</f>
        <v>25747183.9123617</v>
      </c>
      <c r="J18" s="14" t="n">
        <f aca="false">I18*$C$9</f>
        <v>809427.848798447</v>
      </c>
      <c r="K18" s="14" t="n">
        <f aca="false">I18*'Borrowing Base'!$C$59</f>
        <v>2153479.66513336</v>
      </c>
      <c r="L18" s="14" t="n">
        <f aca="false">I18-J18-K18</f>
        <v>22784276.3984299</v>
      </c>
      <c r="M18" s="14" t="n">
        <f aca="false">L18*0</f>
        <v>0</v>
      </c>
      <c r="N18" s="14" t="n">
        <f aca="false">I18-M18</f>
        <v>25747183.9123617</v>
      </c>
      <c r="O18" s="14" t="n">
        <f aca="false">L18-M18</f>
        <v>22784276.3984299</v>
      </c>
      <c r="P18" s="23" t="n">
        <f aca="false">$C$10</f>
        <v>0.820349928148999</v>
      </c>
      <c r="Q18" s="14" t="n">
        <f aca="false">MIN(Inputs!$C$7,P18*O18*(1-'Borrowing Base'!$C$60))</f>
        <v>18184162.5836179</v>
      </c>
      <c r="R18" s="14" t="n">
        <f aca="false">S17</f>
        <v>11448629.9680167</v>
      </c>
      <c r="S18" s="14" t="n">
        <f aca="false">Q18</f>
        <v>18184162.5836179</v>
      </c>
      <c r="T18" s="19" t="n">
        <f aca="false">IF(P18*O18*(1-'Borrowing Base'!$C$60)&gt;Inputs!$C$7,1,0)</f>
        <v>0</v>
      </c>
      <c r="U18" s="14" t="n">
        <f aca="false">R18*(Inputs!$C$9+Inputs!$C$10)/12</f>
        <v>56575.313091949</v>
      </c>
      <c r="V18" s="14" t="n">
        <f aca="false">MAX(0,Inputs!$C$7-R18)*Inputs!$C$11/12</f>
        <v>11896.4041799931</v>
      </c>
      <c r="W18" s="14" t="n">
        <f aca="false">Inputs!$C$38</f>
        <v>600000</v>
      </c>
      <c r="X18" s="14" t="n">
        <f aca="false">M18*(Inputs!$C$41-Inputs!$C$42)</f>
        <v>0</v>
      </c>
      <c r="Y18" s="14" t="n">
        <f aca="false">Inputs!C49</f>
        <v>1600000</v>
      </c>
      <c r="Z18" s="14" t="n">
        <f aca="false">AA17</f>
        <v>18078691.4085206</v>
      </c>
      <c r="AA18" s="14" t="n">
        <f aca="false">Z18-H18+F18+G18+E18-U18-V18-W18+(S18-R18)+X18+Y18</f>
        <v>16398840.1864577</v>
      </c>
      <c r="AB18" s="19" t="n">
        <f aca="false">IF(AA18&lt;Inputs!$C$36,1,0)</f>
        <v>0</v>
      </c>
      <c r="AC18" s="14" t="n">
        <f aca="false">AC17+M18*(1-Inputs!$C$41)</f>
        <v>2949613.70234602</v>
      </c>
    </row>
    <row r="19" customFormat="false" ht="15" hidden="false" customHeight="false" outlineLevel="0" collapsed="false">
      <c r="B19" s="19" t="n">
        <f aca="false">B18+1</f>
        <v>6</v>
      </c>
      <c r="C19" s="14" t="n">
        <f aca="false">N18</f>
        <v>25747183.9123617</v>
      </c>
      <c r="D19" s="14" t="n">
        <f aca="false">C19*$C$8</f>
        <v>225071.864940892</v>
      </c>
      <c r="E19" s="14" t="n">
        <f aca="false">D19*(1-Inputs!$C$40)</f>
        <v>84942.1218286928</v>
      </c>
      <c r="F19" s="14" t="n">
        <f aca="false">(C19-D19)*Inputs!$C$39</f>
        <v>510442.240948416</v>
      </c>
      <c r="G19" s="14" t="n">
        <f aca="false">(C19-D19)*'Borrowing Base'!$C$9/12</f>
        <v>441932.435595764</v>
      </c>
      <c r="H19" s="14" t="n">
        <f aca="false">Inputs!$C$37</f>
        <v>10000000</v>
      </c>
      <c r="I19" s="14" t="n">
        <f aca="false">C19-D19-F19+H19</f>
        <v>35011669.8064724</v>
      </c>
      <c r="J19" s="14" t="n">
        <f aca="false">I19*$C$9</f>
        <v>1100680.39560195</v>
      </c>
      <c r="K19" s="14" t="n">
        <f aca="false">I19*'Borrowing Base'!$C$59</f>
        <v>2928355.94087641</v>
      </c>
      <c r="L19" s="14" t="n">
        <f aca="false">I19-J19-K19</f>
        <v>30982633.469994</v>
      </c>
      <c r="M19" s="14" t="n">
        <f aca="false">L19*Inputs!C51</f>
        <v>30982633.469994</v>
      </c>
      <c r="N19" s="14" t="n">
        <f aca="false">I19-M19</f>
        <v>4029036.33647836</v>
      </c>
      <c r="O19" s="14" t="n">
        <f aca="false">L19-M19</f>
        <v>0</v>
      </c>
      <c r="P19" s="23" t="n">
        <f aca="false">$C$10</f>
        <v>0.820349928148999</v>
      </c>
      <c r="Q19" s="14" t="n">
        <f aca="false">MIN(Inputs!$C$7,P19*O19*(1-'Borrowing Base'!$C$60))</f>
        <v>0</v>
      </c>
      <c r="R19" s="14" t="n">
        <f aca="false">S18</f>
        <v>18184162.5836179</v>
      </c>
      <c r="S19" s="14" t="n">
        <f aca="false">Q19</f>
        <v>0</v>
      </c>
      <c r="T19" s="19" t="n">
        <f aca="false">IF(P19*O19*(1-'Borrowing Base'!$C$60)&gt;Inputs!$C$7,1,0)</f>
        <v>0</v>
      </c>
      <c r="U19" s="14" t="n">
        <f aca="false">R19*(Inputs!$C$9+Inputs!$C$10)/12</f>
        <v>89860.0701007118</v>
      </c>
      <c r="V19" s="14" t="n">
        <f aca="false">MAX(0,Inputs!$C$7-R19)*Inputs!$C$11/12</f>
        <v>9089.93225682588</v>
      </c>
      <c r="W19" s="14" t="n">
        <f aca="false">Inputs!$C$38</f>
        <v>600000</v>
      </c>
      <c r="X19" s="14" t="n">
        <f aca="false">M19*(Inputs!$C$41-Inputs!$C$42)</f>
        <v>28813849.1270945</v>
      </c>
      <c r="Y19" s="14" t="n">
        <f aca="false">Inputs!C49</f>
        <v>1600000</v>
      </c>
      <c r="Z19" s="14" t="n">
        <f aca="false">AA18</f>
        <v>16398840.1864577</v>
      </c>
      <c r="AA19" s="14" t="n">
        <f aca="false">Z19-H19+F19+G19+E19-U19-V19-W19+(S19-R19)+X19+Y19</f>
        <v>18966893.5259496</v>
      </c>
      <c r="AB19" s="19" t="n">
        <f aca="false">IF(AA19&lt;Inputs!$C$36,1,0)</f>
        <v>0</v>
      </c>
      <c r="AC19" s="14" t="n">
        <f aca="false">AC18+M19*(1-Inputs!$C$41)</f>
        <v>4808571.71054566</v>
      </c>
    </row>
    <row r="20" customFormat="false" ht="15" hidden="false" customHeight="false" outlineLevel="0" collapsed="false">
      <c r="B20" s="19" t="n">
        <f aca="false">B19+1</f>
        <v>7</v>
      </c>
      <c r="C20" s="14" t="n">
        <f aca="false">N19</f>
        <v>4029036.33647836</v>
      </c>
      <c r="D20" s="14" t="n">
        <f aca="false">C20*$C$8</f>
        <v>35220.2681758304</v>
      </c>
      <c r="E20" s="14" t="n">
        <f aca="false">D20*(1-Inputs!$C$40)</f>
        <v>13292.1292095584</v>
      </c>
      <c r="F20" s="14" t="n">
        <f aca="false">(C20-D20)*Inputs!$C$39</f>
        <v>79876.3213660506</v>
      </c>
      <c r="G20" s="14" t="n">
        <f aca="false">(C20-D20)*'Borrowing Base'!$C$9/12</f>
        <v>69155.595708812</v>
      </c>
      <c r="H20" s="14" t="n">
        <f aca="false">Inputs!$C$37</f>
        <v>10000000</v>
      </c>
      <c r="I20" s="14" t="n">
        <f aca="false">C20-D20-F20+H20</f>
        <v>13913939.7469365</v>
      </c>
      <c r="J20" s="14" t="n">
        <f aca="false">I20*$C$9</f>
        <v>437419.888559803</v>
      </c>
      <c r="K20" s="14" t="n">
        <f aca="false">I20*'Borrowing Base'!$C$59</f>
        <v>1163753.92388185</v>
      </c>
      <c r="L20" s="14" t="n">
        <f aca="false">I20-J20-K20</f>
        <v>12312765.9344948</v>
      </c>
      <c r="M20" s="14" t="n">
        <f aca="false">L20*0</f>
        <v>0</v>
      </c>
      <c r="N20" s="14" t="n">
        <f aca="false">I20-M20</f>
        <v>13913939.7469365</v>
      </c>
      <c r="O20" s="14" t="n">
        <f aca="false">L20-M20</f>
        <v>12312765.9344948</v>
      </c>
      <c r="P20" s="23" t="n">
        <f aca="false">$C$10</f>
        <v>0.820349928148999</v>
      </c>
      <c r="Q20" s="14" t="n">
        <f aca="false">MIN(Inputs!$C$7,P20*O20*(1-'Borrowing Base'!$C$60))</f>
        <v>9826835.56377129</v>
      </c>
      <c r="R20" s="14" t="n">
        <f aca="false">S19</f>
        <v>0</v>
      </c>
      <c r="S20" s="14" t="n">
        <f aca="false">Q20</f>
        <v>9826835.56377129</v>
      </c>
      <c r="T20" s="19" t="n">
        <f aca="false">IF(P20*O20*(1-'Borrowing Base'!$C$60)&gt;Inputs!$C$7,1,0)</f>
        <v>0</v>
      </c>
      <c r="U20" s="14" t="n">
        <f aca="false">R20*(Inputs!$C$9+Inputs!$C$10)/12</f>
        <v>0</v>
      </c>
      <c r="V20" s="14" t="n">
        <f aca="false">MAX(0,Inputs!$C$7-R20)*Inputs!$C$11/12</f>
        <v>16666.6666666667</v>
      </c>
      <c r="W20" s="14" t="n">
        <f aca="false">Inputs!$C$38</f>
        <v>600000</v>
      </c>
      <c r="X20" s="14" t="n">
        <f aca="false">M20*(Inputs!$C$41-Inputs!$C$42)</f>
        <v>0</v>
      </c>
      <c r="Y20" s="14" t="n">
        <f aca="false">Inputs!C49</f>
        <v>1600000</v>
      </c>
      <c r="Z20" s="14" t="n">
        <f aca="false">AA19</f>
        <v>18966893.5259496</v>
      </c>
      <c r="AA20" s="14" t="n">
        <f aca="false">Z20-H20+F20+G20+E20-U20-V20-W20+(S20-R20)+X20+Y20</f>
        <v>19939386.4693386</v>
      </c>
      <c r="AB20" s="19" t="n">
        <f aca="false">IF(AA20&lt;Inputs!$C$36,1,0)</f>
        <v>0</v>
      </c>
      <c r="AC20" s="14" t="n">
        <f aca="false">AC19+M20*(1-Inputs!$C$41)</f>
        <v>4808571.71054566</v>
      </c>
    </row>
    <row r="21" customFormat="false" ht="15" hidden="false" customHeight="false" outlineLevel="0" collapsed="false">
      <c r="B21" s="19" t="n">
        <f aca="false">B20+1</f>
        <v>8</v>
      </c>
      <c r="C21" s="14" t="n">
        <f aca="false">N20</f>
        <v>13913939.7469365</v>
      </c>
      <c r="D21" s="14" t="n">
        <f aca="false">C21*$C$8</f>
        <v>121630.24811481</v>
      </c>
      <c r="E21" s="14" t="n">
        <f aca="false">D21*(1-Inputs!$C$40)</f>
        <v>45903.2556385293</v>
      </c>
      <c r="F21" s="14" t="n">
        <f aca="false">(C21-D21)*Inputs!$C$39</f>
        <v>275846.189976433</v>
      </c>
      <c r="G21" s="14" t="n">
        <f aca="false">(C21-D21)*'Borrowing Base'!$C$9/12</f>
        <v>238823.061272502</v>
      </c>
      <c r="H21" s="14" t="n">
        <f aca="false">Inputs!$C$37</f>
        <v>10000000</v>
      </c>
      <c r="I21" s="14" t="n">
        <f aca="false">C21-D21-F21+H21</f>
        <v>23516463.3088452</v>
      </c>
      <c r="J21" s="14" t="n">
        <f aca="false">I21*$C$9</f>
        <v>739299.504451328</v>
      </c>
      <c r="K21" s="14" t="n">
        <f aca="false">I21*'Borrowing Base'!$C$59</f>
        <v>1966903.47588416</v>
      </c>
      <c r="L21" s="14" t="n">
        <f aca="false">I21-J21-K21</f>
        <v>20810260.3285098</v>
      </c>
      <c r="M21" s="14" t="n">
        <f aca="false">L21*0</f>
        <v>0</v>
      </c>
      <c r="N21" s="14" t="n">
        <f aca="false">I21-M21</f>
        <v>23516463.3088452</v>
      </c>
      <c r="O21" s="14" t="n">
        <f aca="false">L21-M21</f>
        <v>20810260.3285098</v>
      </c>
      <c r="P21" s="23" t="n">
        <f aca="false">$C$10</f>
        <v>0.820349928148999</v>
      </c>
      <c r="Q21" s="14" t="n">
        <f aca="false">MIN(Inputs!$C$7,P21*O21*(1-'Borrowing Base'!$C$60))</f>
        <v>16608697.6212732</v>
      </c>
      <c r="R21" s="14" t="n">
        <f aca="false">S20</f>
        <v>9826835.56377129</v>
      </c>
      <c r="S21" s="14" t="n">
        <f aca="false">Q21</f>
        <v>16608697.6212732</v>
      </c>
      <c r="T21" s="19" t="n">
        <f aca="false">IF(P21*O21*(1-'Borrowing Base'!$C$60)&gt;Inputs!$C$7,1,0)</f>
        <v>0</v>
      </c>
      <c r="U21" s="14" t="n">
        <f aca="false">R21*(Inputs!$C$9+Inputs!$C$10)/12</f>
        <v>48560.9457443031</v>
      </c>
      <c r="V21" s="14" t="n">
        <f aca="false">MAX(0,Inputs!$C$7-R21)*Inputs!$C$11/12</f>
        <v>12572.1518484286</v>
      </c>
      <c r="W21" s="14" t="n">
        <f aca="false">Inputs!$C$38</f>
        <v>600000</v>
      </c>
      <c r="X21" s="14" t="n">
        <f aca="false">M21*(Inputs!$C$41-Inputs!$C$42)</f>
        <v>0</v>
      </c>
      <c r="Y21" s="14" t="n">
        <f aca="false">Inputs!C49</f>
        <v>1600000</v>
      </c>
      <c r="Z21" s="14" t="n">
        <f aca="false">AA20</f>
        <v>19939386.4693386</v>
      </c>
      <c r="AA21" s="14" t="n">
        <f aca="false">Z21-H21+F21+G21+E21-U21-V21-W21+(S21-R21)+X21+Y21</f>
        <v>18220687.9361353</v>
      </c>
      <c r="AB21" s="19" t="n">
        <f aca="false">IF(AA21&lt;Inputs!$C$36,1,0)</f>
        <v>0</v>
      </c>
      <c r="AC21" s="14" t="n">
        <f aca="false">AC20+M21*(1-Inputs!$C$41)</f>
        <v>4808571.71054566</v>
      </c>
    </row>
    <row r="22" customFormat="false" ht="15" hidden="false" customHeight="false" outlineLevel="0" collapsed="false">
      <c r="B22" s="19" t="n">
        <f aca="false">B21+1</f>
        <v>9</v>
      </c>
      <c r="C22" s="14" t="n">
        <f aca="false">N21</f>
        <v>23516463.3088452</v>
      </c>
      <c r="D22" s="14" t="n">
        <f aca="false">C22*$C$8</f>
        <v>205571.773276325</v>
      </c>
      <c r="E22" s="14" t="n">
        <f aca="false">D22*(1-Inputs!$C$40)</f>
        <v>77582.7872344851</v>
      </c>
      <c r="F22" s="14" t="n">
        <f aca="false">(C22-D22)*Inputs!$C$39</f>
        <v>466217.830711378</v>
      </c>
      <c r="G22" s="14" t="n">
        <f aca="false">(C22-D22)*'Borrowing Base'!$C$9/12</f>
        <v>403643.673888804</v>
      </c>
      <c r="H22" s="14" t="n">
        <f aca="false">Inputs!$C$37</f>
        <v>10000000</v>
      </c>
      <c r="I22" s="14" t="n">
        <f aca="false">C22-D22-F22+H22</f>
        <v>32844673.7048575</v>
      </c>
      <c r="J22" s="14" t="n">
        <f aca="false">I22*$C$9</f>
        <v>1032555.39215089</v>
      </c>
      <c r="K22" s="14" t="n">
        <f aca="false">I22*'Borrowing Base'!$C$59</f>
        <v>2747109.63234282</v>
      </c>
      <c r="L22" s="14" t="n">
        <f aca="false">I22-J22-K22</f>
        <v>29065008.6803638</v>
      </c>
      <c r="M22" s="14" t="n">
        <f aca="false">L22*Inputs!C52</f>
        <v>29065008.6803638</v>
      </c>
      <c r="N22" s="14" t="n">
        <f aca="false">I22-M22</f>
        <v>3779665.02449371</v>
      </c>
      <c r="O22" s="14" t="n">
        <f aca="false">L22-M22</f>
        <v>0</v>
      </c>
      <c r="P22" s="23" t="n">
        <f aca="false">$C$10</f>
        <v>0.820349928148999</v>
      </c>
      <c r="Q22" s="14" t="n">
        <f aca="false">MIN(Inputs!$C$7,P22*O22*(1-'Borrowing Base'!$C$60))</f>
        <v>0</v>
      </c>
      <c r="R22" s="14" t="n">
        <f aca="false">S21</f>
        <v>16608697.6212732</v>
      </c>
      <c r="S22" s="14" t="n">
        <f aca="false">Q22</f>
        <v>0</v>
      </c>
      <c r="T22" s="19" t="n">
        <f aca="false">IF(P22*O22*(1-'Borrowing Base'!$C$60)&gt;Inputs!$C$7,1,0)</f>
        <v>0</v>
      </c>
      <c r="U22" s="14" t="n">
        <f aca="false">R22*(Inputs!$C$9+Inputs!$C$10)/12</f>
        <v>82074.647411792</v>
      </c>
      <c r="V22" s="14" t="n">
        <f aca="false">MAX(0,Inputs!$C$7-R22)*Inputs!$C$11/12</f>
        <v>9746.37599113615</v>
      </c>
      <c r="W22" s="14" t="n">
        <f aca="false">Inputs!$C$38</f>
        <v>600000</v>
      </c>
      <c r="X22" s="14" t="n">
        <f aca="false">M22*(Inputs!$C$41-Inputs!$C$42)</f>
        <v>27030458.0727384</v>
      </c>
      <c r="Y22" s="14" t="n">
        <f aca="false">Inputs!C49</f>
        <v>1600000</v>
      </c>
      <c r="Z22" s="14" t="n">
        <f aca="false">AA21</f>
        <v>18220687.9361353</v>
      </c>
      <c r="AA22" s="14" t="n">
        <f aca="false">Z22-H22+F22+G22+E22-U22-V22-W22+(S22-R22)+X22+Y22</f>
        <v>20498071.6560322</v>
      </c>
      <c r="AB22" s="19" t="n">
        <f aca="false">IF(AA22&lt;Inputs!$C$36,1,0)</f>
        <v>0</v>
      </c>
      <c r="AC22" s="14" t="n">
        <f aca="false">AC21+M22*(1-Inputs!$C$41)</f>
        <v>6552472.23136749</v>
      </c>
    </row>
    <row r="23" customFormat="false" ht="15" hidden="false" customHeight="false" outlineLevel="0" collapsed="false">
      <c r="B23" s="19" t="n">
        <f aca="false">B22+1</f>
        <v>10</v>
      </c>
      <c r="C23" s="14" t="n">
        <f aca="false">N22</f>
        <v>3779665.02449371</v>
      </c>
      <c r="D23" s="14" t="n">
        <f aca="false">C23*$C$8</f>
        <v>33040.3611831983</v>
      </c>
      <c r="E23" s="14" t="n">
        <f aca="false">D23*(1-Inputs!$C$40)</f>
        <v>12469.432310539</v>
      </c>
      <c r="F23" s="14" t="n">
        <f aca="false">(C23-D23)*Inputs!$C$39</f>
        <v>74932.4932662103</v>
      </c>
      <c r="G23" s="14" t="n">
        <f aca="false">(C23-D23)*'Borrowing Base'!$C$9/12</f>
        <v>64875.3112455401</v>
      </c>
      <c r="H23" s="14" t="n">
        <f aca="false">Inputs!$C$37</f>
        <v>10000000</v>
      </c>
      <c r="I23" s="14" t="n">
        <f aca="false">C23-D23-F23+H23</f>
        <v>13671692.1700443</v>
      </c>
      <c r="J23" s="14" t="n">
        <f aca="false">I23*$C$9</f>
        <v>429804.223261885</v>
      </c>
      <c r="K23" s="14" t="n">
        <f aca="false">I23*'Borrowing Base'!$C$59</f>
        <v>1143492.47577394</v>
      </c>
      <c r="L23" s="14" t="n">
        <f aca="false">I23-J23-K23</f>
        <v>12098395.4710085</v>
      </c>
      <c r="M23" s="14" t="n">
        <f aca="false">L23*0</f>
        <v>0</v>
      </c>
      <c r="N23" s="14" t="n">
        <f aca="false">I23-M23</f>
        <v>13671692.1700443</v>
      </c>
      <c r="O23" s="14" t="n">
        <f aca="false">L23-M23</f>
        <v>12098395.4710085</v>
      </c>
      <c r="P23" s="23" t="n">
        <f aca="false">$C$10</f>
        <v>0.820349928148999</v>
      </c>
      <c r="Q23" s="14" t="n">
        <f aca="false">MIN(Inputs!$C$7,P23*O23*(1-'Borrowing Base'!$C$60))</f>
        <v>9655746.19964166</v>
      </c>
      <c r="R23" s="14" t="n">
        <f aca="false">S22</f>
        <v>0</v>
      </c>
      <c r="S23" s="14" t="n">
        <f aca="false">Q23</f>
        <v>9655746.19964166</v>
      </c>
      <c r="T23" s="19" t="n">
        <f aca="false">IF(P23*O23*(1-'Borrowing Base'!$C$60)&gt;Inputs!$C$7,1,0)</f>
        <v>0</v>
      </c>
      <c r="U23" s="14" t="n">
        <f aca="false">R23*(Inputs!$C$9+Inputs!$C$10)/12</f>
        <v>0</v>
      </c>
      <c r="V23" s="14" t="n">
        <f aca="false">MAX(0,Inputs!$C$7-R23)*Inputs!$C$11/12</f>
        <v>16666.6666666667</v>
      </c>
      <c r="W23" s="14" t="n">
        <f aca="false">Inputs!$C$38</f>
        <v>600000</v>
      </c>
      <c r="X23" s="14" t="n">
        <f aca="false">M23*(Inputs!$C$41-Inputs!$C$42)</f>
        <v>0</v>
      </c>
      <c r="Y23" s="14" t="n">
        <f aca="false">Inputs!C49</f>
        <v>1600000</v>
      </c>
      <c r="Z23" s="14" t="n">
        <f aca="false">AA22</f>
        <v>20498071.6560322</v>
      </c>
      <c r="AA23" s="14" t="n">
        <f aca="false">Z23-H23+F23+G23+E23-U23-V23-W23+(S23-R23)+X23+Y23</f>
        <v>21289428.4258294</v>
      </c>
      <c r="AB23" s="19" t="n">
        <f aca="false">IF(AA23&lt;Inputs!$C$36,1,0)</f>
        <v>0</v>
      </c>
      <c r="AC23" s="14" t="n">
        <f aca="false">AC22+M23*(1-Inputs!$C$41)</f>
        <v>6552472.23136749</v>
      </c>
    </row>
    <row r="24" customFormat="false" ht="15" hidden="false" customHeight="false" outlineLevel="0" collapsed="false">
      <c r="B24" s="19" t="n">
        <f aca="false">B23+1</f>
        <v>11</v>
      </c>
      <c r="C24" s="14" t="n">
        <f aca="false">N23</f>
        <v>13671692.1700443</v>
      </c>
      <c r="D24" s="14" t="n">
        <f aca="false">C24*$C$8</f>
        <v>119512.614042901</v>
      </c>
      <c r="E24" s="14" t="n">
        <f aca="false">D24*(1-Inputs!$C$40)</f>
        <v>45104.0605397907</v>
      </c>
      <c r="F24" s="14" t="n">
        <f aca="false">(C24-D24)*Inputs!$C$39</f>
        <v>271043.591120028</v>
      </c>
      <c r="G24" s="14" t="n">
        <f aca="false">(C24-D24)*'Borrowing Base'!$C$9/12</f>
        <v>234665.050748418</v>
      </c>
      <c r="H24" s="14" t="n">
        <f aca="false">Inputs!$C$37</f>
        <v>10000000</v>
      </c>
      <c r="I24" s="14" t="n">
        <f aca="false">C24-D24-F24+H24</f>
        <v>23281135.9648814</v>
      </c>
      <c r="J24" s="14" t="n">
        <f aca="false">I24*$C$9</f>
        <v>731901.3941789</v>
      </c>
      <c r="K24" s="14" t="n">
        <f aca="false">I24*'Borrowing Base'!$C$59</f>
        <v>1947220.83208121</v>
      </c>
      <c r="L24" s="14" t="n">
        <f aca="false">I24-J24-K24</f>
        <v>20602013.7386213</v>
      </c>
      <c r="M24" s="14" t="n">
        <f aca="false">L24*0</f>
        <v>0</v>
      </c>
      <c r="N24" s="14" t="n">
        <f aca="false">I24-M24</f>
        <v>23281135.9648814</v>
      </c>
      <c r="O24" s="14" t="n">
        <f aca="false">L24-M24</f>
        <v>20602013.7386213</v>
      </c>
      <c r="P24" s="23" t="n">
        <f aca="false">$C$10</f>
        <v>0.820349928148999</v>
      </c>
      <c r="Q24" s="14" t="n">
        <f aca="false">MIN(Inputs!$C$7,P24*O24*(1-'Borrowing Base'!$C$60))</f>
        <v>16442495.7291527</v>
      </c>
      <c r="R24" s="14" t="n">
        <f aca="false">S23</f>
        <v>9655746.19964166</v>
      </c>
      <c r="S24" s="14" t="n">
        <f aca="false">Q24</f>
        <v>16442495.7291527</v>
      </c>
      <c r="T24" s="19" t="n">
        <f aca="false">IF(P24*O24*(1-'Borrowing Base'!$C$60)&gt;Inputs!$C$7,1,0)</f>
        <v>0</v>
      </c>
      <c r="U24" s="14" t="n">
        <f aca="false">R24*(Inputs!$C$9+Inputs!$C$10)/12</f>
        <v>47715.4791365625</v>
      </c>
      <c r="V24" s="14" t="n">
        <f aca="false">MAX(0,Inputs!$C$7-R24)*Inputs!$C$11/12</f>
        <v>12643.4390834826</v>
      </c>
      <c r="W24" s="14" t="n">
        <f aca="false">Inputs!$C$38</f>
        <v>600000</v>
      </c>
      <c r="X24" s="14" t="n">
        <f aca="false">M24*(Inputs!$C$41-Inputs!$C$42)</f>
        <v>0</v>
      </c>
      <c r="Y24" s="14" t="n">
        <f aca="false">Inputs!C49</f>
        <v>1600000</v>
      </c>
      <c r="Z24" s="14" t="n">
        <f aca="false">AA23</f>
        <v>21289428.4258294</v>
      </c>
      <c r="AA24" s="14" t="n">
        <f aca="false">Z24-H24+F24+G24+E24-U24-V24-W24+(S24-R24)+X24+Y24</f>
        <v>19566631.7395287</v>
      </c>
      <c r="AB24" s="19" t="n">
        <f aca="false">IF(AA24&lt;Inputs!$C$36,1,0)</f>
        <v>0</v>
      </c>
      <c r="AC24" s="14" t="n">
        <f aca="false">AC23+M24*(1-Inputs!$C$41)</f>
        <v>6552472.23136749</v>
      </c>
    </row>
    <row r="25" customFormat="false" ht="15" hidden="false" customHeight="false" outlineLevel="0" collapsed="false">
      <c r="B25" s="21" t="n">
        <f aca="false">B24+1</f>
        <v>12</v>
      </c>
      <c r="C25" s="22" t="n">
        <f aca="false">N24</f>
        <v>23281135.9648814</v>
      </c>
      <c r="D25" s="22" t="n">
        <f aca="false">C25*$C$8</f>
        <v>203514.633188391</v>
      </c>
      <c r="E25" s="22" t="n">
        <f aca="false">D25*(1-Inputs!$C$40)</f>
        <v>76806.4225652987</v>
      </c>
      <c r="F25" s="22" t="n">
        <f aca="false">(C25-D25)*Inputs!$C$39</f>
        <v>461552.42663386</v>
      </c>
      <c r="G25" s="22" t="n">
        <f aca="false">(C25-D25)*'Borrowing Base'!$C$9/12</f>
        <v>399604.444331342</v>
      </c>
      <c r="H25" s="22" t="n">
        <f aca="false">Inputs!$C$37</f>
        <v>10000000</v>
      </c>
      <c r="I25" s="22" t="n">
        <f aca="false">C25-D25-F25+H25</f>
        <v>32616068.9050591</v>
      </c>
      <c r="J25" s="22" t="n">
        <f aca="false">I25*$C$9</f>
        <v>1025368.62205768</v>
      </c>
      <c r="K25" s="22" t="n">
        <f aca="false">I25*'Borrowing Base'!$C$59</f>
        <v>2727989.25827033</v>
      </c>
      <c r="L25" s="22" t="n">
        <f aca="false">I25-J25-K25</f>
        <v>28862711.0247311</v>
      </c>
      <c r="M25" s="22" t="n">
        <f aca="false">L25*Inputs!C53</f>
        <v>28862711.0247311</v>
      </c>
      <c r="N25" s="22" t="n">
        <f aca="false">I25-M25</f>
        <v>3753357.880328</v>
      </c>
      <c r="O25" s="22" t="n">
        <f aca="false">L25-M25</f>
        <v>0</v>
      </c>
      <c r="P25" s="29" t="n">
        <f aca="false">$C$10</f>
        <v>0.820349928148999</v>
      </c>
      <c r="Q25" s="22" t="n">
        <f aca="false">MIN(Inputs!$C$7,P25*O25*(1-'Borrowing Base'!$C$60))</f>
        <v>0</v>
      </c>
      <c r="R25" s="22" t="n">
        <f aca="false">S24</f>
        <v>16442495.7291527</v>
      </c>
      <c r="S25" s="22" t="n">
        <f aca="false">Q25</f>
        <v>0</v>
      </c>
      <c r="T25" s="21" t="n">
        <f aca="false">IF(P25*O25*(1-'Borrowing Base'!$C$60)&gt;Inputs!$C$7,1,0)</f>
        <v>0</v>
      </c>
      <c r="U25" s="22" t="n">
        <f aca="false">R25*(Inputs!$C$9+Inputs!$C$10)/12</f>
        <v>81253.333061563</v>
      </c>
      <c r="V25" s="22" t="n">
        <f aca="false">MAX(0,Inputs!$C$7-R25)*Inputs!$C$11/12</f>
        <v>9815.6267795197</v>
      </c>
      <c r="W25" s="22" t="n">
        <f aca="false">Inputs!$C$38</f>
        <v>600000</v>
      </c>
      <c r="X25" s="22" t="n">
        <f aca="false">M25*(Inputs!$C$41-Inputs!$C$42)</f>
        <v>26842321.2529999</v>
      </c>
      <c r="Y25" s="22" t="n">
        <f aca="false">Inputs!C49</f>
        <v>1600000</v>
      </c>
      <c r="Z25" s="22" t="n">
        <f aca="false">AA24</f>
        <v>19566631.7395287</v>
      </c>
      <c r="AA25" s="22" t="n">
        <f aca="false">Z25-H25+F25+G25+E25-U25-V25-W25+(S25-R25)+X25+Y25</f>
        <v>21813351.5970653</v>
      </c>
      <c r="AB25" s="21" t="n">
        <f aca="false">IF(AA25&lt;Inputs!$C$36,1,0)</f>
        <v>0</v>
      </c>
      <c r="AC25" s="22" t="n">
        <f aca="false">AC24+M25*(1-Inputs!$C$41)</f>
        <v>8284234.89285136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A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44"/>
    <col collapsed="false" customWidth="true" hidden="false" outlineLevel="0" max="29" min="3" style="0" width="14"/>
  </cols>
  <sheetData>
    <row r="2" customFormat="false" ht="15" hidden="false" customHeight="false" outlineLevel="0" collapsed="false">
      <c r="B2" s="8" t="s">
        <v>1459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false" outlineLevel="0" collapsed="false">
      <c r="B3" s="10" t="s">
        <v>1427</v>
      </c>
    </row>
    <row r="5" customFormat="false" ht="15" hidden="false" customHeight="false" outlineLevel="0" collapsed="false">
      <c r="B5" s="11" t="s">
        <v>1428</v>
      </c>
      <c r="C5" s="12"/>
      <c r="D5" s="12"/>
    </row>
    <row r="6" customFormat="false" ht="15" hidden="false" customHeight="false" outlineLevel="0" collapsed="false">
      <c r="B6" s="3" t="s">
        <v>35</v>
      </c>
      <c r="C6" s="3" t="s">
        <v>36</v>
      </c>
      <c r="D6" s="3" t="s">
        <v>63</v>
      </c>
    </row>
    <row r="7" customFormat="false" ht="15" hidden="false" customHeight="false" outlineLevel="0" collapsed="false">
      <c r="B7" s="13" t="s">
        <v>123</v>
      </c>
      <c r="C7" s="24" t="n">
        <f aca="false">Inputs!D46</f>
        <v>0.2</v>
      </c>
      <c r="D7" s="13" t="s">
        <v>71</v>
      </c>
    </row>
    <row r="8" customFormat="false" ht="15" hidden="false" customHeight="false" outlineLevel="0" collapsed="false">
      <c r="B8" s="13" t="s">
        <v>1429</v>
      </c>
      <c r="C8" s="31" t="n">
        <f aca="false">1-(1-C7)^(1/12)</f>
        <v>0.0184234701262483</v>
      </c>
      <c r="D8" s="13" t="s">
        <v>71</v>
      </c>
    </row>
    <row r="9" customFormat="false" ht="15" hidden="false" customHeight="false" outlineLevel="0" collapsed="false">
      <c r="B9" s="13" t="s">
        <v>1430</v>
      </c>
      <c r="C9" s="23" t="n">
        <f aca="false">Inputs!D47</f>
        <v>0.08</v>
      </c>
      <c r="D9" s="13" t="s">
        <v>71</v>
      </c>
    </row>
    <row r="10" customFormat="false" ht="15" hidden="false" customHeight="false" outlineLevel="0" collapsed="false">
      <c r="B10" s="16" t="s">
        <v>1431</v>
      </c>
      <c r="C10" s="29" t="n">
        <f aca="false">'Borrowing Base'!$C$48-Inputs!D48</f>
        <v>0.720349928148999</v>
      </c>
      <c r="D10" s="16" t="s">
        <v>71</v>
      </c>
    </row>
    <row r="12" customFormat="false" ht="31.5" hidden="false" customHeight="true" outlineLevel="0" collapsed="false">
      <c r="B12" s="30" t="s">
        <v>1432</v>
      </c>
      <c r="C12" s="30" t="s">
        <v>1433</v>
      </c>
      <c r="D12" s="30" t="s">
        <v>1434</v>
      </c>
      <c r="E12" s="30" t="s">
        <v>1435</v>
      </c>
      <c r="F12" s="30" t="s">
        <v>1436</v>
      </c>
      <c r="G12" s="30" t="s">
        <v>1437</v>
      </c>
      <c r="H12" s="30" t="s">
        <v>1438</v>
      </c>
      <c r="I12" s="30" t="s">
        <v>1439</v>
      </c>
      <c r="J12" s="30" t="s">
        <v>1440</v>
      </c>
      <c r="K12" s="30" t="s">
        <v>1441</v>
      </c>
      <c r="L12" s="30" t="s">
        <v>1442</v>
      </c>
      <c r="M12" s="30" t="s">
        <v>1443</v>
      </c>
      <c r="N12" s="30" t="s">
        <v>1444</v>
      </c>
      <c r="O12" s="30" t="s">
        <v>1445</v>
      </c>
      <c r="P12" s="30" t="s">
        <v>1446</v>
      </c>
      <c r="Q12" s="30" t="s">
        <v>19</v>
      </c>
      <c r="R12" s="30" t="s">
        <v>1447</v>
      </c>
      <c r="S12" s="30" t="s">
        <v>1448</v>
      </c>
      <c r="T12" s="30" t="s">
        <v>1449</v>
      </c>
      <c r="U12" s="30" t="s">
        <v>1450</v>
      </c>
      <c r="V12" s="30" t="s">
        <v>1451</v>
      </c>
      <c r="W12" s="30" t="s">
        <v>1452</v>
      </c>
      <c r="X12" s="30" t="s">
        <v>1453</v>
      </c>
      <c r="Y12" s="30" t="s">
        <v>1454</v>
      </c>
      <c r="Z12" s="30" t="s">
        <v>1455</v>
      </c>
      <c r="AA12" s="30" t="s">
        <v>1456</v>
      </c>
      <c r="AB12" s="30" t="s">
        <v>1457</v>
      </c>
      <c r="AC12" s="30" t="s">
        <v>1458</v>
      </c>
    </row>
    <row r="13" customFormat="false" ht="15" hidden="false" customHeight="false" outlineLevel="0" collapsed="false">
      <c r="B13" s="32" t="n">
        <v>0</v>
      </c>
      <c r="N13" s="14" t="n">
        <f aca="false">'Borrowing Base'!C8</f>
        <v>28800313.51</v>
      </c>
      <c r="S13" s="14" t="n">
        <f aca="false">Inputs!$C$8</f>
        <v>19500000</v>
      </c>
      <c r="AA13" s="14" t="n">
        <f aca="false">Inputs!$C$35</f>
        <v>12000000</v>
      </c>
      <c r="AC13" s="14" t="n">
        <v>0</v>
      </c>
    </row>
    <row r="14" customFormat="false" ht="15" hidden="false" customHeight="false" outlineLevel="0" collapsed="false">
      <c r="B14" s="19" t="n">
        <f aca="false">B13+1</f>
        <v>1</v>
      </c>
      <c r="C14" s="14" t="n">
        <f aca="false">N13</f>
        <v>28800313.51</v>
      </c>
      <c r="D14" s="14" t="n">
        <f aca="false">C14*$C$8</f>
        <v>530601.715578072</v>
      </c>
      <c r="E14" s="14" t="n">
        <f aca="false">D14*(1-Inputs!$C$40)</f>
        <v>200249.087459164</v>
      </c>
      <c r="F14" s="14" t="n">
        <f aca="false">(C14-D14)*Inputs!$C$39</f>
        <v>565394.235888439</v>
      </c>
      <c r="G14" s="14" t="n">
        <f aca="false">(C14-D14)*'Borrowing Base'!$C$9/12</f>
        <v>489508.962412133</v>
      </c>
      <c r="H14" s="14" t="n">
        <f aca="false">Inputs!$C$37</f>
        <v>10000000</v>
      </c>
      <c r="I14" s="14" t="n">
        <f aca="false">C14-D14-F14+H14</f>
        <v>37704317.5585335</v>
      </c>
      <c r="J14" s="14" t="n">
        <f aca="false">I14*$C$9</f>
        <v>3016345.40468268</v>
      </c>
      <c r="K14" s="14" t="n">
        <f aca="false">I14*'Borrowing Base'!$C$59</f>
        <v>3153567.45135335</v>
      </c>
      <c r="L14" s="14" t="n">
        <f aca="false">I14-J14-K14</f>
        <v>31534404.7024975</v>
      </c>
      <c r="M14" s="14" t="n">
        <f aca="false">L14*0</f>
        <v>0</v>
      </c>
      <c r="N14" s="14" t="n">
        <f aca="false">I14-M14</f>
        <v>37704317.5585335</v>
      </c>
      <c r="O14" s="14" t="n">
        <f aca="false">L14-M14</f>
        <v>31534404.7024975</v>
      </c>
      <c r="P14" s="23" t="n">
        <f aca="false">$C$10</f>
        <v>0.720349928148999</v>
      </c>
      <c r="Q14" s="14" t="n">
        <f aca="false">MIN(Inputs!$C$7,P14*O14*(1-'Borrowing Base'!$C$60))</f>
        <v>22099735.4551246</v>
      </c>
      <c r="R14" s="14" t="n">
        <f aca="false">S13</f>
        <v>19500000</v>
      </c>
      <c r="S14" s="14" t="n">
        <f aca="false">Q14</f>
        <v>22099735.4551246</v>
      </c>
      <c r="T14" s="19" t="n">
        <f aca="false">IF(P14*O14*(1-'Borrowing Base'!$C$60)&gt;Inputs!$C$7,1,0)</f>
        <v>0</v>
      </c>
      <c r="U14" s="14" t="n">
        <f aca="false">R14*(Inputs!$C$9+Inputs!$C$10)/12</f>
        <v>96362.5</v>
      </c>
      <c r="V14" s="14" t="n">
        <f aca="false">MAX(0,Inputs!$C$7-R14)*Inputs!$C$11/12</f>
        <v>8541.66666666667</v>
      </c>
      <c r="W14" s="14" t="n">
        <f aca="false">Inputs!$C$38</f>
        <v>600000</v>
      </c>
      <c r="X14" s="14" t="n">
        <f aca="false">M14*(Inputs!$C$41-Inputs!$C$42)</f>
        <v>0</v>
      </c>
      <c r="Y14" s="14" t="n">
        <f aca="false">Inputs!D49</f>
        <v>800000</v>
      </c>
      <c r="Z14" s="14" t="n">
        <f aca="false">AA13</f>
        <v>12000000</v>
      </c>
      <c r="AA14" s="14" t="n">
        <f aca="false">Z14-H14+F14+G14+E14-U14-V14-W14+(S14-R14)+X14+Y14</f>
        <v>5949983.57421767</v>
      </c>
      <c r="AB14" s="19" t="n">
        <f aca="false">IF(AA14&lt;Inputs!$C$36,1,0)</f>
        <v>0</v>
      </c>
      <c r="AC14" s="14" t="n">
        <f aca="false">AC13+M14*(1-Inputs!$C$41)</f>
        <v>0</v>
      </c>
    </row>
    <row r="15" customFormat="false" ht="15" hidden="false" customHeight="false" outlineLevel="0" collapsed="false">
      <c r="B15" s="19" t="n">
        <f aca="false">B14+1</f>
        <v>2</v>
      </c>
      <c r="C15" s="14" t="n">
        <f aca="false">N14</f>
        <v>37704317.5585335</v>
      </c>
      <c r="D15" s="14" t="n">
        <f aca="false">C15*$C$8</f>
        <v>694644.368170223</v>
      </c>
      <c r="E15" s="14" t="n">
        <f aca="false">D15*(1-Inputs!$C$40)</f>
        <v>262158.784547442</v>
      </c>
      <c r="F15" s="14" t="n">
        <f aca="false">(C15-D15)*Inputs!$C$39</f>
        <v>740193.463807265</v>
      </c>
      <c r="G15" s="14" t="n">
        <f aca="false">(C15-D15)*'Borrowing Base'!$C$9/12</f>
        <v>640847.238004088</v>
      </c>
      <c r="H15" s="14" t="n">
        <f aca="false">Inputs!$C$37</f>
        <v>10000000</v>
      </c>
      <c r="I15" s="14" t="n">
        <f aca="false">C15-D15-F15+H15</f>
        <v>46269479.726556</v>
      </c>
      <c r="J15" s="14" t="n">
        <f aca="false">I15*$C$9</f>
        <v>3701558.37812448</v>
      </c>
      <c r="K15" s="14" t="n">
        <f aca="false">I15*'Borrowing Base'!$C$59</f>
        <v>3869952.69255832</v>
      </c>
      <c r="L15" s="14" t="n">
        <f aca="false">I15-J15-K15</f>
        <v>38697968.6558732</v>
      </c>
      <c r="M15" s="14" t="n">
        <f aca="false">L15*0</f>
        <v>0</v>
      </c>
      <c r="N15" s="14" t="n">
        <f aca="false">I15-M15</f>
        <v>46269479.726556</v>
      </c>
      <c r="O15" s="14" t="n">
        <f aca="false">L15-M15</f>
        <v>38697968.6558732</v>
      </c>
      <c r="P15" s="23" t="n">
        <f aca="false">$C$10</f>
        <v>0.720349928148999</v>
      </c>
      <c r="Q15" s="14" t="n">
        <f aca="false">MIN(Inputs!$C$7,P15*O15*(1-'Borrowing Base'!$C$60))</f>
        <v>27120057.5375939</v>
      </c>
      <c r="R15" s="14" t="n">
        <f aca="false">S14</f>
        <v>22099735.4551246</v>
      </c>
      <c r="S15" s="14" t="n">
        <f aca="false">Q15</f>
        <v>27120057.5375939</v>
      </c>
      <c r="T15" s="19" t="n">
        <f aca="false">IF(P15*O15*(1-'Borrowing Base'!$C$60)&gt;Inputs!$C$7,1,0)</f>
        <v>0</v>
      </c>
      <c r="U15" s="14" t="n">
        <f aca="false">R15*(Inputs!$C$9+Inputs!$C$10)/12</f>
        <v>109209.526040741</v>
      </c>
      <c r="V15" s="14" t="n">
        <f aca="false">MAX(0,Inputs!$C$7-R15)*Inputs!$C$11/12</f>
        <v>7458.44356036475</v>
      </c>
      <c r="W15" s="14" t="n">
        <f aca="false">Inputs!$C$38</f>
        <v>600000</v>
      </c>
      <c r="X15" s="14" t="n">
        <f aca="false">M15*(Inputs!$C$41-Inputs!$C$42)</f>
        <v>0</v>
      </c>
      <c r="Y15" s="14" t="n">
        <f aca="false">Inputs!D49</f>
        <v>800000</v>
      </c>
      <c r="Z15" s="14" t="n">
        <f aca="false">AA14</f>
        <v>5949983.57421767</v>
      </c>
      <c r="AA15" s="14" t="n">
        <f aca="false">Z15-H15+F15+G15+E15-U15-V15-W15+(S15-R15)+X15+Y15</f>
        <v>2696837.17344462</v>
      </c>
      <c r="AB15" s="19" t="n">
        <f aca="false">IF(AA15&lt;Inputs!$C$36,1,0)</f>
        <v>1</v>
      </c>
      <c r="AC15" s="14" t="n">
        <f aca="false">AC14+M15*(1-Inputs!$C$41)</f>
        <v>0</v>
      </c>
    </row>
    <row r="16" customFormat="false" ht="15" hidden="false" customHeight="false" outlineLevel="0" collapsed="false">
      <c r="B16" s="19" t="n">
        <f aca="false">B15+1</f>
        <v>3</v>
      </c>
      <c r="C16" s="14" t="n">
        <f aca="false">N15</f>
        <v>46269479.726556</v>
      </c>
      <c r="D16" s="14" t="n">
        <f aca="false">C16*$C$8</f>
        <v>852444.377499258</v>
      </c>
      <c r="E16" s="14" t="n">
        <f aca="false">D16*(1-Inputs!$C$40)</f>
        <v>321712.50806822</v>
      </c>
      <c r="F16" s="14" t="n">
        <f aca="false">(C16-D16)*Inputs!$C$39</f>
        <v>908340.706981135</v>
      </c>
      <c r="G16" s="14" t="n">
        <f aca="false">(C16-D16)*'Borrowing Base'!$C$9/12</f>
        <v>786426.335408863</v>
      </c>
      <c r="H16" s="14" t="n">
        <f aca="false">Inputs!$C$37</f>
        <v>10000000</v>
      </c>
      <c r="I16" s="14" t="n">
        <f aca="false">C16-D16-F16+H16</f>
        <v>54508694.6420756</v>
      </c>
      <c r="J16" s="14" t="n">
        <f aca="false">I16*$C$9</f>
        <v>4360695.57136605</v>
      </c>
      <c r="K16" s="14" t="n">
        <f aca="false">I16*'Borrowing Base'!$C$59</f>
        <v>4559075.89289078</v>
      </c>
      <c r="L16" s="14" t="n">
        <f aca="false">I16-J16-K16</f>
        <v>45588923.1778188</v>
      </c>
      <c r="M16" s="14" t="n">
        <f aca="false">L16*Inputs!D50</f>
        <v>45588923.1778188</v>
      </c>
      <c r="N16" s="14" t="n">
        <f aca="false">I16-M16</f>
        <v>8919771.46425682</v>
      </c>
      <c r="O16" s="14" t="n">
        <f aca="false">L16-M16</f>
        <v>0</v>
      </c>
      <c r="P16" s="23" t="n">
        <f aca="false">$C$10</f>
        <v>0.720349928148999</v>
      </c>
      <c r="Q16" s="14" t="n">
        <f aca="false">MIN(Inputs!$C$7,P16*O16*(1-'Borrowing Base'!$C$60))</f>
        <v>0</v>
      </c>
      <c r="R16" s="14" t="n">
        <f aca="false">S15</f>
        <v>27120057.5375939</v>
      </c>
      <c r="S16" s="14" t="n">
        <f aca="false">Q16</f>
        <v>0</v>
      </c>
      <c r="T16" s="19" t="n">
        <f aca="false">IF(P16*O16*(1-'Borrowing Base'!$C$60)&gt;Inputs!$C$7,1,0)</f>
        <v>0</v>
      </c>
      <c r="U16" s="14" t="n">
        <f aca="false">R16*(Inputs!$C$9+Inputs!$C$10)/12</f>
        <v>134018.28433161</v>
      </c>
      <c r="V16" s="14" t="n">
        <f aca="false">MAX(0,Inputs!$C$7-R16)*Inputs!$C$11/12</f>
        <v>5366.64269266923</v>
      </c>
      <c r="W16" s="14" t="n">
        <f aca="false">Inputs!$C$38</f>
        <v>600000</v>
      </c>
      <c r="X16" s="14" t="n">
        <f aca="false">M16*(Inputs!$C$41-Inputs!$C$42)</f>
        <v>42397698.5553715</v>
      </c>
      <c r="Y16" s="14" t="n">
        <f aca="false">Inputs!D49</f>
        <v>800000</v>
      </c>
      <c r="Z16" s="14" t="n">
        <f aca="false">AA15</f>
        <v>2696837.17344462</v>
      </c>
      <c r="AA16" s="14" t="n">
        <f aca="false">Z16-H16+F16+G16+E16-U16-V16-W16+(S16-R16)+X16+Y16</f>
        <v>10051572.8146562</v>
      </c>
      <c r="AB16" s="19" t="n">
        <f aca="false">IF(AA16&lt;Inputs!$C$36,1,0)</f>
        <v>0</v>
      </c>
      <c r="AC16" s="14" t="n">
        <f aca="false">AC15+M16*(1-Inputs!$C$41)</f>
        <v>2735335.39066913</v>
      </c>
    </row>
    <row r="17" customFormat="false" ht="15" hidden="false" customHeight="false" outlineLevel="0" collapsed="false">
      <c r="B17" s="19" t="n">
        <f aca="false">B16+1</f>
        <v>4</v>
      </c>
      <c r="C17" s="14" t="n">
        <f aca="false">N16</f>
        <v>8919771.46425682</v>
      </c>
      <c r="D17" s="14" t="n">
        <f aca="false">C17*$C$8</f>
        <v>164333.143104698</v>
      </c>
      <c r="E17" s="14" t="n">
        <f aca="false">D17*(1-Inputs!$C$40)</f>
        <v>62019.328207713</v>
      </c>
      <c r="F17" s="14" t="n">
        <f aca="false">(C17-D17)*Inputs!$C$39</f>
        <v>175108.766423042</v>
      </c>
      <c r="G17" s="14" t="n">
        <f aca="false">(C17-D17)*'Borrowing Base'!$C$9/12</f>
        <v>151606.268900707</v>
      </c>
      <c r="H17" s="14" t="n">
        <f aca="false">Inputs!$C$37</f>
        <v>10000000</v>
      </c>
      <c r="I17" s="14" t="n">
        <f aca="false">C17-D17-F17+H17</f>
        <v>18580329.5547291</v>
      </c>
      <c r="J17" s="14" t="n">
        <f aca="false">I17*$C$9</f>
        <v>1486426.36437833</v>
      </c>
      <c r="K17" s="14" t="n">
        <f aca="false">I17*'Borrowing Base'!$C$59</f>
        <v>1554048.08556072</v>
      </c>
      <c r="L17" s="14" t="n">
        <f aca="false">I17-J17-K17</f>
        <v>15539855.10479</v>
      </c>
      <c r="M17" s="14" t="n">
        <f aca="false">L17*0</f>
        <v>0</v>
      </c>
      <c r="N17" s="14" t="n">
        <f aca="false">I17-M17</f>
        <v>18580329.5547291</v>
      </c>
      <c r="O17" s="14" t="n">
        <f aca="false">L17-M17</f>
        <v>15539855.10479</v>
      </c>
      <c r="P17" s="23" t="n">
        <f aca="false">$C$10</f>
        <v>0.720349928148999</v>
      </c>
      <c r="Q17" s="14" t="n">
        <f aca="false">MIN(Inputs!$C$7,P17*O17*(1-'Borrowing Base'!$C$60))</f>
        <v>10890539.7158053</v>
      </c>
      <c r="R17" s="14" t="n">
        <f aca="false">S16</f>
        <v>0</v>
      </c>
      <c r="S17" s="14" t="n">
        <f aca="false">Q17</f>
        <v>10890539.7158053</v>
      </c>
      <c r="T17" s="19" t="n">
        <f aca="false">IF(P17*O17*(1-'Borrowing Base'!$C$60)&gt;Inputs!$C$7,1,0)</f>
        <v>0</v>
      </c>
      <c r="U17" s="14" t="n">
        <f aca="false">R17*(Inputs!$C$9+Inputs!$C$10)/12</f>
        <v>0</v>
      </c>
      <c r="V17" s="14" t="n">
        <f aca="false">MAX(0,Inputs!$C$7-R17)*Inputs!$C$11/12</f>
        <v>16666.6666666667</v>
      </c>
      <c r="W17" s="14" t="n">
        <f aca="false">Inputs!$C$38</f>
        <v>600000</v>
      </c>
      <c r="X17" s="14" t="n">
        <f aca="false">M17*(Inputs!$C$41-Inputs!$C$42)</f>
        <v>0</v>
      </c>
      <c r="Y17" s="14" t="n">
        <f aca="false">Inputs!D49</f>
        <v>800000</v>
      </c>
      <c r="Z17" s="14" t="n">
        <f aca="false">AA16</f>
        <v>10051572.8146562</v>
      </c>
      <c r="AA17" s="14" t="n">
        <f aca="false">Z17-H17+F17+G17+E17-U17-V17-W17+(S17-R17)+X17+Y17</f>
        <v>11514180.2273263</v>
      </c>
      <c r="AB17" s="19" t="n">
        <f aca="false">IF(AA17&lt;Inputs!$C$36,1,0)</f>
        <v>0</v>
      </c>
      <c r="AC17" s="14" t="n">
        <f aca="false">AC16+M17*(1-Inputs!$C$41)</f>
        <v>2735335.39066913</v>
      </c>
    </row>
    <row r="18" customFormat="false" ht="15" hidden="false" customHeight="false" outlineLevel="0" collapsed="false">
      <c r="B18" s="19" t="n">
        <f aca="false">B17+1</f>
        <v>5</v>
      </c>
      <c r="C18" s="14" t="n">
        <f aca="false">N17</f>
        <v>18580329.5547291</v>
      </c>
      <c r="D18" s="14" t="n">
        <f aca="false">C18*$C$8</f>
        <v>342314.1464874</v>
      </c>
      <c r="E18" s="14" t="n">
        <f aca="false">D18*(1-Inputs!$C$40)</f>
        <v>129189.358884345</v>
      </c>
      <c r="F18" s="14" t="n">
        <f aca="false">(C18-D18)*Inputs!$C$39</f>
        <v>364760.308164834</v>
      </c>
      <c r="G18" s="14" t="n">
        <f aca="false">(C18-D18)*'Borrowing Base'!$C$9/12</f>
        <v>315803.431738786</v>
      </c>
      <c r="H18" s="14" t="n">
        <f aca="false">Inputs!$C$37</f>
        <v>10000000</v>
      </c>
      <c r="I18" s="14" t="n">
        <f aca="false">C18-D18-F18+H18</f>
        <v>27873255.1000768</v>
      </c>
      <c r="J18" s="14" t="n">
        <f aca="false">I18*$C$9</f>
        <v>2229860.40800615</v>
      </c>
      <c r="K18" s="14" t="n">
        <f aca="false">I18*'Borrowing Base'!$C$59</f>
        <v>2331303.03738854</v>
      </c>
      <c r="L18" s="14" t="n">
        <f aca="false">I18-J18-K18</f>
        <v>23312091.6546822</v>
      </c>
      <c r="M18" s="14" t="n">
        <f aca="false">L18*0</f>
        <v>0</v>
      </c>
      <c r="N18" s="14" t="n">
        <f aca="false">I18-M18</f>
        <v>27873255.1000768</v>
      </c>
      <c r="O18" s="14" t="n">
        <f aca="false">L18-M18</f>
        <v>23312091.6546822</v>
      </c>
      <c r="P18" s="23" t="n">
        <f aca="false">$C$10</f>
        <v>0.720349928148999</v>
      </c>
      <c r="Q18" s="14" t="n">
        <f aca="false">MIN(Inputs!$C$7,P18*O18*(1-'Borrowing Base'!$C$60))</f>
        <v>16337427.7502468</v>
      </c>
      <c r="R18" s="14" t="n">
        <f aca="false">S17</f>
        <v>10890539.7158053</v>
      </c>
      <c r="S18" s="14" t="n">
        <f aca="false">Q18</f>
        <v>16337427.7502468</v>
      </c>
      <c r="T18" s="19" t="n">
        <f aca="false">IF(P18*O18*(1-'Borrowing Base'!$C$60)&gt;Inputs!$C$7,1,0)</f>
        <v>0</v>
      </c>
      <c r="U18" s="14" t="n">
        <f aca="false">R18*(Inputs!$C$9+Inputs!$C$10)/12</f>
        <v>53817.4170956048</v>
      </c>
      <c r="V18" s="14" t="n">
        <f aca="false">MAX(0,Inputs!$C$7-R18)*Inputs!$C$11/12</f>
        <v>12128.9417850811</v>
      </c>
      <c r="W18" s="14" t="n">
        <f aca="false">Inputs!$C$38</f>
        <v>600000</v>
      </c>
      <c r="X18" s="14" t="n">
        <f aca="false">M18*(Inputs!$C$41-Inputs!$C$42)</f>
        <v>0</v>
      </c>
      <c r="Y18" s="14" t="n">
        <f aca="false">Inputs!D49</f>
        <v>800000</v>
      </c>
      <c r="Z18" s="14" t="n">
        <f aca="false">AA17</f>
        <v>11514180.2273263</v>
      </c>
      <c r="AA18" s="14" t="n">
        <f aca="false">Z18-H18+F18+G18+E18-U18-V18-W18+(S18-R18)+X18+Y18</f>
        <v>7904875.00167499</v>
      </c>
      <c r="AB18" s="19" t="n">
        <f aca="false">IF(AA18&lt;Inputs!$C$36,1,0)</f>
        <v>0</v>
      </c>
      <c r="AC18" s="14" t="n">
        <f aca="false">AC17+M18*(1-Inputs!$C$41)</f>
        <v>2735335.39066913</v>
      </c>
    </row>
    <row r="19" customFormat="false" ht="15" hidden="false" customHeight="false" outlineLevel="0" collapsed="false">
      <c r="B19" s="19" t="n">
        <f aca="false">B18+1</f>
        <v>6</v>
      </c>
      <c r="C19" s="14" t="n">
        <f aca="false">N18</f>
        <v>27873255.1000768</v>
      </c>
      <c r="D19" s="14" t="n">
        <f aca="false">C19*$C$8</f>
        <v>513522.082657565</v>
      </c>
      <c r="E19" s="14" t="n">
        <f aca="false">D19*(1-Inputs!$C$40)</f>
        <v>193803.233994965</v>
      </c>
      <c r="F19" s="14" t="n">
        <f aca="false">(C19-D19)*Inputs!$C$39</f>
        <v>547194.660348386</v>
      </c>
      <c r="G19" s="14" t="n">
        <f aca="false">(C19-D19)*'Borrowing Base'!$C$9/12</f>
        <v>473752.071426229</v>
      </c>
      <c r="H19" s="14" t="n">
        <f aca="false">Inputs!$C$37</f>
        <v>10000000</v>
      </c>
      <c r="I19" s="14" t="n">
        <f aca="false">C19-D19-F19+H19</f>
        <v>36812538.3570709</v>
      </c>
      <c r="J19" s="14" t="n">
        <f aca="false">I19*$C$9</f>
        <v>2945003.06856567</v>
      </c>
      <c r="K19" s="14" t="n">
        <f aca="false">I19*'Borrowing Base'!$C$59</f>
        <v>3078979.55146203</v>
      </c>
      <c r="L19" s="14" t="n">
        <f aca="false">I19-J19-K19</f>
        <v>30788555.7370432</v>
      </c>
      <c r="M19" s="14" t="n">
        <f aca="false">L19*Inputs!D51</f>
        <v>30788555.7370432</v>
      </c>
      <c r="N19" s="14" t="n">
        <f aca="false">I19-M19</f>
        <v>6023982.62002771</v>
      </c>
      <c r="O19" s="14" t="n">
        <f aca="false">L19-M19</f>
        <v>0</v>
      </c>
      <c r="P19" s="23" t="n">
        <f aca="false">$C$10</f>
        <v>0.720349928148999</v>
      </c>
      <c r="Q19" s="14" t="n">
        <f aca="false">MIN(Inputs!$C$7,P19*O19*(1-'Borrowing Base'!$C$60))</f>
        <v>0</v>
      </c>
      <c r="R19" s="14" t="n">
        <f aca="false">S18</f>
        <v>16337427.7502468</v>
      </c>
      <c r="S19" s="14" t="n">
        <f aca="false">Q19</f>
        <v>0</v>
      </c>
      <c r="T19" s="19" t="n">
        <f aca="false">IF(P19*O19*(1-'Borrowing Base'!$C$60)&gt;Inputs!$C$7,1,0)</f>
        <v>0</v>
      </c>
      <c r="U19" s="14" t="n">
        <f aca="false">R19*(Inputs!$C$9+Inputs!$C$10)/12</f>
        <v>80734.1221324694</v>
      </c>
      <c r="V19" s="14" t="n">
        <f aca="false">MAX(0,Inputs!$C$7-R19)*Inputs!$C$11/12</f>
        <v>9859.40510406385</v>
      </c>
      <c r="W19" s="14" t="n">
        <f aca="false">Inputs!$C$38</f>
        <v>600000</v>
      </c>
      <c r="X19" s="14" t="n">
        <f aca="false">M19*(Inputs!$C$41-Inputs!$C$42)</f>
        <v>28633356.8354502</v>
      </c>
      <c r="Y19" s="14" t="n">
        <f aca="false">Inputs!D49</f>
        <v>800000</v>
      </c>
      <c r="Z19" s="14" t="n">
        <f aca="false">AA18</f>
        <v>7904875.00167499</v>
      </c>
      <c r="AA19" s="14" t="n">
        <f aca="false">Z19-H19+F19+G19+E19-U19-V19-W19+(S19-R19)+X19+Y19</f>
        <v>11524960.5254114</v>
      </c>
      <c r="AB19" s="19" t="n">
        <f aca="false">IF(AA19&lt;Inputs!$C$36,1,0)</f>
        <v>0</v>
      </c>
      <c r="AC19" s="14" t="n">
        <f aca="false">AC18+M19*(1-Inputs!$C$41)</f>
        <v>4582648.73489172</v>
      </c>
    </row>
    <row r="20" customFormat="false" ht="15" hidden="false" customHeight="false" outlineLevel="0" collapsed="false">
      <c r="B20" s="19" t="n">
        <f aca="false">B19+1</f>
        <v>7</v>
      </c>
      <c r="C20" s="14" t="n">
        <f aca="false">N19</f>
        <v>6023982.62002771</v>
      </c>
      <c r="D20" s="14" t="n">
        <f aca="false">C20*$C$8</f>
        <v>110982.66384112</v>
      </c>
      <c r="E20" s="14" t="n">
        <f aca="false">D20*(1-Inputs!$C$40)</f>
        <v>41884.8573336386</v>
      </c>
      <c r="F20" s="14" t="n">
        <f aca="false">(C20-D20)*Inputs!$C$39</f>
        <v>118259.999123732</v>
      </c>
      <c r="G20" s="14" t="n">
        <f aca="false">(C20-D20)*'Borrowing Base'!$C$9/12</f>
        <v>102387.547999941</v>
      </c>
      <c r="H20" s="14" t="n">
        <f aca="false">Inputs!$C$37</f>
        <v>10000000</v>
      </c>
      <c r="I20" s="14" t="n">
        <f aca="false">C20-D20-F20+H20</f>
        <v>15794739.9570629</v>
      </c>
      <c r="J20" s="14" t="n">
        <f aca="false">I20*$C$9</f>
        <v>1263579.19656503</v>
      </c>
      <c r="K20" s="14" t="n">
        <f aca="false">I20*'Borrowing Base'!$C$59</f>
        <v>1321062.97253245</v>
      </c>
      <c r="L20" s="14" t="n">
        <f aca="false">I20-J20-K20</f>
        <v>13210097.7879654</v>
      </c>
      <c r="M20" s="14" t="n">
        <f aca="false">L20*0</f>
        <v>0</v>
      </c>
      <c r="N20" s="14" t="n">
        <f aca="false">I20-M20</f>
        <v>15794739.9570629</v>
      </c>
      <c r="O20" s="14" t="n">
        <f aca="false">L20-M20</f>
        <v>13210097.7879654</v>
      </c>
      <c r="P20" s="23" t="n">
        <f aca="false">$C$10</f>
        <v>0.720349928148999</v>
      </c>
      <c r="Q20" s="14" t="n">
        <f aca="false">MIN(Inputs!$C$7,P20*O20*(1-'Borrowing Base'!$C$60))</f>
        <v>9257814.41586055</v>
      </c>
      <c r="R20" s="14" t="n">
        <f aca="false">S19</f>
        <v>0</v>
      </c>
      <c r="S20" s="14" t="n">
        <f aca="false">Q20</f>
        <v>9257814.41586055</v>
      </c>
      <c r="T20" s="19" t="n">
        <f aca="false">IF(P20*O20*(1-'Borrowing Base'!$C$60)&gt;Inputs!$C$7,1,0)</f>
        <v>0</v>
      </c>
      <c r="U20" s="14" t="n">
        <f aca="false">R20*(Inputs!$C$9+Inputs!$C$10)/12</f>
        <v>0</v>
      </c>
      <c r="V20" s="14" t="n">
        <f aca="false">MAX(0,Inputs!$C$7-R20)*Inputs!$C$11/12</f>
        <v>16666.6666666667</v>
      </c>
      <c r="W20" s="14" t="n">
        <f aca="false">Inputs!$C$38</f>
        <v>600000</v>
      </c>
      <c r="X20" s="14" t="n">
        <f aca="false">M20*(Inputs!$C$41-Inputs!$C$42)</f>
        <v>0</v>
      </c>
      <c r="Y20" s="14" t="n">
        <f aca="false">Inputs!D49</f>
        <v>800000</v>
      </c>
      <c r="Z20" s="14" t="n">
        <f aca="false">AA19</f>
        <v>11524960.5254114</v>
      </c>
      <c r="AA20" s="14" t="n">
        <f aca="false">Z20-H20+F20+G20+E20-U20-V20-W20+(S20-R20)+X20+Y20</f>
        <v>11228640.6790626</v>
      </c>
      <c r="AB20" s="19" t="n">
        <f aca="false">IF(AA20&lt;Inputs!$C$36,1,0)</f>
        <v>0</v>
      </c>
      <c r="AC20" s="14" t="n">
        <f aca="false">AC19+M20*(1-Inputs!$C$41)</f>
        <v>4582648.73489172</v>
      </c>
    </row>
    <row r="21" customFormat="false" ht="15" hidden="false" customHeight="false" outlineLevel="0" collapsed="false">
      <c r="B21" s="19" t="n">
        <f aca="false">B20+1</f>
        <v>8</v>
      </c>
      <c r="C21" s="14" t="n">
        <f aca="false">N20</f>
        <v>15794739.9570629</v>
      </c>
      <c r="D21" s="14" t="n">
        <f aca="false">C21*$C$8</f>
        <v>290993.919750809</v>
      </c>
      <c r="E21" s="14" t="n">
        <f aca="false">D21*(1-Inputs!$C$40)</f>
        <v>109821.105313955</v>
      </c>
      <c r="F21" s="14" t="n">
        <f aca="false">(C21-D21)*Inputs!$C$39</f>
        <v>310074.920746241</v>
      </c>
      <c r="G21" s="14" t="n">
        <f aca="false">(C21-D21)*'Borrowing Base'!$C$9/12</f>
        <v>268457.729297521</v>
      </c>
      <c r="H21" s="14" t="n">
        <f aca="false">Inputs!$C$37</f>
        <v>10000000</v>
      </c>
      <c r="I21" s="14" t="n">
        <f aca="false">C21-D21-F21+H21</f>
        <v>25193671.1165658</v>
      </c>
      <c r="J21" s="14" t="n">
        <f aca="false">I21*$C$9</f>
        <v>2015493.68932526</v>
      </c>
      <c r="K21" s="14" t="n">
        <f aca="false">I21*'Borrowing Base'!$C$59</f>
        <v>2107184.17300518</v>
      </c>
      <c r="L21" s="14" t="n">
        <f aca="false">I21-J21-K21</f>
        <v>21070993.2542354</v>
      </c>
      <c r="M21" s="14" t="n">
        <f aca="false">L21*0</f>
        <v>0</v>
      </c>
      <c r="N21" s="14" t="n">
        <f aca="false">I21-M21</f>
        <v>25193671.1165658</v>
      </c>
      <c r="O21" s="14" t="n">
        <f aca="false">L21-M21</f>
        <v>21070993.2542354</v>
      </c>
      <c r="P21" s="23" t="n">
        <f aca="false">$C$10</f>
        <v>0.720349928148999</v>
      </c>
      <c r="Q21" s="14" t="n">
        <f aca="false">MIN(Inputs!$C$7,P21*O21*(1-'Borrowing Base'!$C$60))</f>
        <v>14766835.812773</v>
      </c>
      <c r="R21" s="14" t="n">
        <f aca="false">S20</f>
        <v>9257814.41586055</v>
      </c>
      <c r="S21" s="14" t="n">
        <f aca="false">Q21</f>
        <v>14766835.812773</v>
      </c>
      <c r="T21" s="19" t="n">
        <f aca="false">IF(P21*O21*(1-'Borrowing Base'!$C$60)&gt;Inputs!$C$7,1,0)</f>
        <v>0</v>
      </c>
      <c r="U21" s="14" t="n">
        <f aca="false">R21*(Inputs!$C$9+Inputs!$C$10)/12</f>
        <v>45749.0329050442</v>
      </c>
      <c r="V21" s="14" t="n">
        <f aca="false">MAX(0,Inputs!$C$7-R21)*Inputs!$C$11/12</f>
        <v>12809.2439933914</v>
      </c>
      <c r="W21" s="14" t="n">
        <f aca="false">Inputs!$C$38</f>
        <v>600000</v>
      </c>
      <c r="X21" s="14" t="n">
        <f aca="false">M21*(Inputs!$C$41-Inputs!$C$42)</f>
        <v>0</v>
      </c>
      <c r="Y21" s="14" t="n">
        <f aca="false">Inputs!D49</f>
        <v>800000</v>
      </c>
      <c r="Z21" s="14" t="n">
        <f aca="false">AA20</f>
        <v>11228640.6790626</v>
      </c>
      <c r="AA21" s="14" t="n">
        <f aca="false">Z21-H21+F21+G21+E21-U21-V21-W21+(S21-R21)+X21+Y21</f>
        <v>7567457.55443436</v>
      </c>
      <c r="AB21" s="19" t="n">
        <f aca="false">IF(AA21&lt;Inputs!$C$36,1,0)</f>
        <v>0</v>
      </c>
      <c r="AC21" s="14" t="n">
        <f aca="false">AC20+M21*(1-Inputs!$C$41)</f>
        <v>4582648.73489172</v>
      </c>
    </row>
    <row r="22" customFormat="false" ht="15" hidden="false" customHeight="false" outlineLevel="0" collapsed="false">
      <c r="B22" s="19" t="n">
        <f aca="false">B21+1</f>
        <v>9</v>
      </c>
      <c r="C22" s="14" t="n">
        <f aca="false">N21</f>
        <v>25193671.1165658</v>
      </c>
      <c r="D22" s="14" t="n">
        <f aca="false">C22*$C$8</f>
        <v>464154.847186576</v>
      </c>
      <c r="E22" s="14" t="n">
        <f aca="false">D22*(1-Inputs!$C$40)</f>
        <v>175172.039328214</v>
      </c>
      <c r="F22" s="14" t="n">
        <f aca="false">(C22-D22)*Inputs!$C$39</f>
        <v>494590.325387585</v>
      </c>
      <c r="G22" s="14" t="n">
        <f aca="false">(C22-D22)*'Borrowing Base'!$C$9/12</f>
        <v>428208.109725631</v>
      </c>
      <c r="H22" s="14" t="n">
        <f aca="false">Inputs!$C$37</f>
        <v>10000000</v>
      </c>
      <c r="I22" s="14" t="n">
        <f aca="false">C22-D22-F22+H22</f>
        <v>34234925.9439916</v>
      </c>
      <c r="J22" s="14" t="n">
        <f aca="false">I22*$C$9</f>
        <v>2738794.07551933</v>
      </c>
      <c r="K22" s="14" t="n">
        <f aca="false">I22*'Borrowing Base'!$C$59</f>
        <v>2863389.53062498</v>
      </c>
      <c r="L22" s="14" t="n">
        <f aca="false">I22-J22-K22</f>
        <v>28632742.3378473</v>
      </c>
      <c r="M22" s="14" t="n">
        <f aca="false">L22*Inputs!D52</f>
        <v>28632742.3378473</v>
      </c>
      <c r="N22" s="14" t="n">
        <f aca="false">I22-M22</f>
        <v>5602183.60614431</v>
      </c>
      <c r="O22" s="14" t="n">
        <f aca="false">L22-M22</f>
        <v>0</v>
      </c>
      <c r="P22" s="23" t="n">
        <f aca="false">$C$10</f>
        <v>0.720349928148999</v>
      </c>
      <c r="Q22" s="14" t="n">
        <f aca="false">MIN(Inputs!$C$7,P22*O22*(1-'Borrowing Base'!$C$60))</f>
        <v>0</v>
      </c>
      <c r="R22" s="14" t="n">
        <f aca="false">S21</f>
        <v>14766835.812773</v>
      </c>
      <c r="S22" s="14" t="n">
        <f aca="false">Q22</f>
        <v>0</v>
      </c>
      <c r="T22" s="19" t="n">
        <f aca="false">IF(P22*O22*(1-'Borrowing Base'!$C$60)&gt;Inputs!$C$7,1,0)</f>
        <v>0</v>
      </c>
      <c r="U22" s="14" t="n">
        <f aca="false">R22*(Inputs!$C$9+Inputs!$C$10)/12</f>
        <v>72972.7803081199</v>
      </c>
      <c r="V22" s="14" t="n">
        <f aca="false">MAX(0,Inputs!$C$7-R22)*Inputs!$C$11/12</f>
        <v>10513.8184113446</v>
      </c>
      <c r="W22" s="14" t="n">
        <f aca="false">Inputs!$C$38</f>
        <v>600000</v>
      </c>
      <c r="X22" s="14" t="n">
        <f aca="false">M22*(Inputs!$C$41-Inputs!$C$42)</f>
        <v>26628450.374198</v>
      </c>
      <c r="Y22" s="14" t="n">
        <f aca="false">Inputs!D49</f>
        <v>800000</v>
      </c>
      <c r="Z22" s="14" t="n">
        <f aca="false">AA21</f>
        <v>7567457.55443436</v>
      </c>
      <c r="AA22" s="14" t="n">
        <f aca="false">Z22-H22+F22+G22+E22-U22-V22-W22+(S22-R22)+X22+Y22</f>
        <v>10643555.9915814</v>
      </c>
      <c r="AB22" s="19" t="n">
        <f aca="false">IF(AA22&lt;Inputs!$C$36,1,0)</f>
        <v>0</v>
      </c>
      <c r="AC22" s="14" t="n">
        <f aca="false">AC21+M22*(1-Inputs!$C$41)</f>
        <v>6300613.27516256</v>
      </c>
    </row>
    <row r="23" customFormat="false" ht="15" hidden="false" customHeight="false" outlineLevel="0" collapsed="false">
      <c r="B23" s="19" t="n">
        <f aca="false">B22+1</f>
        <v>10</v>
      </c>
      <c r="C23" s="14" t="n">
        <f aca="false">N22</f>
        <v>5602183.60614431</v>
      </c>
      <c r="D23" s="14" t="n">
        <f aca="false">C23*$C$8</f>
        <v>103211.662309558</v>
      </c>
      <c r="E23" s="14" t="n">
        <f aca="false">D23*(1-Inputs!$C$40)</f>
        <v>38952.0813556272</v>
      </c>
      <c r="F23" s="14" t="n">
        <f aca="false">(C23-D23)*Inputs!$C$39</f>
        <v>109979.438876695</v>
      </c>
      <c r="G23" s="14" t="n">
        <f aca="false">(C23-D23)*'Borrowing Base'!$C$9/12</f>
        <v>95218.3761240579</v>
      </c>
      <c r="H23" s="14" t="n">
        <f aca="false">Inputs!$C$37</f>
        <v>10000000</v>
      </c>
      <c r="I23" s="14" t="n">
        <f aca="false">C23-D23-F23+H23</f>
        <v>15388992.5049581</v>
      </c>
      <c r="J23" s="14" t="n">
        <f aca="false">I23*$C$9</f>
        <v>1231119.40039664</v>
      </c>
      <c r="K23" s="14" t="n">
        <f aca="false">I23*'Borrowing Base'!$C$59</f>
        <v>1287126.48882761</v>
      </c>
      <c r="L23" s="14" t="n">
        <f aca="false">I23-J23-K23</f>
        <v>12870746.6157338</v>
      </c>
      <c r="M23" s="14" t="n">
        <f aca="false">L23*0</f>
        <v>0</v>
      </c>
      <c r="N23" s="14" t="n">
        <f aca="false">I23-M23</f>
        <v>15388992.5049581</v>
      </c>
      <c r="O23" s="14" t="n">
        <f aca="false">L23-M23</f>
        <v>12870746.6157338</v>
      </c>
      <c r="P23" s="23" t="n">
        <f aca="false">$C$10</f>
        <v>0.720349928148999</v>
      </c>
      <c r="Q23" s="14" t="n">
        <f aca="false">MIN(Inputs!$C$7,P23*O23*(1-'Borrowing Base'!$C$60))</f>
        <v>9019992.54468661</v>
      </c>
      <c r="R23" s="14" t="n">
        <f aca="false">S22</f>
        <v>0</v>
      </c>
      <c r="S23" s="14" t="n">
        <f aca="false">Q23</f>
        <v>9019992.54468661</v>
      </c>
      <c r="T23" s="19" t="n">
        <f aca="false">IF(P23*O23*(1-'Borrowing Base'!$C$60)&gt;Inputs!$C$7,1,0)</f>
        <v>0</v>
      </c>
      <c r="U23" s="14" t="n">
        <f aca="false">R23*(Inputs!$C$9+Inputs!$C$10)/12</f>
        <v>0</v>
      </c>
      <c r="V23" s="14" t="n">
        <f aca="false">MAX(0,Inputs!$C$7-R23)*Inputs!$C$11/12</f>
        <v>16666.6666666667</v>
      </c>
      <c r="W23" s="14" t="n">
        <f aca="false">Inputs!$C$38</f>
        <v>600000</v>
      </c>
      <c r="X23" s="14" t="n">
        <f aca="false">M23*(Inputs!$C$41-Inputs!$C$42)</f>
        <v>0</v>
      </c>
      <c r="Y23" s="14" t="n">
        <f aca="false">Inputs!D49</f>
        <v>800000</v>
      </c>
      <c r="Z23" s="14" t="n">
        <f aca="false">AA22</f>
        <v>10643555.9915814</v>
      </c>
      <c r="AA23" s="14" t="n">
        <f aca="false">Z23-H23+F23+G23+E23-U23-V23-W23+(S23-R23)+X23+Y23</f>
        <v>10091031.7659577</v>
      </c>
      <c r="AB23" s="19" t="n">
        <f aca="false">IF(AA23&lt;Inputs!$C$36,1,0)</f>
        <v>0</v>
      </c>
      <c r="AC23" s="14" t="n">
        <f aca="false">AC22+M23*(1-Inputs!$C$41)</f>
        <v>6300613.27516256</v>
      </c>
    </row>
    <row r="24" customFormat="false" ht="15" hidden="false" customHeight="false" outlineLevel="0" collapsed="false">
      <c r="B24" s="19" t="n">
        <f aca="false">B23+1</f>
        <v>11</v>
      </c>
      <c r="C24" s="14" t="n">
        <f aca="false">N23</f>
        <v>15388992.5049581</v>
      </c>
      <c r="D24" s="14" t="n">
        <f aca="false">C24*$C$8</f>
        <v>283518.643688154</v>
      </c>
      <c r="E24" s="14" t="n">
        <f aca="false">D24*(1-Inputs!$C$40)</f>
        <v>106999.936127909</v>
      </c>
      <c r="F24" s="14" t="n">
        <f aca="false">(C24-D24)*Inputs!$C$39</f>
        <v>302109.477225398</v>
      </c>
      <c r="G24" s="14" t="n">
        <f aca="false">(C24-D24)*'Borrowing Base'!$C$9/12</f>
        <v>261561.380262562</v>
      </c>
      <c r="H24" s="14" t="n">
        <f aca="false">Inputs!$C$37</f>
        <v>10000000</v>
      </c>
      <c r="I24" s="14" t="n">
        <f aca="false">C24-D24-F24+H24</f>
        <v>24803364.3840445</v>
      </c>
      <c r="J24" s="14" t="n">
        <f aca="false">I24*$C$9</f>
        <v>1984269.15072356</v>
      </c>
      <c r="K24" s="14" t="n">
        <f aca="false">I24*'Borrowing Base'!$C$59</f>
        <v>2074539.14221229</v>
      </c>
      <c r="L24" s="14" t="n">
        <f aca="false">I24-J24-K24</f>
        <v>20744556.0911087</v>
      </c>
      <c r="M24" s="14" t="n">
        <f aca="false">L24*0</f>
        <v>0</v>
      </c>
      <c r="N24" s="14" t="n">
        <f aca="false">I24-M24</f>
        <v>24803364.3840445</v>
      </c>
      <c r="O24" s="14" t="n">
        <f aca="false">L24-M24</f>
        <v>20744556.0911087</v>
      </c>
      <c r="P24" s="23" t="n">
        <f aca="false">$C$10</f>
        <v>0.720349928148999</v>
      </c>
      <c r="Q24" s="14" t="n">
        <f aca="false">MIN(Inputs!$C$7,P24*O24*(1-'Borrowing Base'!$C$60))</f>
        <v>14538064.2530787</v>
      </c>
      <c r="R24" s="14" t="n">
        <f aca="false">S23</f>
        <v>9019992.54468661</v>
      </c>
      <c r="S24" s="14" t="n">
        <f aca="false">Q24</f>
        <v>14538064.2530787</v>
      </c>
      <c r="T24" s="19" t="n">
        <f aca="false">IF(P24*O24*(1-'Borrowing Base'!$C$60)&gt;Inputs!$C$7,1,0)</f>
        <v>0</v>
      </c>
      <c r="U24" s="14" t="n">
        <f aca="false">R24*(Inputs!$C$9+Inputs!$C$10)/12</f>
        <v>44573.7964916597</v>
      </c>
      <c r="V24" s="14" t="n">
        <f aca="false">MAX(0,Inputs!$C$7-R24)*Inputs!$C$11/12</f>
        <v>12908.3364397139</v>
      </c>
      <c r="W24" s="14" t="n">
        <f aca="false">Inputs!$C$38</f>
        <v>600000</v>
      </c>
      <c r="X24" s="14" t="n">
        <f aca="false">M24*(Inputs!$C$41-Inputs!$C$42)</f>
        <v>0</v>
      </c>
      <c r="Y24" s="14" t="n">
        <f aca="false">Inputs!D49</f>
        <v>800000</v>
      </c>
      <c r="Z24" s="14" t="n">
        <f aca="false">AA23</f>
        <v>10091031.7659577</v>
      </c>
      <c r="AA24" s="14" t="n">
        <f aca="false">Z24-H24+F24+G24+E24-U24-V24-W24+(S24-R24)+X24+Y24</f>
        <v>6422292.13503426</v>
      </c>
      <c r="AB24" s="19" t="n">
        <f aca="false">IF(AA24&lt;Inputs!$C$36,1,0)</f>
        <v>0</v>
      </c>
      <c r="AC24" s="14" t="n">
        <f aca="false">AC23+M24*(1-Inputs!$C$41)</f>
        <v>6300613.27516256</v>
      </c>
    </row>
    <row r="25" customFormat="false" ht="15" hidden="false" customHeight="false" outlineLevel="0" collapsed="false">
      <c r="B25" s="21" t="n">
        <f aca="false">B24+1</f>
        <v>12</v>
      </c>
      <c r="C25" s="22" t="n">
        <f aca="false">N24</f>
        <v>24803364.3840445</v>
      </c>
      <c r="D25" s="22" t="n">
        <f aca="false">C25*$C$8</f>
        <v>456964.042759896</v>
      </c>
      <c r="E25" s="22" t="n">
        <f aca="false">D25*(1-Inputs!$C$40)</f>
        <v>172458.229737585</v>
      </c>
      <c r="F25" s="22" t="n">
        <f aca="false">(C25-D25)*Inputs!$C$39</f>
        <v>486928.006825692</v>
      </c>
      <c r="G25" s="22" t="n">
        <f aca="false">(C25-D25)*'Borrowing Base'!$C$9/12</f>
        <v>421574.201258189</v>
      </c>
      <c r="H25" s="22" t="n">
        <f aca="false">Inputs!$C$37</f>
        <v>10000000</v>
      </c>
      <c r="I25" s="22" t="n">
        <f aca="false">C25-D25-F25+H25</f>
        <v>33859472.3344589</v>
      </c>
      <c r="J25" s="22" t="n">
        <f aca="false">I25*$C$9</f>
        <v>2708757.78675671</v>
      </c>
      <c r="K25" s="22" t="n">
        <f aca="false">I25*'Borrowing Base'!$C$59</f>
        <v>2831986.80650254</v>
      </c>
      <c r="L25" s="22" t="n">
        <f aca="false">I25-J25-K25</f>
        <v>28318727.7411997</v>
      </c>
      <c r="M25" s="22" t="n">
        <f aca="false">L25*Inputs!D53</f>
        <v>28318727.7411997</v>
      </c>
      <c r="N25" s="22" t="n">
        <f aca="false">I25-M25</f>
        <v>5540744.59325925</v>
      </c>
      <c r="O25" s="22" t="n">
        <f aca="false">L25-M25</f>
        <v>0</v>
      </c>
      <c r="P25" s="29" t="n">
        <f aca="false">$C$10</f>
        <v>0.720349928148999</v>
      </c>
      <c r="Q25" s="22" t="n">
        <f aca="false">MIN(Inputs!$C$7,P25*O25*(1-'Borrowing Base'!$C$60))</f>
        <v>0</v>
      </c>
      <c r="R25" s="22" t="n">
        <f aca="false">S24</f>
        <v>14538064.2530787</v>
      </c>
      <c r="S25" s="22" t="n">
        <f aca="false">Q25</f>
        <v>0</v>
      </c>
      <c r="T25" s="21" t="n">
        <f aca="false">IF(P25*O25*(1-'Borrowing Base'!$C$60)&gt;Inputs!$C$7,1,0)</f>
        <v>0</v>
      </c>
      <c r="U25" s="22" t="n">
        <f aca="false">R25*(Inputs!$C$9+Inputs!$C$10)/12</f>
        <v>71842.2675172972</v>
      </c>
      <c r="V25" s="22" t="n">
        <f aca="false">MAX(0,Inputs!$C$7-R25)*Inputs!$C$11/12</f>
        <v>10609.1398945505</v>
      </c>
      <c r="W25" s="22" t="n">
        <f aca="false">Inputs!$C$38</f>
        <v>600000</v>
      </c>
      <c r="X25" s="22" t="n">
        <f aca="false">M25*(Inputs!$C$41-Inputs!$C$42)</f>
        <v>26336416.7993157</v>
      </c>
      <c r="Y25" s="22" t="n">
        <f aca="false">Inputs!D49</f>
        <v>800000</v>
      </c>
      <c r="Z25" s="22" t="n">
        <f aca="false">AA24</f>
        <v>6422292.13503426</v>
      </c>
      <c r="AA25" s="22" t="n">
        <f aca="false">Z25-H25+F25+G25+E25-U25-V25-W25+(S25-R25)+X25+Y25</f>
        <v>9419153.71168087</v>
      </c>
      <c r="AB25" s="21" t="n">
        <f aca="false">IF(AA25&lt;Inputs!$C$36,1,0)</f>
        <v>0</v>
      </c>
      <c r="AC25" s="22" t="n">
        <f aca="false">AC24+M25*(1-Inputs!$C$41)</f>
        <v>7999736.93963455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A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44"/>
    <col collapsed="false" customWidth="true" hidden="false" outlineLevel="0" max="29" min="3" style="0" width="14"/>
  </cols>
  <sheetData>
    <row r="2" customFormat="false" ht="15" hidden="false" customHeight="false" outlineLevel="0" collapsed="false">
      <c r="B2" s="8" t="s">
        <v>1460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false" outlineLevel="0" collapsed="false">
      <c r="B3" s="10" t="s">
        <v>1427</v>
      </c>
    </row>
    <row r="5" customFormat="false" ht="15" hidden="false" customHeight="false" outlineLevel="0" collapsed="false">
      <c r="B5" s="11" t="s">
        <v>1428</v>
      </c>
      <c r="C5" s="12"/>
      <c r="D5" s="12"/>
    </row>
    <row r="6" customFormat="false" ht="15" hidden="false" customHeight="false" outlineLevel="0" collapsed="false">
      <c r="B6" s="3" t="s">
        <v>35</v>
      </c>
      <c r="C6" s="3" t="s">
        <v>36</v>
      </c>
      <c r="D6" s="3" t="s">
        <v>63</v>
      </c>
    </row>
    <row r="7" customFormat="false" ht="15" hidden="false" customHeight="false" outlineLevel="0" collapsed="false">
      <c r="B7" s="13" t="s">
        <v>123</v>
      </c>
      <c r="C7" s="24" t="n">
        <f aca="false">Inputs!E46</f>
        <v>0.1</v>
      </c>
      <c r="D7" s="13" t="s">
        <v>71</v>
      </c>
    </row>
    <row r="8" customFormat="false" ht="15" hidden="false" customHeight="false" outlineLevel="0" collapsed="false">
      <c r="B8" s="13" t="s">
        <v>1429</v>
      </c>
      <c r="C8" s="31" t="n">
        <f aca="false">1-(1-C7)^(1/12)</f>
        <v>0.00874161095469672</v>
      </c>
      <c r="D8" s="13" t="s">
        <v>71</v>
      </c>
    </row>
    <row r="9" customFormat="false" ht="15" hidden="false" customHeight="false" outlineLevel="0" collapsed="false">
      <c r="B9" s="13" t="s">
        <v>1430</v>
      </c>
      <c r="C9" s="23" t="n">
        <f aca="false">Inputs!E47</f>
        <v>0.0314375293062565</v>
      </c>
      <c r="D9" s="13" t="s">
        <v>71</v>
      </c>
    </row>
    <row r="10" customFormat="false" ht="15" hidden="false" customHeight="false" outlineLevel="0" collapsed="false">
      <c r="B10" s="16" t="s">
        <v>1431</v>
      </c>
      <c r="C10" s="29" t="n">
        <f aca="false">'Borrowing Base'!$C$48-Inputs!E48</f>
        <v>0.820349928148999</v>
      </c>
      <c r="D10" s="16" t="s">
        <v>71</v>
      </c>
    </row>
    <row r="12" customFormat="false" ht="31.5" hidden="false" customHeight="true" outlineLevel="0" collapsed="false">
      <c r="B12" s="30" t="s">
        <v>1432</v>
      </c>
      <c r="C12" s="30" t="s">
        <v>1433</v>
      </c>
      <c r="D12" s="30" t="s">
        <v>1434</v>
      </c>
      <c r="E12" s="30" t="s">
        <v>1435</v>
      </c>
      <c r="F12" s="30" t="s">
        <v>1436</v>
      </c>
      <c r="G12" s="30" t="s">
        <v>1437</v>
      </c>
      <c r="H12" s="30" t="s">
        <v>1438</v>
      </c>
      <c r="I12" s="30" t="s">
        <v>1439</v>
      </c>
      <c r="J12" s="30" t="s">
        <v>1440</v>
      </c>
      <c r="K12" s="30" t="s">
        <v>1441</v>
      </c>
      <c r="L12" s="30" t="s">
        <v>1442</v>
      </c>
      <c r="M12" s="30" t="s">
        <v>1443</v>
      </c>
      <c r="N12" s="30" t="s">
        <v>1444</v>
      </c>
      <c r="O12" s="30" t="s">
        <v>1445</v>
      </c>
      <c r="P12" s="30" t="s">
        <v>1446</v>
      </c>
      <c r="Q12" s="30" t="s">
        <v>19</v>
      </c>
      <c r="R12" s="30" t="s">
        <v>1447</v>
      </c>
      <c r="S12" s="30" t="s">
        <v>1448</v>
      </c>
      <c r="T12" s="30" t="s">
        <v>1449</v>
      </c>
      <c r="U12" s="30" t="s">
        <v>1450</v>
      </c>
      <c r="V12" s="30" t="s">
        <v>1451</v>
      </c>
      <c r="W12" s="30" t="s">
        <v>1452</v>
      </c>
      <c r="X12" s="30" t="s">
        <v>1453</v>
      </c>
      <c r="Y12" s="30" t="s">
        <v>1454</v>
      </c>
      <c r="Z12" s="30" t="s">
        <v>1455</v>
      </c>
      <c r="AA12" s="30" t="s">
        <v>1456</v>
      </c>
      <c r="AB12" s="30" t="s">
        <v>1457</v>
      </c>
      <c r="AC12" s="30" t="s">
        <v>1458</v>
      </c>
    </row>
    <row r="13" customFormat="false" ht="15" hidden="false" customHeight="false" outlineLevel="0" collapsed="false">
      <c r="B13" s="32" t="n">
        <v>0</v>
      </c>
      <c r="N13" s="14" t="n">
        <f aca="false">'Borrowing Base'!C8</f>
        <v>28800313.51</v>
      </c>
      <c r="S13" s="14" t="n">
        <f aca="false">Inputs!$C$8</f>
        <v>19500000</v>
      </c>
      <c r="AA13" s="14" t="n">
        <f aca="false">Inputs!$C$35</f>
        <v>12000000</v>
      </c>
      <c r="AC13" s="14" t="n">
        <v>0</v>
      </c>
    </row>
    <row r="14" customFormat="false" ht="15" hidden="false" customHeight="false" outlineLevel="0" collapsed="false">
      <c r="B14" s="19" t="n">
        <f aca="false">B13+1</f>
        <v>1</v>
      </c>
      <c r="C14" s="14" t="n">
        <f aca="false">N13</f>
        <v>28800313.51</v>
      </c>
      <c r="D14" s="14" t="n">
        <f aca="false">C14*$C$8</f>
        <v>251761.136077716</v>
      </c>
      <c r="E14" s="14" t="n">
        <f aca="false">D14*(1-Inputs!$C$40)</f>
        <v>95014.65275573</v>
      </c>
      <c r="F14" s="14" t="n">
        <f aca="false">(C14-D14)*Inputs!$C$39</f>
        <v>570971.047478446</v>
      </c>
      <c r="G14" s="14" t="n">
        <f aca="false">(C14-D14)*'Borrowing Base'!$C$9/12</f>
        <v>494337.273494404</v>
      </c>
      <c r="H14" s="14" t="n">
        <f aca="false">Inputs!$C$37</f>
        <v>10000000</v>
      </c>
      <c r="I14" s="14" t="n">
        <f aca="false">C14-D14-F14+H14</f>
        <v>37977581.3264438</v>
      </c>
      <c r="J14" s="14" t="n">
        <f aca="false">I14*$C$9</f>
        <v>1193921.32593082</v>
      </c>
      <c r="K14" s="14" t="n">
        <f aca="false">I14*'Borrowing Base'!$C$59</f>
        <v>3176423.07585255</v>
      </c>
      <c r="L14" s="14" t="n">
        <f aca="false">I14-J14-K14</f>
        <v>33607236.9246605</v>
      </c>
      <c r="M14" s="14" t="n">
        <f aca="false">L14*0</f>
        <v>0</v>
      </c>
      <c r="N14" s="14" t="n">
        <f aca="false">I14-M14</f>
        <v>37977581.3264438</v>
      </c>
      <c r="O14" s="14" t="n">
        <f aca="false">L14-M14</f>
        <v>33607236.9246605</v>
      </c>
      <c r="P14" s="23" t="n">
        <f aca="false">$C$10</f>
        <v>0.820349928148999</v>
      </c>
      <c r="Q14" s="14" t="n">
        <f aca="false">MIN(Inputs!$C$7,P14*O14*(1-'Borrowing Base'!$C$60))</f>
        <v>26821982.3854624</v>
      </c>
      <c r="R14" s="14" t="n">
        <f aca="false">S13</f>
        <v>19500000</v>
      </c>
      <c r="S14" s="14" t="n">
        <f aca="false">Q14</f>
        <v>26821982.3854624</v>
      </c>
      <c r="T14" s="19" t="n">
        <f aca="false">IF(P14*O14*(1-'Borrowing Base'!$C$60)&gt;Inputs!$C$7,1,0)</f>
        <v>0</v>
      </c>
      <c r="U14" s="14" t="n">
        <f aca="false">R14*(Inputs!$C$9+Inputs!$C$10)/12</f>
        <v>96362.5</v>
      </c>
      <c r="V14" s="14" t="n">
        <f aca="false">MAX(0,Inputs!$C$7-R14)*Inputs!$C$11/12</f>
        <v>8541.66666666667</v>
      </c>
      <c r="W14" s="14" t="n">
        <f aca="false">Inputs!$C$38</f>
        <v>600000</v>
      </c>
      <c r="X14" s="14" t="n">
        <f aca="false">M14*(Inputs!$C$41-Inputs!$C$42)</f>
        <v>0</v>
      </c>
      <c r="Y14" s="14" t="n">
        <f aca="false">Inputs!E49</f>
        <v>1600000</v>
      </c>
      <c r="Z14" s="14" t="n">
        <f aca="false">AA13</f>
        <v>12000000</v>
      </c>
      <c r="AA14" s="14" t="n">
        <f aca="false">Z14-H14+F14+G14+E14-U14-V14-W14+(S14-R14)+X14+Y14</f>
        <v>11377401.1925243</v>
      </c>
      <c r="AB14" s="19" t="n">
        <f aca="false">IF(AA14&lt;Inputs!$C$36,1,0)</f>
        <v>0</v>
      </c>
      <c r="AC14" s="14" t="n">
        <f aca="false">AC13+M14*(1-Inputs!$C$41)</f>
        <v>0</v>
      </c>
    </row>
    <row r="15" customFormat="false" ht="15" hidden="false" customHeight="false" outlineLevel="0" collapsed="false">
      <c r="B15" s="19" t="n">
        <f aca="false">B14+1</f>
        <v>2</v>
      </c>
      <c r="C15" s="14" t="n">
        <f aca="false">N14</f>
        <v>37977581.3264438</v>
      </c>
      <c r="D15" s="14" t="n">
        <f aca="false">C15*$C$8</f>
        <v>331985.240956127</v>
      </c>
      <c r="E15" s="14" t="n">
        <f aca="false">D15*(1-Inputs!$C$40)</f>
        <v>125291.229936842</v>
      </c>
      <c r="F15" s="14" t="n">
        <f aca="false">(C15-D15)*Inputs!$C$39</f>
        <v>752911.921709754</v>
      </c>
      <c r="G15" s="14" t="n">
        <f aca="false">(C15-D15)*'Borrowing Base'!$C$9/12</f>
        <v>651858.668146361</v>
      </c>
      <c r="H15" s="14" t="n">
        <f aca="false">Inputs!$C$37</f>
        <v>10000000</v>
      </c>
      <c r="I15" s="14" t="n">
        <f aca="false">C15-D15-F15+H15</f>
        <v>46892684.163778</v>
      </c>
      <c r="J15" s="14" t="n">
        <f aca="false">I15*$C$9</f>
        <v>1474190.1326478</v>
      </c>
      <c r="K15" s="14" t="n">
        <f aca="false">I15*'Borrowing Base'!$C$59</f>
        <v>3922077.15352254</v>
      </c>
      <c r="L15" s="14" t="n">
        <f aca="false">I15-J15-K15</f>
        <v>41496416.8776076</v>
      </c>
      <c r="M15" s="14" t="n">
        <f aca="false">L15*0</f>
        <v>0</v>
      </c>
      <c r="N15" s="14" t="n">
        <f aca="false">I15-M15</f>
        <v>46892684.163778</v>
      </c>
      <c r="O15" s="14" t="n">
        <f aca="false">L15-M15</f>
        <v>41496416.8776076</v>
      </c>
      <c r="P15" s="23" t="n">
        <f aca="false">$C$10</f>
        <v>0.820349928148999</v>
      </c>
      <c r="Q15" s="14" t="n">
        <f aca="false">MIN(Inputs!$C$7,P15*O15*(1-'Borrowing Base'!$C$60))</f>
        <v>33118347.84413</v>
      </c>
      <c r="R15" s="14" t="n">
        <f aca="false">S14</f>
        <v>26821982.3854624</v>
      </c>
      <c r="S15" s="14" t="n">
        <f aca="false">Q15</f>
        <v>33118347.84413</v>
      </c>
      <c r="T15" s="19" t="n">
        <f aca="false">IF(P15*O15*(1-'Borrowing Base'!$C$60)&gt;Inputs!$C$7,1,0)</f>
        <v>0</v>
      </c>
      <c r="U15" s="14" t="n">
        <f aca="false">R15*(Inputs!$C$9+Inputs!$C$10)/12</f>
        <v>132545.29628816</v>
      </c>
      <c r="V15" s="14" t="n">
        <f aca="false">MAX(0,Inputs!$C$7-R15)*Inputs!$C$11/12</f>
        <v>5490.84067272401</v>
      </c>
      <c r="W15" s="14" t="n">
        <f aca="false">Inputs!$C$38</f>
        <v>600000</v>
      </c>
      <c r="X15" s="14" t="n">
        <f aca="false">M15*(Inputs!$C$41-Inputs!$C$42)</f>
        <v>0</v>
      </c>
      <c r="Y15" s="14" t="n">
        <f aca="false">Inputs!E49</f>
        <v>1600000</v>
      </c>
      <c r="Z15" s="14" t="n">
        <f aca="false">AA14</f>
        <v>11377401.1925243</v>
      </c>
      <c r="AA15" s="14" t="n">
        <f aca="false">Z15-H15+F15+G15+E15-U15-V15-W15+(S15-R15)+X15+Y15</f>
        <v>10065792.334024</v>
      </c>
      <c r="AB15" s="19" t="n">
        <f aca="false">IF(AA15&lt;Inputs!$C$36,1,0)</f>
        <v>0</v>
      </c>
      <c r="AC15" s="14" t="n">
        <f aca="false">AC14+M15*(1-Inputs!$C$41)</f>
        <v>0</v>
      </c>
    </row>
    <row r="16" customFormat="false" ht="15" hidden="false" customHeight="false" outlineLevel="0" collapsed="false">
      <c r="B16" s="19" t="n">
        <f aca="false">B15+1</f>
        <v>3</v>
      </c>
      <c r="C16" s="14" t="n">
        <f aca="false">N15</f>
        <v>46892684.163778</v>
      </c>
      <c r="D16" s="14" t="n">
        <f aca="false">C16*$C$8</f>
        <v>409917.601581215</v>
      </c>
      <c r="E16" s="14" t="n">
        <f aca="false">D16*(1-Inputs!$C$40)</f>
        <v>154702.90283675</v>
      </c>
      <c r="F16" s="14" t="n">
        <f aca="false">(C16-D16)*Inputs!$C$39</f>
        <v>929655.331243935</v>
      </c>
      <c r="G16" s="14" t="n">
        <f aca="false">(C16-D16)*'Borrowing Base'!$C$9/12</f>
        <v>804880.183971172</v>
      </c>
      <c r="H16" s="14" t="n">
        <f aca="false">Inputs!$C$37</f>
        <v>10000000</v>
      </c>
      <c r="I16" s="14" t="n">
        <f aca="false">C16-D16-F16+H16</f>
        <v>55553111.2309528</v>
      </c>
      <c r="J16" s="14" t="n">
        <f aca="false">I16*$C$9</f>
        <v>1746452.56237681</v>
      </c>
      <c r="K16" s="14" t="n">
        <f aca="false">I16*'Borrowing Base'!$C$59</f>
        <v>4646430.29614243</v>
      </c>
      <c r="L16" s="14" t="n">
        <f aca="false">I16-J16-K16</f>
        <v>49160228.3724336</v>
      </c>
      <c r="M16" s="14" t="n">
        <f aca="false">L16*Inputs!E50</f>
        <v>0</v>
      </c>
      <c r="N16" s="14" t="n">
        <f aca="false">I16-M16</f>
        <v>55553111.2309528</v>
      </c>
      <c r="O16" s="14" t="n">
        <f aca="false">L16-M16</f>
        <v>49160228.3724336</v>
      </c>
      <c r="P16" s="23" t="n">
        <f aca="false">$C$10</f>
        <v>0.820349928148999</v>
      </c>
      <c r="Q16" s="14" t="n">
        <f aca="false">MIN(Inputs!$C$7,P16*O16*(1-'Borrowing Base'!$C$60))</f>
        <v>39234846.4239014</v>
      </c>
      <c r="R16" s="14" t="n">
        <f aca="false">S15</f>
        <v>33118347.84413</v>
      </c>
      <c r="S16" s="14" t="n">
        <f aca="false">Q16</f>
        <v>39234846.4239014</v>
      </c>
      <c r="T16" s="19" t="n">
        <f aca="false">IF(P16*O16*(1-'Borrowing Base'!$C$60)&gt;Inputs!$C$7,1,0)</f>
        <v>0</v>
      </c>
      <c r="U16" s="14" t="n">
        <f aca="false">R16*(Inputs!$C$9+Inputs!$C$10)/12</f>
        <v>163659.835596409</v>
      </c>
      <c r="V16" s="14" t="n">
        <f aca="false">MAX(0,Inputs!$C$7-R16)*Inputs!$C$11/12</f>
        <v>2867.35506494584</v>
      </c>
      <c r="W16" s="14" t="n">
        <f aca="false">Inputs!$C$38</f>
        <v>600000</v>
      </c>
      <c r="X16" s="14" t="n">
        <f aca="false">M16*(Inputs!$C$41-Inputs!$C$42)</f>
        <v>0</v>
      </c>
      <c r="Y16" s="14" t="n">
        <f aca="false">Inputs!E49</f>
        <v>1600000</v>
      </c>
      <c r="Z16" s="14" t="n">
        <f aca="false">AA15</f>
        <v>10065792.334024</v>
      </c>
      <c r="AA16" s="14" t="n">
        <f aca="false">Z16-H16+F16+G16+E16-U16-V16-W16+(S16-R16)+X16+Y16</f>
        <v>8905002.14118585</v>
      </c>
      <c r="AB16" s="19" t="n">
        <f aca="false">IF(AA16&lt;Inputs!$C$36,1,0)</f>
        <v>0</v>
      </c>
      <c r="AC16" s="14" t="n">
        <f aca="false">AC15+M16*(1-Inputs!$C$41)</f>
        <v>0</v>
      </c>
    </row>
    <row r="17" customFormat="false" ht="15" hidden="false" customHeight="false" outlineLevel="0" collapsed="false">
      <c r="B17" s="19" t="n">
        <f aca="false">B16+1</f>
        <v>4</v>
      </c>
      <c r="C17" s="14" t="n">
        <f aca="false">N16</f>
        <v>55553111.2309528</v>
      </c>
      <c r="D17" s="14" t="n">
        <f aca="false">C17*$C$8</f>
        <v>485623.685703983</v>
      </c>
      <c r="E17" s="14" t="n">
        <f aca="false">D17*(1-Inputs!$C$40)</f>
        <v>183274.378984683</v>
      </c>
      <c r="F17" s="14" t="n">
        <f aca="false">(C17-D17)*Inputs!$C$39</f>
        <v>1101349.75090498</v>
      </c>
      <c r="G17" s="14" t="n">
        <f aca="false">(C17-D17)*'Borrowing Base'!$C$9/12</f>
        <v>953530.368011629</v>
      </c>
      <c r="H17" s="14" t="n">
        <f aca="false">Inputs!$C$37</f>
        <v>10000000</v>
      </c>
      <c r="I17" s="14" t="n">
        <f aca="false">C17-D17-F17+H17</f>
        <v>63966137.7943438</v>
      </c>
      <c r="J17" s="14" t="n">
        <f aca="false">I17*$C$9</f>
        <v>2010937.33151773</v>
      </c>
      <c r="K17" s="14" t="n">
        <f aca="false">I17*'Borrowing Base'!$C$59</f>
        <v>5350091.00281066</v>
      </c>
      <c r="L17" s="14" t="n">
        <f aca="false">I17-J17-K17</f>
        <v>56605109.4600155</v>
      </c>
      <c r="M17" s="14" t="n">
        <f aca="false">L17*0</f>
        <v>0</v>
      </c>
      <c r="N17" s="14" t="n">
        <f aca="false">I17-M17</f>
        <v>63966137.7943438</v>
      </c>
      <c r="O17" s="14" t="n">
        <f aca="false">L17-M17</f>
        <v>56605109.4600155</v>
      </c>
      <c r="P17" s="23" t="n">
        <f aca="false">$C$10</f>
        <v>0.820349928148999</v>
      </c>
      <c r="Q17" s="14" t="n">
        <f aca="false">MIN(Inputs!$C$7,P17*O17*(1-'Borrowing Base'!$C$60))</f>
        <v>40000000</v>
      </c>
      <c r="R17" s="14" t="n">
        <f aca="false">S16</f>
        <v>39234846.4239014</v>
      </c>
      <c r="S17" s="14" t="n">
        <f aca="false">Q17</f>
        <v>40000000</v>
      </c>
      <c r="T17" s="19" t="n">
        <f aca="false">IF(P17*O17*(1-'Borrowing Base'!$C$60)&gt;Inputs!$C$7,1,0)</f>
        <v>1</v>
      </c>
      <c r="U17" s="14" t="n">
        <f aca="false">R17*(Inputs!$C$9+Inputs!$C$10)/12</f>
        <v>193885.532744779</v>
      </c>
      <c r="V17" s="14" t="n">
        <f aca="false">MAX(0,Inputs!$C$7-R17)*Inputs!$C$11/12</f>
        <v>318.813990041101</v>
      </c>
      <c r="W17" s="14" t="n">
        <f aca="false">Inputs!$C$38</f>
        <v>600000</v>
      </c>
      <c r="X17" s="14" t="n">
        <f aca="false">M17*(Inputs!$C$41-Inputs!$C$42)</f>
        <v>0</v>
      </c>
      <c r="Y17" s="14" t="n">
        <f aca="false">Inputs!E49</f>
        <v>1600000</v>
      </c>
      <c r="Z17" s="14" t="n">
        <f aca="false">AA16</f>
        <v>8905002.14118585</v>
      </c>
      <c r="AA17" s="14" t="n">
        <f aca="false">Z17-H17+F17+G17+E17-U17-V17-W17+(S17-R17)+X17+Y17</f>
        <v>2714105.86845096</v>
      </c>
      <c r="AB17" s="19" t="n">
        <f aca="false">IF(AA17&lt;Inputs!$C$36,1,0)</f>
        <v>1</v>
      </c>
      <c r="AC17" s="14" t="n">
        <f aca="false">AC16+M17*(1-Inputs!$C$41)</f>
        <v>0</v>
      </c>
    </row>
    <row r="18" customFormat="false" ht="15" hidden="false" customHeight="false" outlineLevel="0" collapsed="false">
      <c r="B18" s="19" t="n">
        <f aca="false">B17+1</f>
        <v>5</v>
      </c>
      <c r="C18" s="14" t="n">
        <f aca="false">N17</f>
        <v>63966137.7943438</v>
      </c>
      <c r="D18" s="14" t="n">
        <f aca="false">C18*$C$8</f>
        <v>559167.090872676</v>
      </c>
      <c r="E18" s="14" t="n">
        <f aca="false">D18*(1-Inputs!$C$40)</f>
        <v>211029.660095348</v>
      </c>
      <c r="F18" s="14" t="n">
        <f aca="false">(C18-D18)*Inputs!$C$39</f>
        <v>1268139.41406942</v>
      </c>
      <c r="G18" s="14" t="n">
        <f aca="false">(C18-D18)*'Borrowing Base'!$C$9/12</f>
        <v>1097934.0951356</v>
      </c>
      <c r="H18" s="14" t="n">
        <f aca="false">Inputs!$C$37</f>
        <v>10000000</v>
      </c>
      <c r="I18" s="14" t="n">
        <f aca="false">C18-D18-F18+H18</f>
        <v>72138831.2894017</v>
      </c>
      <c r="J18" s="14" t="n">
        <f aca="false">I18*$C$9</f>
        <v>2267866.62277966</v>
      </c>
      <c r="K18" s="14" t="n">
        <f aca="false">I18*'Borrowing Base'!$C$59</f>
        <v>6033650.38976657</v>
      </c>
      <c r="L18" s="14" t="n">
        <f aca="false">I18-J18-K18</f>
        <v>63837314.2768555</v>
      </c>
      <c r="M18" s="14" t="n">
        <f aca="false">L18*0</f>
        <v>0</v>
      </c>
      <c r="N18" s="14" t="n">
        <f aca="false">I18-M18</f>
        <v>72138831.2894017</v>
      </c>
      <c r="O18" s="14" t="n">
        <f aca="false">L18-M18</f>
        <v>63837314.2768555</v>
      </c>
      <c r="P18" s="23" t="n">
        <f aca="false">$C$10</f>
        <v>0.820349928148999</v>
      </c>
      <c r="Q18" s="14" t="n">
        <f aca="false">MIN(Inputs!$C$7,P18*O18*(1-'Borrowing Base'!$C$60))</f>
        <v>40000000</v>
      </c>
      <c r="R18" s="14" t="n">
        <f aca="false">S17</f>
        <v>40000000</v>
      </c>
      <c r="S18" s="14" t="n">
        <f aca="false">Q18</f>
        <v>40000000</v>
      </c>
      <c r="T18" s="19" t="n">
        <f aca="false">IF(P18*O18*(1-'Borrowing Base'!$C$60)&gt;Inputs!$C$7,1,0)</f>
        <v>1</v>
      </c>
      <c r="U18" s="14" t="n">
        <f aca="false">R18*(Inputs!$C$9+Inputs!$C$10)/12</f>
        <v>197666.666666667</v>
      </c>
      <c r="V18" s="14" t="n">
        <f aca="false">MAX(0,Inputs!$C$7-R18)*Inputs!$C$11/12</f>
        <v>0</v>
      </c>
      <c r="W18" s="14" t="n">
        <f aca="false">Inputs!$C$38</f>
        <v>600000</v>
      </c>
      <c r="X18" s="14" t="n">
        <f aca="false">M18*(Inputs!$C$41-Inputs!$C$42)</f>
        <v>0</v>
      </c>
      <c r="Y18" s="14" t="n">
        <f aca="false">Inputs!E49</f>
        <v>1600000</v>
      </c>
      <c r="Z18" s="14" t="n">
        <f aca="false">AA17</f>
        <v>2714105.86845096</v>
      </c>
      <c r="AA18" s="14" t="n">
        <f aca="false">Z18-H18+F18+G18+E18-U18-V18-W18+(S18-R18)+X18+Y18</f>
        <v>-3906457.62891534</v>
      </c>
      <c r="AB18" s="19" t="n">
        <f aca="false">IF(AA18&lt;Inputs!$C$36,1,0)</f>
        <v>1</v>
      </c>
      <c r="AC18" s="14" t="n">
        <f aca="false">AC17+M18*(1-Inputs!$C$41)</f>
        <v>0</v>
      </c>
    </row>
    <row r="19" customFormat="false" ht="15" hidden="false" customHeight="false" outlineLevel="0" collapsed="false">
      <c r="B19" s="19" t="n">
        <f aca="false">B18+1</f>
        <v>6</v>
      </c>
      <c r="C19" s="14" t="n">
        <f aca="false">N18</f>
        <v>72138831.2894017</v>
      </c>
      <c r="D19" s="14" t="n">
        <f aca="false">C19*$C$8</f>
        <v>630609.597858453</v>
      </c>
      <c r="E19" s="14" t="n">
        <f aca="false">D19*(1-Inputs!$C$40)</f>
        <v>237992.06223178</v>
      </c>
      <c r="F19" s="14" t="n">
        <f aca="false">(C19-D19)*Inputs!$C$39</f>
        <v>1430164.43383087</v>
      </c>
      <c r="G19" s="14" t="n">
        <f aca="false">(C19-D19)*'Borrowing Base'!$C$9/12</f>
        <v>1238212.67293821</v>
      </c>
      <c r="H19" s="14" t="n">
        <f aca="false">Inputs!$C$37</f>
        <v>10000000</v>
      </c>
      <c r="I19" s="14" t="n">
        <f aca="false">C19-D19-F19+H19</f>
        <v>80078057.2577124</v>
      </c>
      <c r="J19" s="14" t="n">
        <f aca="false">I19*$C$9</f>
        <v>2517456.27182742</v>
      </c>
      <c r="K19" s="14" t="n">
        <f aca="false">I19*'Borrowing Base'!$C$59</f>
        <v>6697682.68696266</v>
      </c>
      <c r="L19" s="14" t="n">
        <f aca="false">I19-J19-K19</f>
        <v>70862918.2989224</v>
      </c>
      <c r="M19" s="14" t="n">
        <f aca="false">L19*Inputs!E51</f>
        <v>0</v>
      </c>
      <c r="N19" s="14" t="n">
        <f aca="false">I19-M19</f>
        <v>80078057.2577124</v>
      </c>
      <c r="O19" s="14" t="n">
        <f aca="false">L19-M19</f>
        <v>70862918.2989224</v>
      </c>
      <c r="P19" s="23" t="n">
        <f aca="false">$C$10</f>
        <v>0.820349928148999</v>
      </c>
      <c r="Q19" s="14" t="n">
        <f aca="false">MIN(Inputs!$C$7,P19*O19*(1-'Borrowing Base'!$C$60))</f>
        <v>40000000</v>
      </c>
      <c r="R19" s="14" t="n">
        <f aca="false">S18</f>
        <v>40000000</v>
      </c>
      <c r="S19" s="14" t="n">
        <f aca="false">Q19</f>
        <v>40000000</v>
      </c>
      <c r="T19" s="19" t="n">
        <f aca="false">IF(P19*O19*(1-'Borrowing Base'!$C$60)&gt;Inputs!$C$7,1,0)</f>
        <v>1</v>
      </c>
      <c r="U19" s="14" t="n">
        <f aca="false">R19*(Inputs!$C$9+Inputs!$C$10)/12</f>
        <v>197666.666666667</v>
      </c>
      <c r="V19" s="14" t="n">
        <f aca="false">MAX(0,Inputs!$C$7-R19)*Inputs!$C$11/12</f>
        <v>0</v>
      </c>
      <c r="W19" s="14" t="n">
        <f aca="false">Inputs!$C$38</f>
        <v>600000</v>
      </c>
      <c r="X19" s="14" t="n">
        <f aca="false">M19*(Inputs!$C$41-Inputs!$C$42)</f>
        <v>0</v>
      </c>
      <c r="Y19" s="14" t="n">
        <f aca="false">Inputs!E49</f>
        <v>1600000</v>
      </c>
      <c r="Z19" s="14" t="n">
        <f aca="false">AA18</f>
        <v>-3906457.62891534</v>
      </c>
      <c r="AA19" s="14" t="n">
        <f aca="false">Z19-H19+F19+G19+E19-U19-V19-W19+(S19-R19)+X19+Y19</f>
        <v>-10197755.1265812</v>
      </c>
      <c r="AB19" s="19" t="n">
        <f aca="false">IF(AA19&lt;Inputs!$C$36,1,0)</f>
        <v>1</v>
      </c>
      <c r="AC19" s="14" t="n">
        <f aca="false">AC18+M19*(1-Inputs!$C$41)</f>
        <v>0</v>
      </c>
    </row>
    <row r="20" customFormat="false" ht="15" hidden="false" customHeight="false" outlineLevel="0" collapsed="false">
      <c r="B20" s="19" t="n">
        <f aca="false">B19+1</f>
        <v>7</v>
      </c>
      <c r="C20" s="14" t="n">
        <f aca="false">N19</f>
        <v>80078057.2577124</v>
      </c>
      <c r="D20" s="14" t="n">
        <f aca="false">C20*$C$8</f>
        <v>700011.22255485</v>
      </c>
      <c r="E20" s="14" t="n">
        <f aca="false">D20*(1-Inputs!$C$40)</f>
        <v>264184.2353922</v>
      </c>
      <c r="F20" s="14" t="n">
        <f aca="false">(C20-D20)*Inputs!$C$39</f>
        <v>1587560.92070315</v>
      </c>
      <c r="G20" s="14" t="n">
        <f aca="false">(C20-D20)*'Borrowing Base'!$C$9/12</f>
        <v>1374483.9436474</v>
      </c>
      <c r="H20" s="14" t="n">
        <f aca="false">Inputs!$C$37</f>
        <v>10000000</v>
      </c>
      <c r="I20" s="14" t="n">
        <f aca="false">C20-D20-F20+H20</f>
        <v>87790485.1144544</v>
      </c>
      <c r="J20" s="14" t="n">
        <f aca="false">I20*$C$9</f>
        <v>2759915.94859614</v>
      </c>
      <c r="K20" s="14" t="n">
        <f aca="false">I20*'Borrowing Base'!$C$59</f>
        <v>7342745.72045145</v>
      </c>
      <c r="L20" s="14" t="n">
        <f aca="false">I20-J20-K20</f>
        <v>77687823.4454068</v>
      </c>
      <c r="M20" s="14" t="n">
        <f aca="false">L20*0</f>
        <v>0</v>
      </c>
      <c r="N20" s="14" t="n">
        <f aca="false">I20-M20</f>
        <v>87790485.1144544</v>
      </c>
      <c r="O20" s="14" t="n">
        <f aca="false">L20-M20</f>
        <v>77687823.4454068</v>
      </c>
      <c r="P20" s="23" t="n">
        <f aca="false">$C$10</f>
        <v>0.820349928148999</v>
      </c>
      <c r="Q20" s="14" t="n">
        <f aca="false">MIN(Inputs!$C$7,P20*O20*(1-'Borrowing Base'!$C$60))</f>
        <v>40000000</v>
      </c>
      <c r="R20" s="14" t="n">
        <f aca="false">S19</f>
        <v>40000000</v>
      </c>
      <c r="S20" s="14" t="n">
        <f aca="false">Q20</f>
        <v>40000000</v>
      </c>
      <c r="T20" s="19" t="n">
        <f aca="false">IF(P20*O20*(1-'Borrowing Base'!$C$60)&gt;Inputs!$C$7,1,0)</f>
        <v>1</v>
      </c>
      <c r="U20" s="14" t="n">
        <f aca="false">R20*(Inputs!$C$9+Inputs!$C$10)/12</f>
        <v>197666.666666667</v>
      </c>
      <c r="V20" s="14" t="n">
        <f aca="false">MAX(0,Inputs!$C$7-R20)*Inputs!$C$11/12</f>
        <v>0</v>
      </c>
      <c r="W20" s="14" t="n">
        <f aca="false">Inputs!$C$38</f>
        <v>600000</v>
      </c>
      <c r="X20" s="14" t="n">
        <f aca="false">M20*(Inputs!$C$41-Inputs!$C$42)</f>
        <v>0</v>
      </c>
      <c r="Y20" s="14" t="n">
        <f aca="false">Inputs!E49</f>
        <v>1600000</v>
      </c>
      <c r="Z20" s="14" t="n">
        <f aca="false">AA19</f>
        <v>-10197755.1265812</v>
      </c>
      <c r="AA20" s="14" t="n">
        <f aca="false">Z20-H20+F20+G20+E20-U20-V20-W20+(S20-R20)+X20+Y20</f>
        <v>-16169192.6935051</v>
      </c>
      <c r="AB20" s="19" t="n">
        <f aca="false">IF(AA20&lt;Inputs!$C$36,1,0)</f>
        <v>1</v>
      </c>
      <c r="AC20" s="14" t="n">
        <f aca="false">AC19+M20*(1-Inputs!$C$41)</f>
        <v>0</v>
      </c>
    </row>
    <row r="21" customFormat="false" ht="15" hidden="false" customHeight="false" outlineLevel="0" collapsed="false">
      <c r="B21" s="19" t="n">
        <f aca="false">B20+1</f>
        <v>8</v>
      </c>
      <c r="C21" s="14" t="n">
        <f aca="false">N20</f>
        <v>87790485.1144544</v>
      </c>
      <c r="D21" s="14" t="n">
        <f aca="false">C21*$C$8</f>
        <v>767430.266394654</v>
      </c>
      <c r="E21" s="14" t="n">
        <f aca="false">D21*(1-Inputs!$C$40)</f>
        <v>289628.182537342</v>
      </c>
      <c r="F21" s="14" t="n">
        <f aca="false">(C21-D21)*Inputs!$C$39</f>
        <v>1740461.09696119</v>
      </c>
      <c r="G21" s="14" t="n">
        <f aca="false">(C21-D21)*'Borrowing Base'!$C$9/12</f>
        <v>1506862.38311822</v>
      </c>
      <c r="H21" s="14" t="n">
        <f aca="false">Inputs!$C$37</f>
        <v>10000000</v>
      </c>
      <c r="I21" s="14" t="n">
        <f aca="false">C21-D21-F21+H21</f>
        <v>95282593.7510985</v>
      </c>
      <c r="J21" s="14" t="n">
        <f aca="false">I21*$C$9</f>
        <v>2995449.33342629</v>
      </c>
      <c r="K21" s="14" t="n">
        <f aca="false">I21*'Borrowing Base'!$C$59</f>
        <v>7969381.38099205</v>
      </c>
      <c r="L21" s="14" t="n">
        <f aca="false">I21-J21-K21</f>
        <v>84317763.0366802</v>
      </c>
      <c r="M21" s="14" t="n">
        <f aca="false">L21*0</f>
        <v>0</v>
      </c>
      <c r="N21" s="14" t="n">
        <f aca="false">I21-M21</f>
        <v>95282593.7510985</v>
      </c>
      <c r="O21" s="14" t="n">
        <f aca="false">L21-M21</f>
        <v>84317763.0366802</v>
      </c>
      <c r="P21" s="23" t="n">
        <f aca="false">$C$10</f>
        <v>0.820349928148999</v>
      </c>
      <c r="Q21" s="14" t="n">
        <f aca="false">MIN(Inputs!$C$7,P21*O21*(1-'Borrowing Base'!$C$60))</f>
        <v>40000000</v>
      </c>
      <c r="R21" s="14" t="n">
        <f aca="false">S20</f>
        <v>40000000</v>
      </c>
      <c r="S21" s="14" t="n">
        <f aca="false">Q21</f>
        <v>40000000</v>
      </c>
      <c r="T21" s="19" t="n">
        <f aca="false">IF(P21*O21*(1-'Borrowing Base'!$C$60)&gt;Inputs!$C$7,1,0)</f>
        <v>1</v>
      </c>
      <c r="U21" s="14" t="n">
        <f aca="false">R21*(Inputs!$C$9+Inputs!$C$10)/12</f>
        <v>197666.666666667</v>
      </c>
      <c r="V21" s="14" t="n">
        <f aca="false">MAX(0,Inputs!$C$7-R21)*Inputs!$C$11/12</f>
        <v>0</v>
      </c>
      <c r="W21" s="14" t="n">
        <f aca="false">Inputs!$C$38</f>
        <v>600000</v>
      </c>
      <c r="X21" s="14" t="n">
        <f aca="false">M21*(Inputs!$C$41-Inputs!$C$42)</f>
        <v>0</v>
      </c>
      <c r="Y21" s="14" t="n">
        <f aca="false">Inputs!E49</f>
        <v>1600000</v>
      </c>
      <c r="Z21" s="14" t="n">
        <f aca="false">AA20</f>
        <v>-16169192.6935051</v>
      </c>
      <c r="AA21" s="14" t="n">
        <f aca="false">Z21-H21+F21+G21+E21-U21-V21-W21+(S21-R21)+X21+Y21</f>
        <v>-21829907.697555</v>
      </c>
      <c r="AB21" s="19" t="n">
        <f aca="false">IF(AA21&lt;Inputs!$C$36,1,0)</f>
        <v>1</v>
      </c>
      <c r="AC21" s="14" t="n">
        <f aca="false">AC20+M21*(1-Inputs!$C$41)</f>
        <v>0</v>
      </c>
    </row>
    <row r="22" customFormat="false" ht="15" hidden="false" customHeight="false" outlineLevel="0" collapsed="false">
      <c r="B22" s="19" t="n">
        <f aca="false">B21+1</f>
        <v>9</v>
      </c>
      <c r="C22" s="14" t="n">
        <f aca="false">N21</f>
        <v>95282593.7510985</v>
      </c>
      <c r="D22" s="14" t="n">
        <f aca="false">C22*$C$8</f>
        <v>832923.36532652</v>
      </c>
      <c r="E22" s="14" t="n">
        <f aca="false">D22*(1-Inputs!$C$40)</f>
        <v>314345.278074229</v>
      </c>
      <c r="F22" s="14" t="n">
        <f aca="false">(C22-D22)*Inputs!$C$39</f>
        <v>1888993.40771544</v>
      </c>
      <c r="G22" s="14" t="n">
        <f aca="false">(C22-D22)*'Borrowing Base'!$C$9/12</f>
        <v>1635459.19699931</v>
      </c>
      <c r="H22" s="14" t="n">
        <f aca="false">Inputs!$C$37</f>
        <v>10000000</v>
      </c>
      <c r="I22" s="14" t="n">
        <f aca="false">C22-D22-F22+H22</f>
        <v>102560676.978057</v>
      </c>
      <c r="J22" s="14" t="n">
        <f aca="false">I22*$C$9</f>
        <v>3224254.28816716</v>
      </c>
      <c r="K22" s="14" t="n">
        <f aca="false">I22*'Borrowing Base'!$C$59</f>
        <v>8578116.07927015</v>
      </c>
      <c r="L22" s="14" t="n">
        <f aca="false">I22-J22-K22</f>
        <v>90758306.6106193</v>
      </c>
      <c r="M22" s="14" t="n">
        <f aca="false">L22*Inputs!E52</f>
        <v>0</v>
      </c>
      <c r="N22" s="14" t="n">
        <f aca="false">I22-M22</f>
        <v>102560676.978057</v>
      </c>
      <c r="O22" s="14" t="n">
        <f aca="false">L22-M22</f>
        <v>90758306.6106193</v>
      </c>
      <c r="P22" s="23" t="n">
        <f aca="false">$C$10</f>
        <v>0.820349928148999</v>
      </c>
      <c r="Q22" s="14" t="n">
        <f aca="false">MIN(Inputs!$C$7,P22*O22*(1-'Borrowing Base'!$C$60))</f>
        <v>40000000</v>
      </c>
      <c r="R22" s="14" t="n">
        <f aca="false">S21</f>
        <v>40000000</v>
      </c>
      <c r="S22" s="14" t="n">
        <f aca="false">Q22</f>
        <v>40000000</v>
      </c>
      <c r="T22" s="19" t="n">
        <f aca="false">IF(P22*O22*(1-'Borrowing Base'!$C$60)&gt;Inputs!$C$7,1,0)</f>
        <v>1</v>
      </c>
      <c r="U22" s="14" t="n">
        <f aca="false">R22*(Inputs!$C$9+Inputs!$C$10)/12</f>
        <v>197666.666666667</v>
      </c>
      <c r="V22" s="14" t="n">
        <f aca="false">MAX(0,Inputs!$C$7-R22)*Inputs!$C$11/12</f>
        <v>0</v>
      </c>
      <c r="W22" s="14" t="n">
        <f aca="false">Inputs!$C$38</f>
        <v>600000</v>
      </c>
      <c r="X22" s="14" t="n">
        <f aca="false">M22*(Inputs!$C$41-Inputs!$C$42)</f>
        <v>0</v>
      </c>
      <c r="Y22" s="14" t="n">
        <f aca="false">Inputs!E49</f>
        <v>1600000</v>
      </c>
      <c r="Z22" s="14" t="n">
        <f aca="false">AA21</f>
        <v>-21829907.697555</v>
      </c>
      <c r="AA22" s="14" t="n">
        <f aca="false">Z22-H22+F22+G22+E22-U22-V22-W22+(S22-R22)+X22+Y22</f>
        <v>-27188776.4814327</v>
      </c>
      <c r="AB22" s="19" t="n">
        <f aca="false">IF(AA22&lt;Inputs!$C$36,1,0)</f>
        <v>1</v>
      </c>
      <c r="AC22" s="14" t="n">
        <f aca="false">AC21+M22*(1-Inputs!$C$41)</f>
        <v>0</v>
      </c>
    </row>
    <row r="23" customFormat="false" ht="15" hidden="false" customHeight="false" outlineLevel="0" collapsed="false">
      <c r="B23" s="19" t="n">
        <f aca="false">B22+1</f>
        <v>10</v>
      </c>
      <c r="C23" s="14" t="n">
        <f aca="false">N22</f>
        <v>102560676.978057</v>
      </c>
      <c r="D23" s="14" t="n">
        <f aca="false">C23*$C$8</f>
        <v>896545.537392491</v>
      </c>
      <c r="E23" s="14" t="n">
        <f aca="false">D23*(1-Inputs!$C$40)</f>
        <v>338356.285811926</v>
      </c>
      <c r="F23" s="14" t="n">
        <f aca="false">(C23-D23)*Inputs!$C$39</f>
        <v>2033282.62881328</v>
      </c>
      <c r="G23" s="14" t="n">
        <f aca="false">(C23-D23)*'Borrowing Base'!$C$9/12</f>
        <v>1760382.41415216</v>
      </c>
      <c r="H23" s="14" t="n">
        <f aca="false">Inputs!$C$37</f>
        <v>10000000</v>
      </c>
      <c r="I23" s="14" t="n">
        <f aca="false">C23-D23-F23+H23</f>
        <v>109630848.811851</v>
      </c>
      <c r="J23" s="14" t="n">
        <f aca="false">I23*$C$9</f>
        <v>3446523.02239234</v>
      </c>
      <c r="K23" s="14" t="n">
        <f aca="false">I23*'Borrowing Base'!$C$59</f>
        <v>9169461.18811386</v>
      </c>
      <c r="L23" s="14" t="n">
        <f aca="false">I23-J23-K23</f>
        <v>97014864.6013446</v>
      </c>
      <c r="M23" s="14" t="n">
        <f aca="false">L23*0</f>
        <v>0</v>
      </c>
      <c r="N23" s="14" t="n">
        <f aca="false">I23-M23</f>
        <v>109630848.811851</v>
      </c>
      <c r="O23" s="14" t="n">
        <f aca="false">L23-M23</f>
        <v>97014864.6013446</v>
      </c>
      <c r="P23" s="23" t="n">
        <f aca="false">$C$10</f>
        <v>0.820349928148999</v>
      </c>
      <c r="Q23" s="14" t="n">
        <f aca="false">MIN(Inputs!$C$7,P23*O23*(1-'Borrowing Base'!$C$60))</f>
        <v>40000000</v>
      </c>
      <c r="R23" s="14" t="n">
        <f aca="false">S22</f>
        <v>40000000</v>
      </c>
      <c r="S23" s="14" t="n">
        <f aca="false">Q23</f>
        <v>40000000</v>
      </c>
      <c r="T23" s="19" t="n">
        <f aca="false">IF(P23*O23*(1-'Borrowing Base'!$C$60)&gt;Inputs!$C$7,1,0)</f>
        <v>1</v>
      </c>
      <c r="U23" s="14" t="n">
        <f aca="false">R23*(Inputs!$C$9+Inputs!$C$10)/12</f>
        <v>197666.666666667</v>
      </c>
      <c r="V23" s="14" t="n">
        <f aca="false">MAX(0,Inputs!$C$7-R23)*Inputs!$C$11/12</f>
        <v>0</v>
      </c>
      <c r="W23" s="14" t="n">
        <f aca="false">Inputs!$C$38</f>
        <v>600000</v>
      </c>
      <c r="X23" s="14" t="n">
        <f aca="false">M23*(Inputs!$C$41-Inputs!$C$42)</f>
        <v>0</v>
      </c>
      <c r="Y23" s="14" t="n">
        <f aca="false">Inputs!E49</f>
        <v>1600000</v>
      </c>
      <c r="Z23" s="14" t="n">
        <f aca="false">AA22</f>
        <v>-27188776.4814327</v>
      </c>
      <c r="AA23" s="14" t="n">
        <f aca="false">Z23-H23+F23+G23+E23-U23-V23-W23+(S23-R23)+X23+Y23</f>
        <v>-32254421.819322</v>
      </c>
      <c r="AB23" s="19" t="n">
        <f aca="false">IF(AA23&lt;Inputs!$C$36,1,0)</f>
        <v>1</v>
      </c>
      <c r="AC23" s="14" t="n">
        <f aca="false">AC22+M23*(1-Inputs!$C$41)</f>
        <v>0</v>
      </c>
    </row>
    <row r="24" customFormat="false" ht="15" hidden="false" customHeight="false" outlineLevel="0" collapsed="false">
      <c r="B24" s="19" t="n">
        <f aca="false">B23+1</f>
        <v>11</v>
      </c>
      <c r="C24" s="14" t="n">
        <f aca="false">N23</f>
        <v>109630848.811851</v>
      </c>
      <c r="D24" s="14" t="n">
        <f aca="false">C24*$C$8</f>
        <v>958350.228946375</v>
      </c>
      <c r="E24" s="14" t="n">
        <f aca="false">D24*(1-Inputs!$C$40)</f>
        <v>361681.376404362</v>
      </c>
      <c r="F24" s="14" t="n">
        <f aca="false">(C24-D24)*Inputs!$C$39</f>
        <v>2173449.97165809</v>
      </c>
      <c r="G24" s="14" t="n">
        <f aca="false">(C24-D24)*'Borrowing Base'!$C$9/12</f>
        <v>1881736.97740166</v>
      </c>
      <c r="H24" s="14" t="n">
        <f aca="false">Inputs!$C$37</f>
        <v>10000000</v>
      </c>
      <c r="I24" s="14" t="n">
        <f aca="false">C24-D24-F24+H24</f>
        <v>116499048.611246</v>
      </c>
      <c r="J24" s="14" t="n">
        <f aca="false">I24*$C$9</f>
        <v>3662442.25486706</v>
      </c>
      <c r="K24" s="14" t="n">
        <f aca="false">I24*'Borrowing Base'!$C$59</f>
        <v>9743913.47207685</v>
      </c>
      <c r="L24" s="14" t="n">
        <f aca="false">I24-J24-K24</f>
        <v>103092692.884302</v>
      </c>
      <c r="M24" s="14" t="n">
        <f aca="false">L24*0</f>
        <v>0</v>
      </c>
      <c r="N24" s="14" t="n">
        <f aca="false">I24-M24</f>
        <v>116499048.611246</v>
      </c>
      <c r="O24" s="14" t="n">
        <f aca="false">L24-M24</f>
        <v>103092692.884302</v>
      </c>
      <c r="P24" s="23" t="n">
        <f aca="false">$C$10</f>
        <v>0.820349928148999</v>
      </c>
      <c r="Q24" s="14" t="n">
        <f aca="false">MIN(Inputs!$C$7,P24*O24*(1-'Borrowing Base'!$C$60))</f>
        <v>40000000</v>
      </c>
      <c r="R24" s="14" t="n">
        <f aca="false">S23</f>
        <v>40000000</v>
      </c>
      <c r="S24" s="14" t="n">
        <f aca="false">Q24</f>
        <v>40000000</v>
      </c>
      <c r="T24" s="19" t="n">
        <f aca="false">IF(P24*O24*(1-'Borrowing Base'!$C$60)&gt;Inputs!$C$7,1,0)</f>
        <v>1</v>
      </c>
      <c r="U24" s="14" t="n">
        <f aca="false">R24*(Inputs!$C$9+Inputs!$C$10)/12</f>
        <v>197666.666666667</v>
      </c>
      <c r="V24" s="14" t="n">
        <f aca="false">MAX(0,Inputs!$C$7-R24)*Inputs!$C$11/12</f>
        <v>0</v>
      </c>
      <c r="W24" s="14" t="n">
        <f aca="false">Inputs!$C$38</f>
        <v>600000</v>
      </c>
      <c r="X24" s="14" t="n">
        <f aca="false">M24*(Inputs!$C$41-Inputs!$C$42)</f>
        <v>0</v>
      </c>
      <c r="Y24" s="14" t="n">
        <f aca="false">Inputs!E49</f>
        <v>1600000</v>
      </c>
      <c r="Z24" s="14" t="n">
        <f aca="false">AA23</f>
        <v>-32254421.819322</v>
      </c>
      <c r="AA24" s="14" t="n">
        <f aca="false">Z24-H24+F24+G24+E24-U24-V24-W24+(S24-R24)+X24+Y24</f>
        <v>-37035220.1605245</v>
      </c>
      <c r="AB24" s="19" t="n">
        <f aca="false">IF(AA24&lt;Inputs!$C$36,1,0)</f>
        <v>1</v>
      </c>
      <c r="AC24" s="14" t="n">
        <f aca="false">AC23+M24*(1-Inputs!$C$41)</f>
        <v>0</v>
      </c>
    </row>
    <row r="25" customFormat="false" ht="15" hidden="false" customHeight="false" outlineLevel="0" collapsed="false">
      <c r="B25" s="21" t="n">
        <f aca="false">B24+1</f>
        <v>12</v>
      </c>
      <c r="C25" s="22" t="n">
        <f aca="false">N24</f>
        <v>116499048.611246</v>
      </c>
      <c r="D25" s="22" t="n">
        <f aca="false">C25*$C$8</f>
        <v>1018389.35955182</v>
      </c>
      <c r="E25" s="22" t="n">
        <f aca="false">D25*(1-Inputs!$C$40)</f>
        <v>384340.144294856</v>
      </c>
      <c r="F25" s="22" t="n">
        <f aca="false">(C25-D25)*Inputs!$C$39</f>
        <v>2309613.18503389</v>
      </c>
      <c r="G25" s="22" t="n">
        <f aca="false">(C25-D25)*'Borrowing Base'!$C$9/12</f>
        <v>1999624.83169426</v>
      </c>
      <c r="H25" s="22" t="n">
        <f aca="false">Inputs!$C$37</f>
        <v>10000000</v>
      </c>
      <c r="I25" s="22" t="n">
        <f aca="false">C25-D25-F25+H25</f>
        <v>123171046.066661</v>
      </c>
      <c r="J25" s="22" t="n">
        <f aca="false">I25*$C$9</f>
        <v>3872193.37040291</v>
      </c>
      <c r="K25" s="22" t="n">
        <f aca="false">I25*'Borrowing Base'!$C$59</f>
        <v>10301955.5047497</v>
      </c>
      <c r="L25" s="22" t="n">
        <f aca="false">I25-J25-K25</f>
        <v>108996897.191508</v>
      </c>
      <c r="M25" s="22" t="n">
        <f aca="false">L25*Inputs!E53</f>
        <v>108996897.191508</v>
      </c>
      <c r="N25" s="22" t="n">
        <f aca="false">I25-M25</f>
        <v>14174148.8751526</v>
      </c>
      <c r="O25" s="22" t="n">
        <f aca="false">L25-M25</f>
        <v>0</v>
      </c>
      <c r="P25" s="29" t="n">
        <f aca="false">$C$10</f>
        <v>0.820349928148999</v>
      </c>
      <c r="Q25" s="22" t="n">
        <f aca="false">MIN(Inputs!$C$7,P25*O25*(1-'Borrowing Base'!$C$60))</f>
        <v>0</v>
      </c>
      <c r="R25" s="22" t="n">
        <f aca="false">S24</f>
        <v>40000000</v>
      </c>
      <c r="S25" s="22" t="n">
        <f aca="false">Q25</f>
        <v>0</v>
      </c>
      <c r="T25" s="21" t="n">
        <f aca="false">IF(P25*O25*(1-'Borrowing Base'!$C$60)&gt;Inputs!$C$7,1,0)</f>
        <v>0</v>
      </c>
      <c r="U25" s="22" t="n">
        <f aca="false">R25*(Inputs!$C$9+Inputs!$C$10)/12</f>
        <v>197666.666666667</v>
      </c>
      <c r="V25" s="22" t="n">
        <f aca="false">MAX(0,Inputs!$C$7-R25)*Inputs!$C$11/12</f>
        <v>0</v>
      </c>
      <c r="W25" s="22" t="n">
        <f aca="false">Inputs!$C$38</f>
        <v>600000</v>
      </c>
      <c r="X25" s="22" t="n">
        <f aca="false">M25*(Inputs!$C$41-Inputs!$C$42)</f>
        <v>101367114.388102</v>
      </c>
      <c r="Y25" s="22" t="n">
        <f aca="false">Inputs!E49</f>
        <v>1600000</v>
      </c>
      <c r="Z25" s="22" t="n">
        <f aca="false">AA24</f>
        <v>-37035220.1605245</v>
      </c>
      <c r="AA25" s="22" t="n">
        <f aca="false">Z25-H25+F25+G25+E25-U25-V25-W25+(S25-R25)+X25+Y25</f>
        <v>19827805.7219343</v>
      </c>
      <c r="AB25" s="21" t="n">
        <f aca="false">IF(AA25&lt;Inputs!$C$36,1,0)</f>
        <v>0</v>
      </c>
      <c r="AC25" s="22" t="n">
        <f aca="false">AC24+M25*(1-Inputs!$C$41)</f>
        <v>6539813.83149049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AC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44"/>
    <col collapsed="false" customWidth="true" hidden="false" outlineLevel="0" max="29" min="3" style="0" width="14"/>
  </cols>
  <sheetData>
    <row r="2" customFormat="false" ht="15" hidden="false" customHeight="false" outlineLevel="0" collapsed="false">
      <c r="B2" s="8" t="s">
        <v>1461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false" outlineLevel="0" collapsed="false">
      <c r="B3" s="10" t="s">
        <v>1427</v>
      </c>
    </row>
    <row r="5" customFormat="false" ht="15" hidden="false" customHeight="false" outlineLevel="0" collapsed="false">
      <c r="B5" s="11" t="s">
        <v>1428</v>
      </c>
      <c r="C5" s="12"/>
      <c r="D5" s="12"/>
    </row>
    <row r="6" customFormat="false" ht="15" hidden="false" customHeight="false" outlineLevel="0" collapsed="false">
      <c r="B6" s="3" t="s">
        <v>35</v>
      </c>
      <c r="C6" s="3" t="s">
        <v>36</v>
      </c>
      <c r="D6" s="3" t="s">
        <v>63</v>
      </c>
    </row>
    <row r="7" customFormat="false" ht="15" hidden="false" customHeight="false" outlineLevel="0" collapsed="false">
      <c r="B7" s="13" t="s">
        <v>123</v>
      </c>
      <c r="C7" s="24" t="n">
        <f aca="false">Inputs!F46</f>
        <v>0.2</v>
      </c>
      <c r="D7" s="13" t="s">
        <v>71</v>
      </c>
    </row>
    <row r="8" customFormat="false" ht="15" hidden="false" customHeight="false" outlineLevel="0" collapsed="false">
      <c r="B8" s="13" t="s">
        <v>1429</v>
      </c>
      <c r="C8" s="31" t="n">
        <f aca="false">1-(1-C7)^(1/12)</f>
        <v>0.0184234701262483</v>
      </c>
      <c r="D8" s="13" t="s">
        <v>71</v>
      </c>
    </row>
    <row r="9" customFormat="false" ht="15" hidden="false" customHeight="false" outlineLevel="0" collapsed="false">
      <c r="B9" s="13" t="s">
        <v>1430</v>
      </c>
      <c r="C9" s="23" t="n">
        <f aca="false">Inputs!F47</f>
        <v>0.08</v>
      </c>
      <c r="D9" s="13" t="s">
        <v>71</v>
      </c>
    </row>
    <row r="10" customFormat="false" ht="15" hidden="false" customHeight="false" outlineLevel="0" collapsed="false">
      <c r="B10" s="16" t="s">
        <v>1431</v>
      </c>
      <c r="C10" s="29" t="n">
        <f aca="false">'Borrowing Base'!$C$48-Inputs!F48</f>
        <v>0.720349928148999</v>
      </c>
      <c r="D10" s="16" t="s">
        <v>71</v>
      </c>
    </row>
    <row r="12" customFormat="false" ht="31.5" hidden="false" customHeight="true" outlineLevel="0" collapsed="false">
      <c r="B12" s="30" t="s">
        <v>1432</v>
      </c>
      <c r="C12" s="30" t="s">
        <v>1433</v>
      </c>
      <c r="D12" s="30" t="s">
        <v>1434</v>
      </c>
      <c r="E12" s="30" t="s">
        <v>1435</v>
      </c>
      <c r="F12" s="30" t="s">
        <v>1436</v>
      </c>
      <c r="G12" s="30" t="s">
        <v>1437</v>
      </c>
      <c r="H12" s="30" t="s">
        <v>1438</v>
      </c>
      <c r="I12" s="30" t="s">
        <v>1439</v>
      </c>
      <c r="J12" s="30" t="s">
        <v>1440</v>
      </c>
      <c r="K12" s="30" t="s">
        <v>1441</v>
      </c>
      <c r="L12" s="30" t="s">
        <v>1442</v>
      </c>
      <c r="M12" s="30" t="s">
        <v>1443</v>
      </c>
      <c r="N12" s="30" t="s">
        <v>1444</v>
      </c>
      <c r="O12" s="30" t="s">
        <v>1445</v>
      </c>
      <c r="P12" s="30" t="s">
        <v>1446</v>
      </c>
      <c r="Q12" s="30" t="s">
        <v>19</v>
      </c>
      <c r="R12" s="30" t="s">
        <v>1447</v>
      </c>
      <c r="S12" s="30" t="s">
        <v>1448</v>
      </c>
      <c r="T12" s="30" t="s">
        <v>1449</v>
      </c>
      <c r="U12" s="30" t="s">
        <v>1450</v>
      </c>
      <c r="V12" s="30" t="s">
        <v>1451</v>
      </c>
      <c r="W12" s="30" t="s">
        <v>1452</v>
      </c>
      <c r="X12" s="30" t="s">
        <v>1453</v>
      </c>
      <c r="Y12" s="30" t="s">
        <v>1454</v>
      </c>
      <c r="Z12" s="30" t="s">
        <v>1455</v>
      </c>
      <c r="AA12" s="30" t="s">
        <v>1456</v>
      </c>
      <c r="AB12" s="30" t="s">
        <v>1457</v>
      </c>
      <c r="AC12" s="30" t="s">
        <v>1458</v>
      </c>
    </row>
    <row r="13" customFormat="false" ht="15" hidden="false" customHeight="false" outlineLevel="0" collapsed="false">
      <c r="B13" s="32" t="n">
        <v>0</v>
      </c>
      <c r="N13" s="14" t="n">
        <f aca="false">'Borrowing Base'!C8</f>
        <v>28800313.51</v>
      </c>
      <c r="S13" s="14" t="n">
        <f aca="false">Inputs!$C$8</f>
        <v>19500000</v>
      </c>
      <c r="AA13" s="14" t="n">
        <f aca="false">Inputs!$C$35</f>
        <v>12000000</v>
      </c>
      <c r="AC13" s="14" t="n">
        <v>0</v>
      </c>
    </row>
    <row r="14" customFormat="false" ht="15" hidden="false" customHeight="false" outlineLevel="0" collapsed="false">
      <c r="B14" s="19" t="n">
        <f aca="false">B13+1</f>
        <v>1</v>
      </c>
      <c r="C14" s="14" t="n">
        <f aca="false">N13</f>
        <v>28800313.51</v>
      </c>
      <c r="D14" s="14" t="n">
        <f aca="false">C14*$C$8</f>
        <v>530601.715578072</v>
      </c>
      <c r="E14" s="14" t="n">
        <f aca="false">D14*(1-Inputs!$C$40)</f>
        <v>200249.087459164</v>
      </c>
      <c r="F14" s="14" t="n">
        <f aca="false">(C14-D14)*Inputs!$C$39</f>
        <v>565394.235888439</v>
      </c>
      <c r="G14" s="14" t="n">
        <f aca="false">(C14-D14)*'Borrowing Base'!$C$9/12</f>
        <v>489508.962412133</v>
      </c>
      <c r="H14" s="14" t="n">
        <f aca="false">Inputs!$C$37</f>
        <v>10000000</v>
      </c>
      <c r="I14" s="14" t="n">
        <f aca="false">C14-D14-F14+H14</f>
        <v>37704317.5585335</v>
      </c>
      <c r="J14" s="14" t="n">
        <f aca="false">I14*$C$9</f>
        <v>3016345.40468268</v>
      </c>
      <c r="K14" s="14" t="n">
        <f aca="false">I14*'Borrowing Base'!$C$59</f>
        <v>3153567.45135335</v>
      </c>
      <c r="L14" s="14" t="n">
        <f aca="false">I14-J14-K14</f>
        <v>31534404.7024975</v>
      </c>
      <c r="M14" s="14" t="n">
        <f aca="false">L14*0</f>
        <v>0</v>
      </c>
      <c r="N14" s="14" t="n">
        <f aca="false">I14-M14</f>
        <v>37704317.5585335</v>
      </c>
      <c r="O14" s="14" t="n">
        <f aca="false">L14-M14</f>
        <v>31534404.7024975</v>
      </c>
      <c r="P14" s="23" t="n">
        <f aca="false">$C$10</f>
        <v>0.720349928148999</v>
      </c>
      <c r="Q14" s="14" t="n">
        <f aca="false">MIN(Inputs!$C$7,P14*O14*(1-'Borrowing Base'!$C$60))</f>
        <v>22099735.4551246</v>
      </c>
      <c r="R14" s="14" t="n">
        <f aca="false">S13</f>
        <v>19500000</v>
      </c>
      <c r="S14" s="14" t="n">
        <f aca="false">Q14</f>
        <v>22099735.4551246</v>
      </c>
      <c r="T14" s="19" t="n">
        <f aca="false">IF(P14*O14*(1-'Borrowing Base'!$C$60)&gt;Inputs!$C$7,1,0)</f>
        <v>0</v>
      </c>
      <c r="U14" s="14" t="n">
        <f aca="false">R14*(Inputs!$C$9+Inputs!$C$10)/12</f>
        <v>96362.5</v>
      </c>
      <c r="V14" s="14" t="n">
        <f aca="false">MAX(0,Inputs!$C$7-R14)*Inputs!$C$11/12</f>
        <v>8541.66666666667</v>
      </c>
      <c r="W14" s="14" t="n">
        <f aca="false">Inputs!$C$38</f>
        <v>600000</v>
      </c>
      <c r="X14" s="14" t="n">
        <f aca="false">M14*(Inputs!$C$41-Inputs!$C$42)</f>
        <v>0</v>
      </c>
      <c r="Y14" s="14" t="n">
        <f aca="false">Inputs!F49</f>
        <v>800000</v>
      </c>
      <c r="Z14" s="14" t="n">
        <f aca="false">AA13</f>
        <v>12000000</v>
      </c>
      <c r="AA14" s="14" t="n">
        <f aca="false">Z14-H14+F14+G14+E14-U14-V14-W14+(S14-R14)+X14+Y14</f>
        <v>5949983.57421767</v>
      </c>
      <c r="AB14" s="19" t="n">
        <f aca="false">IF(AA14&lt;Inputs!$C$36,1,0)</f>
        <v>0</v>
      </c>
      <c r="AC14" s="14" t="n">
        <f aca="false">AC13+M14*(1-Inputs!$C$41)</f>
        <v>0</v>
      </c>
    </row>
    <row r="15" customFormat="false" ht="15" hidden="false" customHeight="false" outlineLevel="0" collapsed="false">
      <c r="B15" s="19" t="n">
        <f aca="false">B14+1</f>
        <v>2</v>
      </c>
      <c r="C15" s="14" t="n">
        <f aca="false">N14</f>
        <v>37704317.5585335</v>
      </c>
      <c r="D15" s="14" t="n">
        <f aca="false">C15*$C$8</f>
        <v>694644.368170223</v>
      </c>
      <c r="E15" s="14" t="n">
        <f aca="false">D15*(1-Inputs!$C$40)</f>
        <v>262158.784547442</v>
      </c>
      <c r="F15" s="14" t="n">
        <f aca="false">(C15-D15)*Inputs!$C$39</f>
        <v>740193.463807265</v>
      </c>
      <c r="G15" s="14" t="n">
        <f aca="false">(C15-D15)*'Borrowing Base'!$C$9/12</f>
        <v>640847.238004088</v>
      </c>
      <c r="H15" s="14" t="n">
        <f aca="false">Inputs!$C$37</f>
        <v>10000000</v>
      </c>
      <c r="I15" s="14" t="n">
        <f aca="false">C15-D15-F15+H15</f>
        <v>46269479.726556</v>
      </c>
      <c r="J15" s="14" t="n">
        <f aca="false">I15*$C$9</f>
        <v>3701558.37812448</v>
      </c>
      <c r="K15" s="14" t="n">
        <f aca="false">I15*'Borrowing Base'!$C$59</f>
        <v>3869952.69255832</v>
      </c>
      <c r="L15" s="14" t="n">
        <f aca="false">I15-J15-K15</f>
        <v>38697968.6558732</v>
      </c>
      <c r="M15" s="14" t="n">
        <f aca="false">L15*0</f>
        <v>0</v>
      </c>
      <c r="N15" s="14" t="n">
        <f aca="false">I15-M15</f>
        <v>46269479.726556</v>
      </c>
      <c r="O15" s="14" t="n">
        <f aca="false">L15-M15</f>
        <v>38697968.6558732</v>
      </c>
      <c r="P15" s="23" t="n">
        <f aca="false">$C$10</f>
        <v>0.720349928148999</v>
      </c>
      <c r="Q15" s="14" t="n">
        <f aca="false">MIN(Inputs!$C$7,P15*O15*(1-'Borrowing Base'!$C$60))</f>
        <v>27120057.5375939</v>
      </c>
      <c r="R15" s="14" t="n">
        <f aca="false">S14</f>
        <v>22099735.4551246</v>
      </c>
      <c r="S15" s="14" t="n">
        <f aca="false">Q15</f>
        <v>27120057.5375939</v>
      </c>
      <c r="T15" s="19" t="n">
        <f aca="false">IF(P15*O15*(1-'Borrowing Base'!$C$60)&gt;Inputs!$C$7,1,0)</f>
        <v>0</v>
      </c>
      <c r="U15" s="14" t="n">
        <f aca="false">R15*(Inputs!$C$9+Inputs!$C$10)/12</f>
        <v>109209.526040741</v>
      </c>
      <c r="V15" s="14" t="n">
        <f aca="false">MAX(0,Inputs!$C$7-R15)*Inputs!$C$11/12</f>
        <v>7458.44356036475</v>
      </c>
      <c r="W15" s="14" t="n">
        <f aca="false">Inputs!$C$38</f>
        <v>600000</v>
      </c>
      <c r="X15" s="14" t="n">
        <f aca="false">M15*(Inputs!$C$41-Inputs!$C$42)</f>
        <v>0</v>
      </c>
      <c r="Y15" s="14" t="n">
        <f aca="false">Inputs!F49</f>
        <v>800000</v>
      </c>
      <c r="Z15" s="14" t="n">
        <f aca="false">AA14</f>
        <v>5949983.57421767</v>
      </c>
      <c r="AA15" s="14" t="n">
        <f aca="false">Z15-H15+F15+G15+E15-U15-V15-W15+(S15-R15)+X15+Y15</f>
        <v>2696837.17344462</v>
      </c>
      <c r="AB15" s="19" t="n">
        <f aca="false">IF(AA15&lt;Inputs!$C$36,1,0)</f>
        <v>1</v>
      </c>
      <c r="AC15" s="14" t="n">
        <f aca="false">AC14+M15*(1-Inputs!$C$41)</f>
        <v>0</v>
      </c>
    </row>
    <row r="16" customFormat="false" ht="15" hidden="false" customHeight="false" outlineLevel="0" collapsed="false">
      <c r="B16" s="19" t="n">
        <f aca="false">B15+1</f>
        <v>3</v>
      </c>
      <c r="C16" s="14" t="n">
        <f aca="false">N15</f>
        <v>46269479.726556</v>
      </c>
      <c r="D16" s="14" t="n">
        <f aca="false">C16*$C$8</f>
        <v>852444.377499258</v>
      </c>
      <c r="E16" s="14" t="n">
        <f aca="false">D16*(1-Inputs!$C$40)</f>
        <v>321712.50806822</v>
      </c>
      <c r="F16" s="14" t="n">
        <f aca="false">(C16-D16)*Inputs!$C$39</f>
        <v>908340.706981135</v>
      </c>
      <c r="G16" s="14" t="n">
        <f aca="false">(C16-D16)*'Borrowing Base'!$C$9/12</f>
        <v>786426.335408863</v>
      </c>
      <c r="H16" s="14" t="n">
        <f aca="false">Inputs!$C$37</f>
        <v>10000000</v>
      </c>
      <c r="I16" s="14" t="n">
        <f aca="false">C16-D16-F16+H16</f>
        <v>54508694.6420756</v>
      </c>
      <c r="J16" s="14" t="n">
        <f aca="false">I16*$C$9</f>
        <v>4360695.57136605</v>
      </c>
      <c r="K16" s="14" t="n">
        <f aca="false">I16*'Borrowing Base'!$C$59</f>
        <v>4559075.89289078</v>
      </c>
      <c r="L16" s="14" t="n">
        <f aca="false">I16-J16-K16</f>
        <v>45588923.1778188</v>
      </c>
      <c r="M16" s="14" t="n">
        <f aca="false">L16*Inputs!F50</f>
        <v>0</v>
      </c>
      <c r="N16" s="14" t="n">
        <f aca="false">I16-M16</f>
        <v>54508694.6420756</v>
      </c>
      <c r="O16" s="14" t="n">
        <f aca="false">L16-M16</f>
        <v>45588923.1778188</v>
      </c>
      <c r="P16" s="23" t="n">
        <f aca="false">$C$10</f>
        <v>0.720349928148999</v>
      </c>
      <c r="Q16" s="14" t="n">
        <f aca="false">MIN(Inputs!$C$7,P16*O16*(1-'Borrowing Base'!$C$60))</f>
        <v>31949331.2595814</v>
      </c>
      <c r="R16" s="14" t="n">
        <f aca="false">S15</f>
        <v>27120057.5375939</v>
      </c>
      <c r="S16" s="14" t="n">
        <f aca="false">Q16</f>
        <v>31949331.2595814</v>
      </c>
      <c r="T16" s="19" t="n">
        <f aca="false">IF(P16*O16*(1-'Borrowing Base'!$C$60)&gt;Inputs!$C$7,1,0)</f>
        <v>0</v>
      </c>
      <c r="U16" s="14" t="n">
        <f aca="false">R16*(Inputs!$C$9+Inputs!$C$10)/12</f>
        <v>134018.28433161</v>
      </c>
      <c r="V16" s="14" t="n">
        <f aca="false">MAX(0,Inputs!$C$7-R16)*Inputs!$C$11/12</f>
        <v>5366.64269266923</v>
      </c>
      <c r="W16" s="14" t="n">
        <f aca="false">Inputs!$C$38</f>
        <v>600000</v>
      </c>
      <c r="X16" s="14" t="n">
        <f aca="false">M16*(Inputs!$C$41-Inputs!$C$42)</f>
        <v>0</v>
      </c>
      <c r="Y16" s="14" t="n">
        <f aca="false">Inputs!F49</f>
        <v>800000</v>
      </c>
      <c r="Z16" s="14" t="n">
        <f aca="false">AA15</f>
        <v>2696837.17344462</v>
      </c>
      <c r="AA16" s="14" t="n">
        <f aca="false">Z16-H16+F16+G16+E16-U16-V16-W16+(S16-R16)+X16+Y16</f>
        <v>-396794.481133882</v>
      </c>
      <c r="AB16" s="19" t="n">
        <f aca="false">IF(AA16&lt;Inputs!$C$36,1,0)</f>
        <v>1</v>
      </c>
      <c r="AC16" s="14" t="n">
        <f aca="false">AC15+M16*(1-Inputs!$C$41)</f>
        <v>0</v>
      </c>
    </row>
    <row r="17" customFormat="false" ht="15" hidden="false" customHeight="false" outlineLevel="0" collapsed="false">
      <c r="B17" s="19" t="n">
        <f aca="false">B16+1</f>
        <v>4</v>
      </c>
      <c r="C17" s="14" t="n">
        <f aca="false">N16</f>
        <v>54508694.6420756</v>
      </c>
      <c r="D17" s="14" t="n">
        <f aca="false">C17*$C$8</f>
        <v>1004239.30735907</v>
      </c>
      <c r="E17" s="14" t="n">
        <f aca="false">D17*(1-Inputs!$C$40)</f>
        <v>378999.914597314</v>
      </c>
      <c r="F17" s="14" t="n">
        <f aca="false">(C17-D17)*Inputs!$C$39</f>
        <v>1070089.10669433</v>
      </c>
      <c r="G17" s="14" t="n">
        <f aca="false">(C17-D17)*'Borrowing Base'!$C$9/12</f>
        <v>926465.420156541</v>
      </c>
      <c r="H17" s="14" t="n">
        <f aca="false">Inputs!$C$37</f>
        <v>10000000</v>
      </c>
      <c r="I17" s="14" t="n">
        <f aca="false">C17-D17-F17+H17</f>
        <v>62434366.2280222</v>
      </c>
      <c r="J17" s="14" t="n">
        <f aca="false">I17*$C$9</f>
        <v>4994749.29824178</v>
      </c>
      <c r="K17" s="14" t="n">
        <f aca="false">I17*'Borrowing Base'!$C$59</f>
        <v>5221974.50933584</v>
      </c>
      <c r="L17" s="14" t="n">
        <f aca="false">I17-J17-K17</f>
        <v>52217642.4204446</v>
      </c>
      <c r="M17" s="14" t="n">
        <f aca="false">L17*0</f>
        <v>0</v>
      </c>
      <c r="N17" s="14" t="n">
        <f aca="false">I17-M17</f>
        <v>62434366.2280222</v>
      </c>
      <c r="O17" s="14" t="n">
        <f aca="false">L17-M17</f>
        <v>52217642.4204446</v>
      </c>
      <c r="P17" s="23" t="n">
        <f aca="false">$C$10</f>
        <v>0.720349928148999</v>
      </c>
      <c r="Q17" s="14" t="n">
        <f aca="false">MIN(Inputs!$C$7,P17*O17*(1-'Borrowing Base'!$C$60))</f>
        <v>36594826.9665837</v>
      </c>
      <c r="R17" s="14" t="n">
        <f aca="false">S16</f>
        <v>31949331.2595814</v>
      </c>
      <c r="S17" s="14" t="n">
        <f aca="false">Q17</f>
        <v>36594826.9665837</v>
      </c>
      <c r="T17" s="19" t="n">
        <f aca="false">IF(P17*O17*(1-'Borrowing Base'!$C$60)&gt;Inputs!$C$7,1,0)</f>
        <v>0</v>
      </c>
      <c r="U17" s="14" t="n">
        <f aca="false">R17*(Inputs!$C$9+Inputs!$C$10)/12</f>
        <v>157882.945307765</v>
      </c>
      <c r="V17" s="14" t="n">
        <f aca="false">MAX(0,Inputs!$C$7-R17)*Inputs!$C$11/12</f>
        <v>3354.44530850774</v>
      </c>
      <c r="W17" s="14" t="n">
        <f aca="false">Inputs!$C$38</f>
        <v>600000</v>
      </c>
      <c r="X17" s="14" t="n">
        <f aca="false">M17*(Inputs!$C$41-Inputs!$C$42)</f>
        <v>0</v>
      </c>
      <c r="Y17" s="14" t="n">
        <f aca="false">Inputs!F49</f>
        <v>800000</v>
      </c>
      <c r="Z17" s="14" t="n">
        <f aca="false">AA16</f>
        <v>-396794.481133882</v>
      </c>
      <c r="AA17" s="14" t="n">
        <f aca="false">Z17-H17+F17+G17+E17-U17-V17-W17+(S17-R17)+X17+Y17</f>
        <v>-3336981.7232997</v>
      </c>
      <c r="AB17" s="19" t="n">
        <f aca="false">IF(AA17&lt;Inputs!$C$36,1,0)</f>
        <v>1</v>
      </c>
      <c r="AC17" s="14" t="n">
        <f aca="false">AC16+M17*(1-Inputs!$C$41)</f>
        <v>0</v>
      </c>
    </row>
    <row r="18" customFormat="false" ht="15" hidden="false" customHeight="false" outlineLevel="0" collapsed="false">
      <c r="B18" s="19" t="n">
        <f aca="false">B17+1</f>
        <v>5</v>
      </c>
      <c r="C18" s="14" t="n">
        <f aca="false">N17</f>
        <v>62434366.2280222</v>
      </c>
      <c r="D18" s="14" t="n">
        <f aca="false">C18*$C$8</f>
        <v>1150257.68105322</v>
      </c>
      <c r="E18" s="14" t="n">
        <f aca="false">D18*(1-Inputs!$C$40)</f>
        <v>434107.248829483</v>
      </c>
      <c r="F18" s="14" t="n">
        <f aca="false">(C18-D18)*Inputs!$C$39</f>
        <v>1225682.17093938</v>
      </c>
      <c r="G18" s="14" t="n">
        <f aca="false">(C18-D18)*'Borrowing Base'!$C$9/12</f>
        <v>1061175.3174328</v>
      </c>
      <c r="H18" s="14" t="n">
        <f aca="false">Inputs!$C$37</f>
        <v>10000000</v>
      </c>
      <c r="I18" s="14" t="n">
        <f aca="false">C18-D18-F18+H18</f>
        <v>70058426.3760296</v>
      </c>
      <c r="J18" s="14" t="n">
        <f aca="false">I18*$C$9</f>
        <v>5604674.11008237</v>
      </c>
      <c r="K18" s="14" t="n">
        <f aca="false">I18*'Borrowing Base'!$C$59</f>
        <v>5859646.51845234</v>
      </c>
      <c r="L18" s="14" t="n">
        <f aca="false">I18-J18-K18</f>
        <v>58594105.7474949</v>
      </c>
      <c r="M18" s="14" t="n">
        <f aca="false">L18*0</f>
        <v>0</v>
      </c>
      <c r="N18" s="14" t="n">
        <f aca="false">I18-M18</f>
        <v>70058426.3760296</v>
      </c>
      <c r="O18" s="14" t="n">
        <f aca="false">L18-M18</f>
        <v>58594105.7474949</v>
      </c>
      <c r="P18" s="23" t="n">
        <f aca="false">$C$10</f>
        <v>0.720349928148999</v>
      </c>
      <c r="Q18" s="14" t="n">
        <f aca="false">MIN(Inputs!$C$7,P18*O18*(1-'Borrowing Base'!$C$60))</f>
        <v>40000000</v>
      </c>
      <c r="R18" s="14" t="n">
        <f aca="false">S17</f>
        <v>36594826.9665837</v>
      </c>
      <c r="S18" s="14" t="n">
        <f aca="false">Q18</f>
        <v>40000000</v>
      </c>
      <c r="T18" s="19" t="n">
        <f aca="false">IF(P18*O18*(1-'Borrowing Base'!$C$60)&gt;Inputs!$C$7,1,0)</f>
        <v>1</v>
      </c>
      <c r="U18" s="14" t="n">
        <f aca="false">R18*(Inputs!$C$9+Inputs!$C$10)/12</f>
        <v>180839.436593201</v>
      </c>
      <c r="V18" s="14" t="n">
        <f aca="false">MAX(0,Inputs!$C$7-R18)*Inputs!$C$11/12</f>
        <v>1418.8220972568</v>
      </c>
      <c r="W18" s="14" t="n">
        <f aca="false">Inputs!$C$38</f>
        <v>600000</v>
      </c>
      <c r="X18" s="14" t="n">
        <f aca="false">M18*(Inputs!$C$41-Inputs!$C$42)</f>
        <v>0</v>
      </c>
      <c r="Y18" s="14" t="n">
        <f aca="false">Inputs!F49</f>
        <v>800000</v>
      </c>
      <c r="Z18" s="14" t="n">
        <f aca="false">AA17</f>
        <v>-3336981.7232997</v>
      </c>
      <c r="AA18" s="14" t="n">
        <f aca="false">Z18-H18+F18+G18+E18-U18-V18-W18+(S18-R18)+X18+Y18</f>
        <v>-7193102.21137219</v>
      </c>
      <c r="AB18" s="19" t="n">
        <f aca="false">IF(AA18&lt;Inputs!$C$36,1,0)</f>
        <v>1</v>
      </c>
      <c r="AC18" s="14" t="n">
        <f aca="false">AC17+M18*(1-Inputs!$C$41)</f>
        <v>0</v>
      </c>
    </row>
    <row r="19" customFormat="false" ht="15" hidden="false" customHeight="false" outlineLevel="0" collapsed="false">
      <c r="B19" s="19" t="n">
        <f aca="false">B18+1</f>
        <v>6</v>
      </c>
      <c r="C19" s="14" t="n">
        <f aca="false">N18</f>
        <v>70058426.3760296</v>
      </c>
      <c r="D19" s="14" t="n">
        <f aca="false">C19*$C$8</f>
        <v>1290719.32543075</v>
      </c>
      <c r="E19" s="14" t="n">
        <f aca="false">D19*(1-Inputs!$C$40)</f>
        <v>487117.473417565</v>
      </c>
      <c r="F19" s="14" t="n">
        <f aca="false">(C19-D19)*Inputs!$C$39</f>
        <v>1375354.14101198</v>
      </c>
      <c r="G19" s="14" t="n">
        <f aca="false">(C19-D19)*'Borrowing Base'!$C$9/12</f>
        <v>1190758.82947071</v>
      </c>
      <c r="H19" s="14" t="n">
        <f aca="false">Inputs!$C$37</f>
        <v>10000000</v>
      </c>
      <c r="I19" s="14" t="n">
        <f aca="false">C19-D19-F19+H19</f>
        <v>77392352.9095869</v>
      </c>
      <c r="J19" s="14" t="n">
        <f aca="false">I19*$C$9</f>
        <v>6191388.23276695</v>
      </c>
      <c r="K19" s="14" t="n">
        <f aca="false">I19*'Borrowing Base'!$C$59</f>
        <v>6473051.9188004</v>
      </c>
      <c r="L19" s="14" t="n">
        <f aca="false">I19-J19-K19</f>
        <v>64727912.7580195</v>
      </c>
      <c r="M19" s="14" t="n">
        <f aca="false">L19*Inputs!F51</f>
        <v>0</v>
      </c>
      <c r="N19" s="14" t="n">
        <f aca="false">I19-M19</f>
        <v>77392352.9095869</v>
      </c>
      <c r="O19" s="14" t="n">
        <f aca="false">L19-M19</f>
        <v>64727912.7580195</v>
      </c>
      <c r="P19" s="23" t="n">
        <f aca="false">$C$10</f>
        <v>0.720349928148999</v>
      </c>
      <c r="Q19" s="14" t="n">
        <f aca="false">MIN(Inputs!$C$7,P19*O19*(1-'Borrowing Base'!$C$60))</f>
        <v>40000000</v>
      </c>
      <c r="R19" s="14" t="n">
        <f aca="false">S18</f>
        <v>40000000</v>
      </c>
      <c r="S19" s="14" t="n">
        <f aca="false">Q19</f>
        <v>40000000</v>
      </c>
      <c r="T19" s="19" t="n">
        <f aca="false">IF(P19*O19*(1-'Borrowing Base'!$C$60)&gt;Inputs!$C$7,1,0)</f>
        <v>1</v>
      </c>
      <c r="U19" s="14" t="n">
        <f aca="false">R19*(Inputs!$C$9+Inputs!$C$10)/12</f>
        <v>197666.666666667</v>
      </c>
      <c r="V19" s="14" t="n">
        <f aca="false">MAX(0,Inputs!$C$7-R19)*Inputs!$C$11/12</f>
        <v>0</v>
      </c>
      <c r="W19" s="14" t="n">
        <f aca="false">Inputs!$C$38</f>
        <v>600000</v>
      </c>
      <c r="X19" s="14" t="n">
        <f aca="false">M19*(Inputs!$C$41-Inputs!$C$42)</f>
        <v>0</v>
      </c>
      <c r="Y19" s="14" t="n">
        <f aca="false">Inputs!F49</f>
        <v>800000</v>
      </c>
      <c r="Z19" s="14" t="n">
        <f aca="false">AA18</f>
        <v>-7193102.21137219</v>
      </c>
      <c r="AA19" s="14" t="n">
        <f aca="false">Z19-H19+F19+G19+E19-U19-V19-W19+(S19-R19)+X19+Y19</f>
        <v>-14137538.4341386</v>
      </c>
      <c r="AB19" s="19" t="n">
        <f aca="false">IF(AA19&lt;Inputs!$C$36,1,0)</f>
        <v>1</v>
      </c>
      <c r="AC19" s="14" t="n">
        <f aca="false">AC18+M19*(1-Inputs!$C$41)</f>
        <v>0</v>
      </c>
    </row>
    <row r="20" customFormat="false" ht="15" hidden="false" customHeight="false" outlineLevel="0" collapsed="false">
      <c r="B20" s="19" t="n">
        <f aca="false">B19+1</f>
        <v>7</v>
      </c>
      <c r="C20" s="14" t="n">
        <f aca="false">N19</f>
        <v>77392352.9095869</v>
      </c>
      <c r="D20" s="14" t="n">
        <f aca="false">C20*$C$8</f>
        <v>1425835.70182984</v>
      </c>
      <c r="E20" s="14" t="n">
        <f aca="false">D20*(1-Inputs!$C$40)</f>
        <v>538110.393870583</v>
      </c>
      <c r="F20" s="14" t="n">
        <f aca="false">(C20-D20)*Inputs!$C$39</f>
        <v>1519330.34415514</v>
      </c>
      <c r="G20" s="14" t="n">
        <f aca="false">(C20-D20)*'Borrowing Base'!$C$9/12</f>
        <v>1315411.04086424</v>
      </c>
      <c r="H20" s="14" t="n">
        <f aca="false">Inputs!$C$37</f>
        <v>10000000</v>
      </c>
      <c r="I20" s="14" t="n">
        <f aca="false">C20-D20-F20+H20</f>
        <v>84447186.8636019</v>
      </c>
      <c r="J20" s="14" t="n">
        <f aca="false">I20*$C$9</f>
        <v>6755774.94908815</v>
      </c>
      <c r="K20" s="14" t="n">
        <f aca="false">I20*'Borrowing Base'!$C$59</f>
        <v>7063114.17619429</v>
      </c>
      <c r="L20" s="14" t="n">
        <f aca="false">I20-J20-K20</f>
        <v>70628297.7383194</v>
      </c>
      <c r="M20" s="14" t="n">
        <f aca="false">L20*0</f>
        <v>0</v>
      </c>
      <c r="N20" s="14" t="n">
        <f aca="false">I20-M20</f>
        <v>84447186.8636019</v>
      </c>
      <c r="O20" s="14" t="n">
        <f aca="false">L20-M20</f>
        <v>70628297.7383194</v>
      </c>
      <c r="P20" s="23" t="n">
        <f aca="false">$C$10</f>
        <v>0.720349928148999</v>
      </c>
      <c r="Q20" s="14" t="n">
        <f aca="false">MIN(Inputs!$C$7,P20*O20*(1-'Borrowing Base'!$C$60))</f>
        <v>40000000</v>
      </c>
      <c r="R20" s="14" t="n">
        <f aca="false">S19</f>
        <v>40000000</v>
      </c>
      <c r="S20" s="14" t="n">
        <f aca="false">Q20</f>
        <v>40000000</v>
      </c>
      <c r="T20" s="19" t="n">
        <f aca="false">IF(P20*O20*(1-'Borrowing Base'!$C$60)&gt;Inputs!$C$7,1,0)</f>
        <v>1</v>
      </c>
      <c r="U20" s="14" t="n">
        <f aca="false">R20*(Inputs!$C$9+Inputs!$C$10)/12</f>
        <v>197666.666666667</v>
      </c>
      <c r="V20" s="14" t="n">
        <f aca="false">MAX(0,Inputs!$C$7-R20)*Inputs!$C$11/12</f>
        <v>0</v>
      </c>
      <c r="W20" s="14" t="n">
        <f aca="false">Inputs!$C$38</f>
        <v>600000</v>
      </c>
      <c r="X20" s="14" t="n">
        <f aca="false">M20*(Inputs!$C$41-Inputs!$C$42)</f>
        <v>0</v>
      </c>
      <c r="Y20" s="14" t="n">
        <f aca="false">Inputs!F49</f>
        <v>800000</v>
      </c>
      <c r="Z20" s="14" t="n">
        <f aca="false">AA19</f>
        <v>-14137538.4341386</v>
      </c>
      <c r="AA20" s="14" t="n">
        <f aca="false">Z20-H20+F20+G20+E20-U20-V20-W20+(S20-R20)+X20+Y20</f>
        <v>-20762353.3219153</v>
      </c>
      <c r="AB20" s="19" t="n">
        <f aca="false">IF(AA20&lt;Inputs!$C$36,1,0)</f>
        <v>1</v>
      </c>
      <c r="AC20" s="14" t="n">
        <f aca="false">AC19+M20*(1-Inputs!$C$41)</f>
        <v>0</v>
      </c>
    </row>
    <row r="21" customFormat="false" ht="15" hidden="false" customHeight="false" outlineLevel="0" collapsed="false">
      <c r="B21" s="19" t="n">
        <f aca="false">B20+1</f>
        <v>8</v>
      </c>
      <c r="C21" s="14" t="n">
        <f aca="false">N20</f>
        <v>84447186.8636019</v>
      </c>
      <c r="D21" s="14" t="n">
        <f aca="false">C21*$C$8</f>
        <v>1555810.22442728</v>
      </c>
      <c r="E21" s="14" t="n">
        <f aca="false">D21*(1-Inputs!$C$40)</f>
        <v>587162.778698856</v>
      </c>
      <c r="F21" s="14" t="n">
        <f aca="false">(C21-D21)*Inputs!$C$39</f>
        <v>1657827.53278349</v>
      </c>
      <c r="G21" s="14" t="n">
        <f aca="false">(C21-D21)*'Borrowing Base'!$C$9/12</f>
        <v>1435319.61226297</v>
      </c>
      <c r="H21" s="14" t="n">
        <f aca="false">Inputs!$C$37</f>
        <v>10000000</v>
      </c>
      <c r="I21" s="14" t="n">
        <f aca="false">C21-D21-F21+H21</f>
        <v>91233549.1063911</v>
      </c>
      <c r="J21" s="14" t="n">
        <f aca="false">I21*$C$9</f>
        <v>7298683.92851129</v>
      </c>
      <c r="K21" s="14" t="n">
        <f aca="false">I21*'Borrowing Base'!$C$59</f>
        <v>7630721.61395601</v>
      </c>
      <c r="L21" s="14" t="n">
        <f aca="false">I21-J21-K21</f>
        <v>76304143.5639238</v>
      </c>
      <c r="M21" s="14" t="n">
        <f aca="false">L21*0</f>
        <v>0</v>
      </c>
      <c r="N21" s="14" t="n">
        <f aca="false">I21-M21</f>
        <v>91233549.1063911</v>
      </c>
      <c r="O21" s="14" t="n">
        <f aca="false">L21-M21</f>
        <v>76304143.5639238</v>
      </c>
      <c r="P21" s="23" t="n">
        <f aca="false">$C$10</f>
        <v>0.720349928148999</v>
      </c>
      <c r="Q21" s="14" t="n">
        <f aca="false">MIN(Inputs!$C$7,P21*O21*(1-'Borrowing Base'!$C$60))</f>
        <v>40000000</v>
      </c>
      <c r="R21" s="14" t="n">
        <f aca="false">S20</f>
        <v>40000000</v>
      </c>
      <c r="S21" s="14" t="n">
        <f aca="false">Q21</f>
        <v>40000000</v>
      </c>
      <c r="T21" s="19" t="n">
        <f aca="false">IF(P21*O21*(1-'Borrowing Base'!$C$60)&gt;Inputs!$C$7,1,0)</f>
        <v>1</v>
      </c>
      <c r="U21" s="14" t="n">
        <f aca="false">R21*(Inputs!$C$9+Inputs!$C$10)/12</f>
        <v>197666.666666667</v>
      </c>
      <c r="V21" s="14" t="n">
        <f aca="false">MAX(0,Inputs!$C$7-R21)*Inputs!$C$11/12</f>
        <v>0</v>
      </c>
      <c r="W21" s="14" t="n">
        <f aca="false">Inputs!$C$38</f>
        <v>600000</v>
      </c>
      <c r="X21" s="14" t="n">
        <f aca="false">M21*(Inputs!$C$41-Inputs!$C$42)</f>
        <v>0</v>
      </c>
      <c r="Y21" s="14" t="n">
        <f aca="false">Inputs!F49</f>
        <v>800000</v>
      </c>
      <c r="Z21" s="14" t="n">
        <f aca="false">AA20</f>
        <v>-20762353.3219153</v>
      </c>
      <c r="AA21" s="14" t="n">
        <f aca="false">Z21-H21+F21+G21+E21-U21-V21-W21+(S21-R21)+X21+Y21</f>
        <v>-27079710.0648366</v>
      </c>
      <c r="AB21" s="19" t="n">
        <f aca="false">IF(AA21&lt;Inputs!$C$36,1,0)</f>
        <v>1</v>
      </c>
      <c r="AC21" s="14" t="n">
        <f aca="false">AC20+M21*(1-Inputs!$C$41)</f>
        <v>0</v>
      </c>
    </row>
    <row r="22" customFormat="false" ht="15" hidden="false" customHeight="false" outlineLevel="0" collapsed="false">
      <c r="B22" s="19" t="n">
        <f aca="false">B21+1</f>
        <v>9</v>
      </c>
      <c r="C22" s="14" t="n">
        <f aca="false">N21</f>
        <v>91233549.1063911</v>
      </c>
      <c r="D22" s="14" t="n">
        <f aca="false">C22*$C$8</f>
        <v>1680838.56647321</v>
      </c>
      <c r="E22" s="14" t="n">
        <f aca="false">D22*(1-Inputs!$C$40)</f>
        <v>634348.474986989</v>
      </c>
      <c r="F22" s="14" t="n">
        <f aca="false">(C22-D22)*Inputs!$C$39</f>
        <v>1791054.21079836</v>
      </c>
      <c r="G22" s="14" t="n">
        <f aca="false">(C22-D22)*'Borrowing Base'!$C$9/12</f>
        <v>1550665.06289035</v>
      </c>
      <c r="H22" s="14" t="n">
        <f aca="false">Inputs!$C$37</f>
        <v>10000000</v>
      </c>
      <c r="I22" s="14" t="n">
        <f aca="false">C22-D22-F22+H22</f>
        <v>97761656.3291196</v>
      </c>
      <c r="J22" s="14" t="n">
        <f aca="false">I22*$C$9</f>
        <v>7820932.50632957</v>
      </c>
      <c r="K22" s="14" t="n">
        <f aca="false">I22*'Borrowing Base'!$C$59</f>
        <v>8176728.75026292</v>
      </c>
      <c r="L22" s="14" t="n">
        <f aca="false">I22-J22-K22</f>
        <v>81763995.0725271</v>
      </c>
      <c r="M22" s="14" t="n">
        <f aca="false">L22*Inputs!F52</f>
        <v>0</v>
      </c>
      <c r="N22" s="14" t="n">
        <f aca="false">I22-M22</f>
        <v>97761656.3291196</v>
      </c>
      <c r="O22" s="14" t="n">
        <f aca="false">L22-M22</f>
        <v>81763995.0725271</v>
      </c>
      <c r="P22" s="23" t="n">
        <f aca="false">$C$10</f>
        <v>0.720349928148999</v>
      </c>
      <c r="Q22" s="14" t="n">
        <f aca="false">MIN(Inputs!$C$7,P22*O22*(1-'Borrowing Base'!$C$60))</f>
        <v>40000000</v>
      </c>
      <c r="R22" s="14" t="n">
        <f aca="false">S21</f>
        <v>40000000</v>
      </c>
      <c r="S22" s="14" t="n">
        <f aca="false">Q22</f>
        <v>40000000</v>
      </c>
      <c r="T22" s="19" t="n">
        <f aca="false">IF(P22*O22*(1-'Borrowing Base'!$C$60)&gt;Inputs!$C$7,1,0)</f>
        <v>1</v>
      </c>
      <c r="U22" s="14" t="n">
        <f aca="false">R22*(Inputs!$C$9+Inputs!$C$10)/12</f>
        <v>197666.666666667</v>
      </c>
      <c r="V22" s="14" t="n">
        <f aca="false">MAX(0,Inputs!$C$7-R22)*Inputs!$C$11/12</f>
        <v>0</v>
      </c>
      <c r="W22" s="14" t="n">
        <f aca="false">Inputs!$C$38</f>
        <v>600000</v>
      </c>
      <c r="X22" s="14" t="n">
        <f aca="false">M22*(Inputs!$C$41-Inputs!$C$42)</f>
        <v>0</v>
      </c>
      <c r="Y22" s="14" t="n">
        <f aca="false">Inputs!F49</f>
        <v>800000</v>
      </c>
      <c r="Z22" s="14" t="n">
        <f aca="false">AA21</f>
        <v>-27079710.0648366</v>
      </c>
      <c r="AA22" s="14" t="n">
        <f aca="false">Z22-H22+F22+G22+E22-U22-V22-W22+(S22-R22)+X22+Y22</f>
        <v>-33101308.9828276</v>
      </c>
      <c r="AB22" s="19" t="n">
        <f aca="false">IF(AA22&lt;Inputs!$C$36,1,0)</f>
        <v>1</v>
      </c>
      <c r="AC22" s="14" t="n">
        <f aca="false">AC21+M22*(1-Inputs!$C$41)</f>
        <v>0</v>
      </c>
    </row>
    <row r="23" customFormat="false" ht="15" hidden="false" customHeight="false" outlineLevel="0" collapsed="false">
      <c r="B23" s="19" t="n">
        <f aca="false">B22+1</f>
        <v>10</v>
      </c>
      <c r="C23" s="14" t="n">
        <f aca="false">N22</f>
        <v>97761656.3291196</v>
      </c>
      <c r="D23" s="14" t="n">
        <f aca="false">C23*$C$8</f>
        <v>1801108.95487209</v>
      </c>
      <c r="E23" s="14" t="n">
        <f aca="false">D23*(1-Inputs!$C$40)</f>
        <v>679738.519568727</v>
      </c>
      <c r="F23" s="14" t="n">
        <f aca="false">(C23-D23)*Inputs!$C$39</f>
        <v>1919210.94748495</v>
      </c>
      <c r="G23" s="14" t="n">
        <f aca="false">(C23-D23)*'Borrowing Base'!$C$9/12</f>
        <v>1661621.04231062</v>
      </c>
      <c r="H23" s="14" t="n">
        <f aca="false">Inputs!$C$37</f>
        <v>10000000</v>
      </c>
      <c r="I23" s="14" t="n">
        <f aca="false">C23-D23-F23+H23</f>
        <v>104041336.426763</v>
      </c>
      <c r="J23" s="14" t="n">
        <f aca="false">I23*$C$9</f>
        <v>8323306.914141</v>
      </c>
      <c r="K23" s="14" t="n">
        <f aca="false">I23*'Borrowing Base'!$C$59</f>
        <v>8701957.58460251</v>
      </c>
      <c r="L23" s="14" t="n">
        <f aca="false">I23-J23-K23</f>
        <v>87016071.928019</v>
      </c>
      <c r="M23" s="14" t="n">
        <f aca="false">L23*0</f>
        <v>0</v>
      </c>
      <c r="N23" s="14" t="n">
        <f aca="false">I23-M23</f>
        <v>104041336.426763</v>
      </c>
      <c r="O23" s="14" t="n">
        <f aca="false">L23-M23</f>
        <v>87016071.928019</v>
      </c>
      <c r="P23" s="23" t="n">
        <f aca="false">$C$10</f>
        <v>0.720349928148999</v>
      </c>
      <c r="Q23" s="14" t="n">
        <f aca="false">MIN(Inputs!$C$7,P23*O23*(1-'Borrowing Base'!$C$60))</f>
        <v>40000000</v>
      </c>
      <c r="R23" s="14" t="n">
        <f aca="false">S22</f>
        <v>40000000</v>
      </c>
      <c r="S23" s="14" t="n">
        <f aca="false">Q23</f>
        <v>40000000</v>
      </c>
      <c r="T23" s="19" t="n">
        <f aca="false">IF(P23*O23*(1-'Borrowing Base'!$C$60)&gt;Inputs!$C$7,1,0)</f>
        <v>1</v>
      </c>
      <c r="U23" s="14" t="n">
        <f aca="false">R23*(Inputs!$C$9+Inputs!$C$10)/12</f>
        <v>197666.666666667</v>
      </c>
      <c r="V23" s="14" t="n">
        <f aca="false">MAX(0,Inputs!$C$7-R23)*Inputs!$C$11/12</f>
        <v>0</v>
      </c>
      <c r="W23" s="14" t="n">
        <f aca="false">Inputs!$C$38</f>
        <v>600000</v>
      </c>
      <c r="X23" s="14" t="n">
        <f aca="false">M23*(Inputs!$C$41-Inputs!$C$42)</f>
        <v>0</v>
      </c>
      <c r="Y23" s="14" t="n">
        <f aca="false">Inputs!F49</f>
        <v>800000</v>
      </c>
      <c r="Z23" s="14" t="n">
        <f aca="false">AA22</f>
        <v>-33101308.9828276</v>
      </c>
      <c r="AA23" s="14" t="n">
        <f aca="false">Z23-H23+F23+G23+E23-U23-V23-W23+(S23-R23)+X23+Y23</f>
        <v>-38838405.14013</v>
      </c>
      <c r="AB23" s="19" t="n">
        <f aca="false">IF(AA23&lt;Inputs!$C$36,1,0)</f>
        <v>1</v>
      </c>
      <c r="AC23" s="14" t="n">
        <f aca="false">AC22+M23*(1-Inputs!$C$41)</f>
        <v>0</v>
      </c>
    </row>
    <row r="24" customFormat="false" ht="15" hidden="false" customHeight="false" outlineLevel="0" collapsed="false">
      <c r="B24" s="19" t="n">
        <f aca="false">B23+1</f>
        <v>11</v>
      </c>
      <c r="C24" s="14" t="n">
        <f aca="false">N23</f>
        <v>104041336.426763</v>
      </c>
      <c r="D24" s="14" t="n">
        <f aca="false">C24*$C$8</f>
        <v>1916802.45355341</v>
      </c>
      <c r="E24" s="14" t="n">
        <f aca="false">D24*(1-Inputs!$C$40)</f>
        <v>723401.245971058</v>
      </c>
      <c r="F24" s="14" t="n">
        <f aca="false">(C24-D24)*Inputs!$C$39</f>
        <v>2042490.67946418</v>
      </c>
      <c r="G24" s="14" t="n">
        <f aca="false">(C24-D24)*'Borrowing Base'!$C$9/12</f>
        <v>1768354.59185375</v>
      </c>
      <c r="H24" s="14" t="n">
        <f aca="false">Inputs!$C$37</f>
        <v>10000000</v>
      </c>
      <c r="I24" s="14" t="n">
        <f aca="false">C24-D24-F24+H24</f>
        <v>110082043.293745</v>
      </c>
      <c r="J24" s="14" t="n">
        <f aca="false">I24*$C$9</f>
        <v>8806563.46349959</v>
      </c>
      <c r="K24" s="14" t="n">
        <f aca="false">I24*'Borrowing Base'!$C$59</f>
        <v>9207198.83527118</v>
      </c>
      <c r="L24" s="14" t="n">
        <f aca="false">I24-J24-K24</f>
        <v>92068280.9949742</v>
      </c>
      <c r="M24" s="14" t="n">
        <f aca="false">L24*0</f>
        <v>0</v>
      </c>
      <c r="N24" s="14" t="n">
        <f aca="false">I24-M24</f>
        <v>110082043.293745</v>
      </c>
      <c r="O24" s="14" t="n">
        <f aca="false">L24-M24</f>
        <v>92068280.9949742</v>
      </c>
      <c r="P24" s="23" t="n">
        <f aca="false">$C$10</f>
        <v>0.720349928148999</v>
      </c>
      <c r="Q24" s="14" t="n">
        <f aca="false">MIN(Inputs!$C$7,P24*O24*(1-'Borrowing Base'!$C$60))</f>
        <v>40000000</v>
      </c>
      <c r="R24" s="14" t="n">
        <f aca="false">S23</f>
        <v>40000000</v>
      </c>
      <c r="S24" s="14" t="n">
        <f aca="false">Q24</f>
        <v>40000000</v>
      </c>
      <c r="T24" s="19" t="n">
        <f aca="false">IF(P24*O24*(1-'Borrowing Base'!$C$60)&gt;Inputs!$C$7,1,0)</f>
        <v>1</v>
      </c>
      <c r="U24" s="14" t="n">
        <f aca="false">R24*(Inputs!$C$9+Inputs!$C$10)/12</f>
        <v>197666.666666667</v>
      </c>
      <c r="V24" s="14" t="n">
        <f aca="false">MAX(0,Inputs!$C$7-R24)*Inputs!$C$11/12</f>
        <v>0</v>
      </c>
      <c r="W24" s="14" t="n">
        <f aca="false">Inputs!$C$38</f>
        <v>600000</v>
      </c>
      <c r="X24" s="14" t="n">
        <f aca="false">M24*(Inputs!$C$41-Inputs!$C$42)</f>
        <v>0</v>
      </c>
      <c r="Y24" s="14" t="n">
        <f aca="false">Inputs!F49</f>
        <v>800000</v>
      </c>
      <c r="Z24" s="14" t="n">
        <f aca="false">AA23</f>
        <v>-38838405.14013</v>
      </c>
      <c r="AA24" s="14" t="n">
        <f aca="false">Z24-H24+F24+G24+E24-U24-V24-W24+(S24-R24)+X24+Y24</f>
        <v>-44301825.2895077</v>
      </c>
      <c r="AB24" s="19" t="n">
        <f aca="false">IF(AA24&lt;Inputs!$C$36,1,0)</f>
        <v>1</v>
      </c>
      <c r="AC24" s="14" t="n">
        <f aca="false">AC23+M24*(1-Inputs!$C$41)</f>
        <v>0</v>
      </c>
    </row>
    <row r="25" customFormat="false" ht="15" hidden="false" customHeight="false" outlineLevel="0" collapsed="false">
      <c r="B25" s="21" t="n">
        <f aca="false">B24+1</f>
        <v>12</v>
      </c>
      <c r="C25" s="22" t="n">
        <f aca="false">N24</f>
        <v>110082043.293745</v>
      </c>
      <c r="D25" s="22" t="n">
        <f aca="false">C25*$C$8</f>
        <v>2028093.23605869</v>
      </c>
      <c r="E25" s="22" t="n">
        <f aca="false">D25*(1-Inputs!$C$40)</f>
        <v>765402.387288548</v>
      </c>
      <c r="F25" s="22" t="n">
        <f aca="false">(C25-D25)*Inputs!$C$39</f>
        <v>2161079.00115373</v>
      </c>
      <c r="G25" s="22" t="n">
        <f aca="false">(C25-D25)*'Borrowing Base'!$C$9/12</f>
        <v>1871026.39609178</v>
      </c>
      <c r="H25" s="22" t="n">
        <f aca="false">Inputs!$C$37</f>
        <v>10000000</v>
      </c>
      <c r="I25" s="22" t="n">
        <f aca="false">C25-D25-F25+H25</f>
        <v>115892871.056533</v>
      </c>
      <c r="J25" s="22" t="n">
        <f aca="false">I25*$C$9</f>
        <v>9271429.6845226</v>
      </c>
      <c r="K25" s="22" t="n">
        <f aca="false">I25*'Borrowing Base'!$C$59</f>
        <v>9693213.12978001</v>
      </c>
      <c r="L25" s="22" t="n">
        <f aca="false">I25-J25-K25</f>
        <v>96928228.2422299</v>
      </c>
      <c r="M25" s="22" t="n">
        <f aca="false">L25*Inputs!F53</f>
        <v>96928228.2422299</v>
      </c>
      <c r="N25" s="22" t="n">
        <f aca="false">I25-M25</f>
        <v>18964642.8143026</v>
      </c>
      <c r="O25" s="22" t="n">
        <f aca="false">L25-M25</f>
        <v>0</v>
      </c>
      <c r="P25" s="29" t="n">
        <f aca="false">$C$10</f>
        <v>0.720349928148999</v>
      </c>
      <c r="Q25" s="22" t="n">
        <f aca="false">MIN(Inputs!$C$7,P25*O25*(1-'Borrowing Base'!$C$60))</f>
        <v>0</v>
      </c>
      <c r="R25" s="22" t="n">
        <f aca="false">S24</f>
        <v>40000000</v>
      </c>
      <c r="S25" s="22" t="n">
        <f aca="false">Q25</f>
        <v>0</v>
      </c>
      <c r="T25" s="21" t="n">
        <f aca="false">IF(P25*O25*(1-'Borrowing Base'!$C$60)&gt;Inputs!$C$7,1,0)</f>
        <v>0</v>
      </c>
      <c r="U25" s="22" t="n">
        <f aca="false">R25*(Inputs!$C$9+Inputs!$C$10)/12</f>
        <v>197666.666666667</v>
      </c>
      <c r="V25" s="22" t="n">
        <f aca="false">MAX(0,Inputs!$C$7-R25)*Inputs!$C$11/12</f>
        <v>0</v>
      </c>
      <c r="W25" s="22" t="n">
        <f aca="false">Inputs!$C$38</f>
        <v>600000</v>
      </c>
      <c r="X25" s="22" t="n">
        <f aca="false">M25*(Inputs!$C$41-Inputs!$C$42)</f>
        <v>90143252.2652738</v>
      </c>
      <c r="Y25" s="22" t="n">
        <f aca="false">Inputs!F49</f>
        <v>800000</v>
      </c>
      <c r="Z25" s="22" t="n">
        <f aca="false">AA24</f>
        <v>-44301825.2895077</v>
      </c>
      <c r="AA25" s="22" t="n">
        <f aca="false">Z25-H25+F25+G25+E25-U25-V25-W25+(S25-R25)+X25+Y25</f>
        <v>641268.093633547</v>
      </c>
      <c r="AB25" s="21" t="n">
        <f aca="false">IF(AA25&lt;Inputs!$C$36,1,0)</f>
        <v>1</v>
      </c>
      <c r="AC25" s="22" t="n">
        <f aca="false">AC24+M25*(1-Inputs!$C$41)</f>
        <v>5815693.6945338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E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.8"/>
    <col collapsed="false" customWidth="true" hidden="false" outlineLevel="0" max="2" min="2" style="0" width="5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10"/>
  </cols>
  <sheetData>
    <row r="2" customFormat="false" ht="15" hidden="false" customHeight="false" outlineLevel="0" collapsed="false">
      <c r="B2" s="8" t="s">
        <v>14</v>
      </c>
      <c r="C2" s="9"/>
      <c r="D2" s="9"/>
      <c r="E2" s="9"/>
    </row>
    <row r="3" customFormat="false" ht="15" hidden="false" customHeight="false" outlineLevel="0" collapsed="false">
      <c r="B3" s="10" t="s">
        <v>1462</v>
      </c>
    </row>
    <row r="5" customFormat="false" ht="15" hidden="false" customHeight="false" outlineLevel="0" collapsed="false">
      <c r="B5" s="11" t="s">
        <v>1463</v>
      </c>
      <c r="C5" s="12"/>
      <c r="D5" s="12"/>
      <c r="E5" s="12"/>
    </row>
    <row r="6" customFormat="false" ht="15" hidden="false" customHeight="false" outlineLevel="0" collapsed="false">
      <c r="B6" s="3" t="s">
        <v>35</v>
      </c>
      <c r="C6" s="3" t="s">
        <v>36</v>
      </c>
      <c r="D6" s="3" t="s">
        <v>63</v>
      </c>
      <c r="E6" s="3" t="s">
        <v>1464</v>
      </c>
    </row>
    <row r="7" customFormat="false" ht="15" hidden="false" customHeight="false" outlineLevel="0" collapsed="false">
      <c r="B7" s="13" t="s">
        <v>1465</v>
      </c>
      <c r="C7" s="23" t="n">
        <v>0.0388</v>
      </c>
      <c r="D7" s="13" t="s">
        <v>71</v>
      </c>
      <c r="E7" s="13" t="s">
        <v>1466</v>
      </c>
    </row>
    <row r="8" customFormat="false" ht="15" hidden="false" customHeight="false" outlineLevel="0" collapsed="false">
      <c r="B8" s="13" t="s">
        <v>1467</v>
      </c>
      <c r="C8" s="23" t="n">
        <v>0.0185</v>
      </c>
      <c r="D8" s="13" t="s">
        <v>71</v>
      </c>
      <c r="E8" s="13" t="s">
        <v>1468</v>
      </c>
    </row>
    <row r="9" customFormat="false" ht="15" hidden="false" customHeight="false" outlineLevel="0" collapsed="false">
      <c r="B9" s="13" t="s">
        <v>1469</v>
      </c>
      <c r="C9" s="23" t="n">
        <v>0.0205</v>
      </c>
      <c r="D9" s="13" t="s">
        <v>71</v>
      </c>
      <c r="E9" s="13" t="s">
        <v>1470</v>
      </c>
    </row>
    <row r="10" customFormat="false" ht="15" hidden="false" customHeight="false" outlineLevel="0" collapsed="false">
      <c r="B10" s="16" t="s">
        <v>1471</v>
      </c>
      <c r="C10" s="29" t="n">
        <f aca="false">C7+C9</f>
        <v>0.0593</v>
      </c>
      <c r="D10" s="16" t="s">
        <v>71</v>
      </c>
      <c r="E10" s="16" t="s">
        <v>1472</v>
      </c>
    </row>
    <row r="12" customFormat="false" ht="15" hidden="false" customHeight="false" outlineLevel="0" collapsed="false">
      <c r="B12" s="11" t="s">
        <v>1473</v>
      </c>
      <c r="C12" s="12"/>
      <c r="D12" s="12"/>
      <c r="E12" s="12"/>
    </row>
    <row r="13" customFormat="false" ht="15" hidden="false" customHeight="false" outlineLevel="0" collapsed="false">
      <c r="B13" s="3" t="s">
        <v>35</v>
      </c>
      <c r="C13" s="3" t="s">
        <v>36</v>
      </c>
      <c r="D13" s="3" t="s">
        <v>63</v>
      </c>
      <c r="E13" s="3" t="s">
        <v>1464</v>
      </c>
    </row>
    <row r="14" customFormat="false" ht="15" hidden="false" customHeight="false" outlineLevel="0" collapsed="false">
      <c r="B14" s="13" t="s">
        <v>1474</v>
      </c>
      <c r="C14" s="23" t="n">
        <v>0.3774</v>
      </c>
      <c r="D14" s="13" t="s">
        <v>71</v>
      </c>
      <c r="E14" s="13" t="s">
        <v>1475</v>
      </c>
    </row>
    <row r="15" customFormat="false" ht="15" hidden="false" customHeight="false" outlineLevel="0" collapsed="false">
      <c r="B15" s="16" t="s">
        <v>1476</v>
      </c>
      <c r="C15" s="29" t="n">
        <v>0.0888</v>
      </c>
      <c r="D15" s="16" t="s">
        <v>71</v>
      </c>
      <c r="E15" s="16" t="s">
        <v>1475</v>
      </c>
    </row>
    <row r="17" customFormat="false" ht="15" hidden="false" customHeight="false" outlineLevel="0" collapsed="false">
      <c r="B17" s="11" t="s">
        <v>1477</v>
      </c>
      <c r="C17" s="12"/>
      <c r="D17" s="12"/>
      <c r="E17" s="12"/>
    </row>
    <row r="18" customFormat="false" ht="15" hidden="false" customHeight="false" outlineLevel="0" collapsed="false">
      <c r="B18" s="3" t="s">
        <v>1478</v>
      </c>
      <c r="C18" s="3" t="s">
        <v>1479</v>
      </c>
      <c r="D18" s="3"/>
      <c r="E18" s="3" t="s">
        <v>1464</v>
      </c>
    </row>
    <row r="19" customFormat="false" ht="15" hidden="false" customHeight="false" outlineLevel="0" collapsed="false">
      <c r="B19" s="13" t="s">
        <v>1480</v>
      </c>
      <c r="C19" s="13" t="s">
        <v>1481</v>
      </c>
      <c r="E19" s="13" t="s">
        <v>1482</v>
      </c>
    </row>
    <row r="20" customFormat="false" ht="15" hidden="false" customHeight="false" outlineLevel="0" collapsed="false">
      <c r="B20" s="13" t="s">
        <v>1483</v>
      </c>
      <c r="C20" s="13" t="s">
        <v>1484</v>
      </c>
      <c r="E20" s="13" t="s">
        <v>1482</v>
      </c>
    </row>
    <row r="21" customFormat="false" ht="15" hidden="false" customHeight="false" outlineLevel="0" collapsed="false">
      <c r="B21" s="13" t="s">
        <v>1485</v>
      </c>
      <c r="C21" s="13" t="s">
        <v>1486</v>
      </c>
      <c r="E21" s="13" t="s">
        <v>1482</v>
      </c>
    </row>
    <row r="22" customFormat="false" ht="15" hidden="false" customHeight="false" outlineLevel="0" collapsed="false">
      <c r="B22" s="13" t="s">
        <v>1487</v>
      </c>
      <c r="C22" s="13" t="s">
        <v>1488</v>
      </c>
      <c r="E22" s="13" t="s">
        <v>1482</v>
      </c>
    </row>
    <row r="23" customFormat="false" ht="15" hidden="false" customHeight="false" outlineLevel="0" collapsed="false">
      <c r="B23" s="13" t="s">
        <v>1489</v>
      </c>
      <c r="C23" s="13" t="s">
        <v>1490</v>
      </c>
      <c r="E23" s="13" t="s">
        <v>1491</v>
      </c>
    </row>
    <row r="24" customFormat="false" ht="15" hidden="false" customHeight="false" outlineLevel="0" collapsed="false">
      <c r="B24" s="13" t="s">
        <v>1492</v>
      </c>
      <c r="C24" s="13" t="s">
        <v>1493</v>
      </c>
      <c r="E24" s="13" t="s">
        <v>1491</v>
      </c>
    </row>
    <row r="25" customFormat="false" ht="15" hidden="false" customHeight="false" outlineLevel="0" collapsed="false">
      <c r="B25" s="16" t="s">
        <v>1494</v>
      </c>
      <c r="C25" s="16" t="s">
        <v>1495</v>
      </c>
      <c r="D25" s="25"/>
      <c r="E25" s="16" t="s">
        <v>1491</v>
      </c>
    </row>
    <row r="27" customFormat="false" ht="15" hidden="false" customHeight="false" outlineLevel="0" collapsed="false">
      <c r="B27" s="11" t="s">
        <v>1496</v>
      </c>
      <c r="C27" s="12"/>
      <c r="D27" s="12"/>
      <c r="E27" s="12"/>
    </row>
    <row r="28" customFormat="false" ht="15" hidden="false" customHeight="false" outlineLevel="0" collapsed="false">
      <c r="B28" s="3" t="s">
        <v>1497</v>
      </c>
      <c r="C28" s="3" t="s">
        <v>1464</v>
      </c>
    </row>
    <row r="29" customFormat="false" ht="15" hidden="false" customHeight="false" outlineLevel="0" collapsed="false">
      <c r="B29" s="13" t="s">
        <v>1466</v>
      </c>
      <c r="C29" s="13" t="s">
        <v>1498</v>
      </c>
    </row>
    <row r="30" customFormat="false" ht="15" hidden="false" customHeight="false" outlineLevel="0" collapsed="false">
      <c r="B30" s="13" t="s">
        <v>1468</v>
      </c>
      <c r="C30" s="13" t="s">
        <v>1499</v>
      </c>
    </row>
    <row r="31" customFormat="false" ht="15" hidden="false" customHeight="false" outlineLevel="0" collapsed="false">
      <c r="B31" s="13" t="s">
        <v>1470</v>
      </c>
      <c r="C31" s="13" t="s">
        <v>1500</v>
      </c>
    </row>
    <row r="32" customFormat="false" ht="15" hidden="false" customHeight="false" outlineLevel="0" collapsed="false">
      <c r="B32" s="13" t="s">
        <v>1475</v>
      </c>
      <c r="C32" s="13" t="s">
        <v>1501</v>
      </c>
    </row>
    <row r="33" customFormat="false" ht="15" hidden="false" customHeight="false" outlineLevel="0" collapsed="false">
      <c r="B33" s="13" t="s">
        <v>1482</v>
      </c>
      <c r="C33" s="13" t="s">
        <v>1502</v>
      </c>
    </row>
    <row r="34" customFormat="false" ht="15" hidden="false" customHeight="false" outlineLevel="0" collapsed="false">
      <c r="B34" s="16" t="s">
        <v>1491</v>
      </c>
      <c r="C34" s="16" t="s">
        <v>1503</v>
      </c>
      <c r="D34" s="25"/>
      <c r="E34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2026-10-08T21:13:53Z</dcterms:created>
  <dc:creator>Deepangi Arora</dc:creator>
  <dc:description/>
  <dc:language>en-US</dc:language>
  <cp:lastModifiedBy>Deepangi Arora</cp:lastModifiedBy>
  <dcterms:modified xsi:type="dcterms:W3CDTF">2026-10-08T21:13:54Z</dcterms:modified>
  <cp:revision>0</cp:revision>
  <dc:subject/>
  <dc:title>Warehouse Lending &amp; Liquidity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